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udy Identification" sheetId="1" r:id="rId5"/>
    <sheet state="visible" name="2-Application Context" sheetId="2" r:id="rId6"/>
    <sheet state="visible" name="4-Dataset Characteristics" sheetId="3" r:id="rId7"/>
    <sheet state="visible" name="5-Barrier Coding" sheetId="4" r:id="rId8"/>
    <sheet state="visible" name="6-Mitigation Strategy Coding" sheetId="5" r:id="rId9"/>
    <sheet state="visible" name="7-Baseline Performance Results" sheetId="6" r:id="rId10"/>
    <sheet state="visible" name="8-Mitigation Performance Result" sheetId="7" r:id="rId11"/>
    <sheet state="visible" name="9-Quality &amp; Risk of Bias" sheetId="8" r:id="rId12"/>
    <sheet state="visible" name="10-Source &amp; Justification" sheetId="9" r:id="rId13"/>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b/>
      <sz val="9.0"/>
      <color rgb="FFFFFFFF"/>
      <name val="Lato"/>
    </font>
    <font>
      <sz val="9.0"/>
      <color theme="1"/>
      <name val="Lato"/>
    </font>
    <font>
      <b/>
      <sz val="9.0"/>
      <color theme="1"/>
      <name val="Lato"/>
    </font>
  </fonts>
  <fills count="10">
    <fill>
      <patternFill patternType="none"/>
    </fill>
    <fill>
      <patternFill patternType="lightGray"/>
    </fill>
    <fill>
      <patternFill patternType="solid">
        <fgColor rgb="FF1F6A3D"/>
        <bgColor rgb="FF1F6A3D"/>
      </patternFill>
    </fill>
    <fill>
      <patternFill patternType="solid">
        <fgColor rgb="FFC45911"/>
        <bgColor rgb="FFC45911"/>
      </patternFill>
    </fill>
    <fill>
      <patternFill patternType="solid">
        <fgColor rgb="FF17375D"/>
        <bgColor rgb="FF17375D"/>
      </patternFill>
    </fill>
    <fill>
      <patternFill patternType="solid">
        <fgColor rgb="FF2E74B5"/>
        <bgColor rgb="FF2E74B5"/>
      </patternFill>
    </fill>
    <fill>
      <patternFill patternType="solid">
        <fgColor rgb="FF404040"/>
        <bgColor rgb="FF404040"/>
      </patternFill>
    </fill>
    <fill>
      <patternFill patternType="solid">
        <fgColor rgb="FF6A3C99"/>
        <bgColor rgb="FF6A3C99"/>
      </patternFill>
    </fill>
    <fill>
      <patternFill patternType="solid">
        <fgColor rgb="FF990033"/>
        <bgColor rgb="FF990033"/>
      </patternFill>
    </fill>
    <fill>
      <patternFill patternType="solid">
        <fgColor rgb="FF1F3764"/>
        <bgColor rgb="FF1F3764"/>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3" fontId="1" numFmtId="0" xfId="0" applyAlignment="1" applyFill="1" applyFont="1">
      <alignment shrinkToFit="0" vertical="center" wrapText="0"/>
    </xf>
    <xf borderId="0" fillId="4" fontId="1" numFmtId="0" xfId="0" applyAlignment="1" applyFill="1" applyFont="1">
      <alignment shrinkToFit="0" vertical="center" wrapText="0"/>
    </xf>
    <xf borderId="0" fillId="5" fontId="1" numFmtId="0" xfId="0" applyAlignment="1" applyFill="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5" fontId="1" numFmtId="0" xfId="0" applyAlignment="1" applyFill="1" applyFont="1">
      <alignment horizontal="center" shrinkToFit="0" vertical="center" wrapText="0"/>
    </xf>
    <xf borderId="0" fillId="6" fontId="1" numFmtId="0" xfId="0" applyAlignment="1" applyFill="1" applyFont="1">
      <alignment shrinkToFit="0" vertical="center" wrapText="0"/>
    </xf>
    <xf borderId="0" fillId="7" fontId="1" numFmtId="0" xfId="0" applyAlignment="1" applyFill="1" applyFont="1">
      <alignment shrinkToFit="0" vertical="center" wrapText="0"/>
    </xf>
    <xf borderId="0" fillId="8" fontId="1" numFmtId="0" xfId="0" applyAlignment="1" applyFill="1" applyFont="1">
      <alignment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1"/>
    </xf>
    <xf borderId="0" fillId="0" fontId="2" numFmtId="0" xfId="0" applyAlignment="1" applyFont="1">
      <alignment horizontal="center" shrinkToFit="0" vertical="center" wrapText="0"/>
    </xf>
    <xf borderId="0" fillId="9" fontId="1" numFmtId="0" xfId="0" applyAlignment="1" applyFill="1" applyFont="1">
      <alignment shrinkToFit="0" vertical="center" wrapText="0"/>
    </xf>
    <xf borderId="0" fillId="0" fontId="2" numFmtId="164" xfId="0" applyAlignment="1" applyFont="1" applyNumberFormat="1">
      <alignment shrinkToFit="0" vertical="center" wrapText="0"/>
    </xf>
    <xf borderId="0" fillId="0" fontId="2" numFmtId="164" xfId="0" applyAlignment="1" applyFont="1" applyNumberFormat="1">
      <alignment shrinkToFit="0" vertical="center" wrapText="1"/>
    </xf>
  </cellXfs>
  <cellStyles count="1">
    <cellStyle xfId="0" name="Normal" builtinId="0"/>
  </cellStyles>
  <dxfs count="17">
    <dxf>
      <font/>
      <fill>
        <patternFill patternType="solid">
          <fgColor rgb="FFF4DBCC"/>
          <bgColor rgb="FFF4DBCC"/>
        </patternFill>
      </fill>
      <border/>
    </dxf>
    <dxf>
      <font/>
      <fill>
        <patternFill patternType="solid">
          <fgColor rgb="FFFCEDE5"/>
          <bgColor rgb="FFFCEDE5"/>
        </patternFill>
      </fill>
      <border/>
    </dxf>
    <dxf>
      <font/>
      <fill>
        <patternFill patternType="solid">
          <fgColor rgb="FFD6E5F2"/>
          <bgColor rgb="FFD6E5F2"/>
        </patternFill>
      </fill>
      <border/>
    </dxf>
    <dxf>
      <font/>
      <fill>
        <patternFill patternType="solid">
          <fgColor rgb="FFEAF2F9"/>
          <bgColor rgb="FFEAF2F9"/>
        </patternFill>
      </fill>
      <border/>
    </dxf>
    <dxf>
      <font/>
      <fill>
        <patternFill patternType="solid">
          <fgColor rgb="FFD3E0EF"/>
          <bgColor rgb="FFD3E0EF"/>
        </patternFill>
      </fill>
      <border/>
    </dxf>
    <dxf>
      <font/>
      <fill>
        <patternFill patternType="solid">
          <fgColor rgb="FFE5D1F2"/>
          <bgColor rgb="FFE5D1F2"/>
        </patternFill>
      </fill>
      <border/>
    </dxf>
    <dxf>
      <font/>
      <fill>
        <patternFill patternType="solid">
          <fgColor rgb="FFF4EAF9"/>
          <bgColor rgb="FFF4EAF9"/>
        </patternFill>
      </fill>
      <border/>
    </dxf>
    <dxf>
      <font/>
      <fill>
        <patternFill patternType="solid">
          <fgColor rgb="FFD1E8D8"/>
          <bgColor rgb="FFD1E8D8"/>
        </patternFill>
      </fill>
      <border/>
    </dxf>
    <dxf>
      <font/>
      <fill>
        <patternFill patternType="solid">
          <fgColor rgb="FFEAF7ED"/>
          <bgColor rgb="FFEAF7ED"/>
        </patternFill>
      </fill>
      <border/>
    </dxf>
    <dxf>
      <font/>
      <fill>
        <patternFill patternType="solid">
          <fgColor rgb="FFDBDBDB"/>
          <bgColor rgb="FFDBDBDB"/>
        </patternFill>
      </fill>
      <border/>
    </dxf>
    <dxf>
      <font/>
      <fill>
        <patternFill patternType="solid">
          <fgColor rgb="FFEFEFEF"/>
          <bgColor rgb="FFEFEFEF"/>
        </patternFill>
      </fill>
      <border/>
    </dxf>
    <dxf>
      <font/>
      <fill>
        <patternFill patternType="solid">
          <fgColor rgb="FFD6E0F2"/>
          <bgColor rgb="FFD6E0F2"/>
        </patternFill>
      </fill>
      <border/>
    </dxf>
    <dxf>
      <font/>
      <fill>
        <patternFill patternType="solid">
          <fgColor rgb="FFEDF2F9"/>
          <bgColor rgb="FFEDF2F9"/>
        </patternFill>
      </fill>
      <border/>
    </dxf>
    <dxf>
      <font/>
      <fill>
        <patternFill patternType="solid">
          <fgColor rgb="FFEFD1DD"/>
          <bgColor rgb="FFEFD1DD"/>
        </patternFill>
      </fill>
      <border/>
    </dxf>
    <dxf>
      <font/>
      <fill>
        <patternFill patternType="solid">
          <fgColor rgb="FFF9EAEF"/>
          <bgColor rgb="FFF9EAEF"/>
        </patternFill>
      </fill>
      <border/>
    </dxf>
    <dxf>
      <font/>
      <fill>
        <patternFill patternType="solid">
          <fgColor rgb="FFDBE5EF"/>
          <bgColor rgb="FFDBE5EF"/>
        </patternFill>
      </fill>
      <border/>
    </dxf>
    <dxf>
      <font/>
      <fill>
        <patternFill patternType="solid">
          <fgColor rgb="FFEFF4F9"/>
          <bgColor rgb="FFEFF4F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5"/>
    <col customWidth="1" min="2" max="2" width="96.75"/>
    <col customWidth="1" min="3" max="3" width="23.88"/>
    <col customWidth="1" min="4" max="4" width="8.88"/>
  </cols>
  <sheetData>
    <row r="1" ht="22.5" customHeight="1">
      <c r="A1" s="4" t="str">
        <f>IFERROR(__xludf.DUMMYFUNCTION("VSTACK(IMPORTRANGE(""https://docs.google.com/spreadsheets/d/1IG-NLlNbWxgmur-Ok920jusl5qwxm6_N-HtBuRIcbS0/edit"",""'1-Study Identification'!A1:D96""),QUERY(IMPORTRANGE(""https://docs.google.com/spreadsheets/d/1o-YvsM1EXkN6ZzOgu4zM9Uz7mmya31G7zJCOonMGAME/ed"&amp;"it"",""'1-Study Identification'!A1:D62""),""select * offset 2"",0))"),"Study Identification")</f>
        <v>Study Identification</v>
      </c>
      <c r="B1" s="4"/>
      <c r="C1" s="4"/>
      <c r="D1" s="4"/>
    </row>
    <row r="2" ht="19.5" customHeight="1">
      <c r="A2" s="7" t="str">
        <f>IFERROR(__xludf.DUMMYFUNCTION("""COMPUTED_VALUE"""),"Study ID")</f>
        <v>Study ID</v>
      </c>
      <c r="B2" s="7" t="str">
        <f>IFERROR(__xludf.DUMMYFUNCTION("""COMPUTED_VALUE"""),"Title")</f>
        <v>Title</v>
      </c>
      <c r="C2" s="7" t="str">
        <f>IFERROR(__xludf.DUMMYFUNCTION("""COMPUTED_VALUE"""),"DOI")</f>
        <v>DOI</v>
      </c>
      <c r="D2" s="7" t="str">
        <f>IFERROR(__xludf.DUMMYFUNCTION("""COMPUTED_VALUE"""),"Year")</f>
        <v>Year</v>
      </c>
    </row>
    <row r="3" ht="15.75" customHeight="1">
      <c r="A3" s="5" t="str">
        <f>IFERROR(__xludf.DUMMYFUNCTION("""COMPUTED_VALUE"""),"SCOPUS-000349")</f>
        <v>SCOPUS-000349</v>
      </c>
      <c r="B3" s="6" t="str">
        <f>IFERROR(__xludf.DUMMYFUNCTION("""COMPUTED_VALUE"""),"Drone-Aided Detection of Weeds: Transfer Learning for Embedded Image Processing")</f>
        <v>Drone-Aided Detection of Weeds: Transfer Learning for Embedded Image Processing</v>
      </c>
      <c r="C3" s="5" t="str">
        <f>IFERROR(__xludf.DUMMYFUNCTION("""COMPUTED_VALUE"""),"10.1109/JSTARS.2022.3224657")</f>
        <v>10.1109/JSTARS.2022.3224657</v>
      </c>
      <c r="D3" s="5">
        <f>IFERROR(__xludf.DUMMYFUNCTION("""COMPUTED_VALUE"""),2022.0)</f>
        <v>2022</v>
      </c>
    </row>
    <row r="4" ht="15.75" customHeight="1">
      <c r="A4" s="5" t="str">
        <f>IFERROR(__xludf.DUMMYFUNCTION("""COMPUTED_VALUE"""),"SCOPUS-000473")</f>
        <v>SCOPUS-000473</v>
      </c>
      <c r="B4" s="6" t="str">
        <f>IFERROR(__xludf.DUMMYFUNCTION("""COMPUTED_VALUE"""),"ConvNeXt based semi-supervised approach with consistency regularization for weeds classification")</f>
        <v>ConvNeXt based semi-supervised approach with consistency regularization for weeds classification</v>
      </c>
      <c r="C4" s="5" t="str">
        <f>IFERROR(__xludf.DUMMYFUNCTION("""COMPUTED_VALUE"""),"10.1016/j.eswa.2023.122222")</f>
        <v>10.1016/j.eswa.2023.122222</v>
      </c>
      <c r="D4" s="5">
        <f>IFERROR(__xludf.DUMMYFUNCTION("""COMPUTED_VALUE"""),2024.0)</f>
        <v>2024</v>
      </c>
    </row>
    <row r="5" ht="15.75" customHeight="1">
      <c r="A5" s="5" t="str">
        <f>IFERROR(__xludf.DUMMYFUNCTION("""COMPUTED_VALUE"""),"SCOPUS-000722")</f>
        <v>SCOPUS-000722</v>
      </c>
      <c r="B5" s="6" t="str">
        <f>IFERROR(__xludf.DUMMYFUNCTION("""COMPUTED_VALUE"""),"DeepVeg- Deep Learning Model for Segmentation of Weed, Canola, and Canola Flea Beetle Damage")</f>
        <v>DeepVeg- Deep Learning Model for Segmentation of Weed, Canola, and Canola Flea Beetle Damage</v>
      </c>
      <c r="C5" s="5" t="str">
        <f>IFERROR(__xludf.DUMMYFUNCTION("""COMPUTED_VALUE"""),"10.1109/ACCESS.2021.3108003")</f>
        <v>10.1109/ACCESS.2021.3108003</v>
      </c>
      <c r="D5" s="5">
        <f>IFERROR(__xludf.DUMMYFUNCTION("""COMPUTED_VALUE"""),2021.0)</f>
        <v>2021</v>
      </c>
    </row>
    <row r="6" ht="15.75" customHeight="1">
      <c r="A6" s="5" t="str">
        <f>IFERROR(__xludf.DUMMYFUNCTION("""COMPUTED_VALUE"""),"SCOPUS-000153")</f>
        <v>SCOPUS-000153</v>
      </c>
      <c r="B6" s="6" t="str">
        <f>IFERROR(__xludf.DUMMYFUNCTION("""COMPUTED_VALUE"""),"UNET-SA: A Spatial Attention Enhanced UNET for Crop–Weed Segmentation in UAV-Based Pigeon Pea Fields")</f>
        <v>UNET-SA: A Spatial Attention Enhanced UNET for Crop–Weed Segmentation in UAV-Based Pigeon Pea Fields</v>
      </c>
      <c r="C6" s="5" t="str">
        <f>IFERROR(__xludf.DUMMYFUNCTION("""COMPUTED_VALUE"""),"10.32985/ijeces.17.4.1")</f>
        <v>10.32985/ijeces.17.4.1</v>
      </c>
      <c r="D6" s="5">
        <f>IFERROR(__xludf.DUMMYFUNCTION("""COMPUTED_VALUE"""),2026.0)</f>
        <v>2026</v>
      </c>
    </row>
    <row r="7" ht="15.75" customHeight="1">
      <c r="A7" s="5" t="str">
        <f>IFERROR(__xludf.DUMMYFUNCTION("""COMPUTED_VALUE"""),"SCOPUS-000522")</f>
        <v>SCOPUS-000522</v>
      </c>
      <c r="B7" s="6" t="str">
        <f>IFERROR(__xludf.DUMMYFUNCTION("""COMPUTED_VALUE"""),"Intelligent Weed Management Based on Object Detection Neural Networks in Tomato Crops")</f>
        <v>Intelligent Weed Management Based on Object Detection Neural Networks in Tomato Crops</v>
      </c>
      <c r="C7" s="5" t="str">
        <f>IFERROR(__xludf.DUMMYFUNCTION("""COMPUTED_VALUE"""),"10.3390/agronomy12122953")</f>
        <v>10.3390/agronomy12122953</v>
      </c>
      <c r="D7" s="5">
        <f>IFERROR(__xludf.DUMMYFUNCTION("""COMPUTED_VALUE"""),2022.0)</f>
        <v>2022</v>
      </c>
    </row>
    <row r="8" ht="15.75" customHeight="1">
      <c r="A8" s="5" t="str">
        <f>IFERROR(__xludf.DUMMYFUNCTION("""COMPUTED_VALUE"""),"SCOPUS-000487")</f>
        <v>SCOPUS-000487</v>
      </c>
      <c r="B8" s="6" t="str">
        <f>IFERROR(__xludf.DUMMYFUNCTION("""COMPUTED_VALUE"""),"Multi-Spectral Image Synthesis for Crop/Weed Segmentation in Precision Farming")</f>
        <v>Multi-Spectral Image Synthesis for Crop/Weed Segmentation in Precision Farming</v>
      </c>
      <c r="C8" s="5" t="str">
        <f>IFERROR(__xludf.DUMMYFUNCTION("""COMPUTED_VALUE"""),"10.1016/j.robot.2021.103861")</f>
        <v>10.1016/j.robot.2021.103861</v>
      </c>
      <c r="D8" s="5">
        <f>IFERROR(__xludf.DUMMYFUNCTION("""COMPUTED_VALUE"""),2021.0)</f>
        <v>2021</v>
      </c>
    </row>
    <row r="9" ht="15.75" customHeight="1">
      <c r="A9" s="5" t="str">
        <f>IFERROR(__xludf.DUMMYFUNCTION("""COMPUTED_VALUE"""),"SCOPUS-000328")</f>
        <v>SCOPUS-000328</v>
      </c>
      <c r="B9" s="6" t="str">
        <f>IFERROR(__xludf.DUMMYFUNCTION("""COMPUTED_VALUE"""),"Multi-level feature re-weighted fusion for the semantic segmentation of crops and weeds")</f>
        <v>Multi-level feature re-weighted fusion for the semantic segmentation of crops and weeds</v>
      </c>
      <c r="C9" s="5" t="str">
        <f>IFERROR(__xludf.DUMMYFUNCTION("""COMPUTED_VALUE"""),"10.1016/j.jksuci.2023.03.023")</f>
        <v>10.1016/j.jksuci.2023.03.023</v>
      </c>
      <c r="D9" s="5">
        <f>IFERROR(__xludf.DUMMYFUNCTION("""COMPUTED_VALUE"""),2023.0)</f>
        <v>2023</v>
      </c>
    </row>
    <row r="10" ht="15.75" customHeight="1">
      <c r="A10" s="5" t="str">
        <f>IFERROR(__xludf.DUMMYFUNCTION("""COMPUTED_VALUE"""),"SCOPUS-000256")</f>
        <v>SCOPUS-000256</v>
      </c>
      <c r="B10" s="6" t="str">
        <f>IFERROR(__xludf.DUMMYFUNCTION("""COMPUTED_VALUE"""),"Real-Time Detection and Localization of Weeds in Dictamnus dasycarpus Fields for Laser-Based Weeding Control")</f>
        <v>Real-Time Detection and Localization of Weeds in Dictamnus dasycarpus Fields for Laser-Based Weeding Control</v>
      </c>
      <c r="C10" s="5" t="str">
        <f>IFERROR(__xludf.DUMMYFUNCTION("""COMPUTED_VALUE"""),"10.3390/agronomy14102363")</f>
        <v>10.3390/agronomy14102363</v>
      </c>
      <c r="D10" s="5">
        <f>IFERROR(__xludf.DUMMYFUNCTION("""COMPUTED_VALUE"""),2024.0)</f>
        <v>2024</v>
      </c>
    </row>
    <row r="11" ht="15.75" customHeight="1">
      <c r="A11" s="5" t="str">
        <f>IFERROR(__xludf.DUMMYFUNCTION("""COMPUTED_VALUE"""),"SCOPUS-000234")</f>
        <v>SCOPUS-000234</v>
      </c>
      <c r="B11" s="6" t="str">
        <f>IFERROR(__xludf.DUMMYFUNCTION("""COMPUTED_VALUE"""),"YOLOv8 Model for Weed Detection in Wheat Fields Based on a Visual Converter and Multi-Scale Feature Fusion")</f>
        <v>YOLOv8 Model for Weed Detection in Wheat Fields Based on a Visual Converter and Multi-Scale Feature Fusion</v>
      </c>
      <c r="C11" s="5" t="str">
        <f>IFERROR(__xludf.DUMMYFUNCTION("""COMPUTED_VALUE"""),"10.3390/s24134379")</f>
        <v>10.3390/s24134379</v>
      </c>
      <c r="D11" s="5">
        <f>IFERROR(__xludf.DUMMYFUNCTION("""COMPUTED_VALUE"""),2024.0)</f>
        <v>2024</v>
      </c>
    </row>
    <row r="12" ht="15.75" customHeight="1">
      <c r="A12" s="5" t="str">
        <f>IFERROR(__xludf.DUMMYFUNCTION("""COMPUTED_VALUE"""),"SCOPUS-000220")</f>
        <v>SCOPUS-000220</v>
      </c>
      <c r="B12" s="6" t="str">
        <f>IFERROR(__xludf.DUMMYFUNCTION("""COMPUTED_VALUE"""),"YOLO-SW: A Real-Time Weed Detection Model for Soybean Fields Using Swin Transformer and RT-DETR")</f>
        <v>YOLO-SW: A Real-Time Weed Detection Model for Soybean Fields Using Swin Transformer and RT-DETR</v>
      </c>
      <c r="C12" s="5" t="str">
        <f>IFERROR(__xludf.DUMMYFUNCTION("""COMPUTED_VALUE"""),"10.3390/agronomy15071712")</f>
        <v>10.3390/agronomy15071712</v>
      </c>
      <c r="D12" s="5">
        <f>IFERROR(__xludf.DUMMYFUNCTION("""COMPUTED_VALUE"""),2025.0)</f>
        <v>2025</v>
      </c>
    </row>
    <row r="13" ht="15.75" customHeight="1">
      <c r="A13" s="5" t="str">
        <f>IFERROR(__xludf.DUMMYFUNCTION("""COMPUTED_VALUE"""),"SCOPUS-000211")</f>
        <v>SCOPUS-000211</v>
      </c>
      <c r="B13" s="6" t="str">
        <f>IFERROR(__xludf.DUMMYFUNCTION("""COMPUTED_VALUE"""),"HAD-YOLO: An Accurate and Effective Weed Detection Model Based on Improved YOLOV5 Network")</f>
        <v>HAD-YOLO: An Accurate and Effective Weed Detection Model Based on Improved YOLOV5 Network</v>
      </c>
      <c r="C13" s="5" t="str">
        <f>IFERROR(__xludf.DUMMYFUNCTION("""COMPUTED_VALUE"""),"10.3390/agronomy15010057")</f>
        <v>10.3390/agronomy15010057</v>
      </c>
      <c r="D13" s="5">
        <f>IFERROR(__xludf.DUMMYFUNCTION("""COMPUTED_VALUE"""),2025.0)</f>
        <v>2025</v>
      </c>
    </row>
    <row r="14" ht="15.75" customHeight="1">
      <c r="A14" s="5" t="str">
        <f>IFERROR(__xludf.DUMMYFUNCTION("""COMPUTED_VALUE"""),"SCOPUS-000195")</f>
        <v>SCOPUS-000195</v>
      </c>
      <c r="B14" s="6" t="str">
        <f>IFERROR(__xludf.DUMMYFUNCTION("""COMPUTED_VALUE"""),"Smart weed recognition in saffron fields based on an improved EfficientNetB0 model and RGB images")</f>
        <v>Smart weed recognition in saffron fields based on an improved EfficientNetB0 model and RGB images</v>
      </c>
      <c r="C14" s="5" t="str">
        <f>IFERROR(__xludf.DUMMYFUNCTION("""COMPUTED_VALUE"""),"10.1038/s41598-025-00331-9")</f>
        <v>10.1038/s41598-025-00331-9</v>
      </c>
      <c r="D14" s="5">
        <f>IFERROR(__xludf.DUMMYFUNCTION("""COMPUTED_VALUE"""),2025.0)</f>
        <v>2025</v>
      </c>
    </row>
    <row r="15" ht="15.75" customHeight="1">
      <c r="A15" s="5" t="str">
        <f>IFERROR(__xludf.DUMMYFUNCTION("""COMPUTED_VALUE"""),"SCOPUS-000139")</f>
        <v>SCOPUS-000139</v>
      </c>
      <c r="B15" s="6" t="str">
        <f>IFERROR(__xludf.DUMMYFUNCTION("""COMPUTED_VALUE"""),"Generative AI-based pipeline architecture for increasing training efficiency in intelligent weed control systems")</f>
        <v>Generative AI-based pipeline architecture for increasing training efficiency in intelligent weed control systems</v>
      </c>
      <c r="C15" s="5" t="str">
        <f>IFERROR(__xludf.DUMMYFUNCTION("""COMPUTED_VALUE"""),"10.1016/j.sysarc.2025.103464")</f>
        <v>10.1016/j.sysarc.2025.103464</v>
      </c>
      <c r="D15" s="5">
        <f>IFERROR(__xludf.DUMMYFUNCTION("""COMPUTED_VALUE"""),2025.0)</f>
        <v>2025</v>
      </c>
    </row>
    <row r="16" ht="15.75" customHeight="1">
      <c r="A16" s="5" t="str">
        <f>IFERROR(__xludf.DUMMYFUNCTION("""COMPUTED_VALUE"""),"SCOPUS-000045")</f>
        <v>SCOPUS-000045</v>
      </c>
      <c r="B16" s="6" t="str">
        <f>IFERROR(__xludf.DUMMYFUNCTION("""COMPUTED_VALUE"""),"Shape and style GAN-based multispectral data augmentation for crop/weed segmentation in precision farming")</f>
        <v>Shape and style GAN-based multispectral data augmentation for crop/weed segmentation in precision farming</v>
      </c>
      <c r="C16" s="5" t="str">
        <f>IFERROR(__xludf.DUMMYFUNCTION("""COMPUTED_VALUE"""),"10.1016/j.cropro.2024.106848")</f>
        <v>10.1016/j.cropro.2024.106848</v>
      </c>
      <c r="D16" s="5">
        <f>IFERROR(__xludf.DUMMYFUNCTION("""COMPUTED_VALUE"""),2024.0)</f>
        <v>2024</v>
      </c>
    </row>
    <row r="17" ht="15.75" customHeight="1">
      <c r="A17" s="5" t="str">
        <f>IFERROR(__xludf.DUMMYFUNCTION("""COMPUTED_VALUE"""),"SCOPUS-000031")</f>
        <v>SCOPUS-000031</v>
      </c>
      <c r="B17" s="6" t="str">
        <f>IFERROR(__xludf.DUMMYFUNCTION("""COMPUTED_VALUE"""),"SWFormer: A scale-wise hybrid CNN-Transformer network for multi-classes weed segmentation")</f>
        <v>SWFormer: A scale-wise hybrid CNN-Transformer network for multi-classes weed segmentation</v>
      </c>
      <c r="C17" s="5" t="str">
        <f>IFERROR(__xludf.DUMMYFUNCTION("""COMPUTED_VALUE"""),"10.1016/j.jksuci.2024.102144")</f>
        <v>10.1016/j.jksuci.2024.102144</v>
      </c>
      <c r="D17" s="5">
        <f>IFERROR(__xludf.DUMMYFUNCTION("""COMPUTED_VALUE"""),2024.0)</f>
        <v>2024</v>
      </c>
    </row>
    <row r="18" ht="15.75" customHeight="1">
      <c r="A18" s="5" t="str">
        <f>IFERROR(__xludf.DUMMYFUNCTION("""COMPUTED_VALUE"""),"SCOPUS-000014")</f>
        <v>SCOPUS-000014</v>
      </c>
      <c r="B18" s="6" t="str">
        <f>IFERROR(__xludf.DUMMYFUNCTION("""COMPUTED_VALUE"""),"HDMS-YOLO: a multi-scale weed detection model for complex farmland environments")</f>
        <v>HDMS-YOLO: a multi-scale weed detection model for complex farmland environments</v>
      </c>
      <c r="C18" s="5" t="str">
        <f>IFERROR(__xludf.DUMMYFUNCTION("""COMPUTED_VALUE"""),"10.3389/fpls.2025.1696392")</f>
        <v>10.3389/fpls.2025.1696392</v>
      </c>
      <c r="D18" s="5">
        <f>IFERROR(__xludf.DUMMYFUNCTION("""COMPUTED_VALUE"""),2025.0)</f>
        <v>2025</v>
      </c>
    </row>
    <row r="19" ht="15.75" customHeight="1">
      <c r="A19" s="5" t="str">
        <f>IFERROR(__xludf.DUMMYFUNCTION("""COMPUTED_VALUE"""),"SCOPUS-000544")</f>
        <v>SCOPUS-000544</v>
      </c>
      <c r="B19" s="6" t="str">
        <f>IFERROR(__xludf.DUMMYFUNCTION("""COMPUTED_VALUE"""),"An Instance Segmentation-Based Method to Obtain the Leaf Age and Plant Centre of Weeds in Complex Field Environments")</f>
        <v>An Instance Segmentation-Based Method to Obtain the Leaf Age and Plant Centre of Weeds in Complex Field Environments</v>
      </c>
      <c r="C19" s="5" t="str">
        <f>IFERROR(__xludf.DUMMYFUNCTION("""COMPUTED_VALUE"""),"10.3390/s21103389")</f>
        <v>10.3390/s21103389</v>
      </c>
      <c r="D19" s="5">
        <f>IFERROR(__xludf.DUMMYFUNCTION("""COMPUTED_VALUE"""),2021.0)</f>
        <v>2021</v>
      </c>
    </row>
    <row r="20" ht="15.75" customHeight="1">
      <c r="A20" s="5" t="str">
        <f>IFERROR(__xludf.DUMMYFUNCTION("""COMPUTED_VALUE"""),"SCOPUS-000151")</f>
        <v>SCOPUS-000151</v>
      </c>
      <c r="B20" s="6" t="str">
        <f>IFERROR(__xludf.DUMMYFUNCTION("""COMPUTED_VALUE"""),"An Efficient Weed Detection Method Using Latent Diffusion Transformer for Enhanced Agricultural Image Analysis and Mobile Deployment")</f>
        <v>An Efficient Weed Detection Method Using Latent Diffusion Transformer for Enhanced Agricultural Image Analysis and Mobile Deployment</v>
      </c>
      <c r="C20" s="5" t="str">
        <f>IFERROR(__xludf.DUMMYFUNCTION("""COMPUTED_VALUE"""),"10.3390/plants13223192")</f>
        <v>10.3390/plants13223192</v>
      </c>
      <c r="D20" s="5">
        <f>IFERROR(__xludf.DUMMYFUNCTION("""COMPUTED_VALUE"""),2024.0)</f>
        <v>2024</v>
      </c>
    </row>
    <row r="21" ht="15.75" customHeight="1">
      <c r="A21" s="5" t="str">
        <f>IFERROR(__xludf.DUMMYFUNCTION("""COMPUTED_VALUE"""),"SCOPUS-000592")</f>
        <v>SCOPUS-000592</v>
      </c>
      <c r="B21" s="6" t="str">
        <f>IFERROR(__xludf.DUMMYFUNCTION("""COMPUTED_VALUE"""),"A Weakly Supervised Semantic Segmentation Model of Maize Seedlings and Weed Images Based on Scrawl Labels")</f>
        <v>A Weakly Supervised Semantic Segmentation Model of Maize Seedlings and Weed Images Based on Scrawl Labels</v>
      </c>
      <c r="C21" s="5" t="str">
        <f>IFERROR(__xludf.DUMMYFUNCTION("""COMPUTED_VALUE"""),"10.3390/s23249846")</f>
        <v>10.3390/s23249846</v>
      </c>
      <c r="D21" s="5">
        <f>IFERROR(__xludf.DUMMYFUNCTION("""COMPUTED_VALUE"""),2023.0)</f>
        <v>2023</v>
      </c>
    </row>
    <row r="22" ht="15.75" customHeight="1">
      <c r="A22" s="5" t="str">
        <f>IFERROR(__xludf.DUMMYFUNCTION("""COMPUTED_VALUE"""),"SCOPUS-000629")</f>
        <v>SCOPUS-000629</v>
      </c>
      <c r="B22" s="6" t="str">
        <f>IFERROR(__xludf.DUMMYFUNCTION("""COMPUTED_VALUE"""),"Analysis of Stable Diffusion-derived fake weeds performance for training Convolutional Neural Networks")</f>
        <v>Analysis of Stable Diffusion-derived fake weeds performance for training Convolutional Neural Networks</v>
      </c>
      <c r="C22" s="5" t="str">
        <f>IFERROR(__xludf.DUMMYFUNCTION("""COMPUTED_VALUE"""),"10.1016/j.compag.2023.108324")</f>
        <v>10.1016/j.compag.2023.108324</v>
      </c>
      <c r="D22" s="5">
        <f>IFERROR(__xludf.DUMMYFUNCTION("""COMPUTED_VALUE"""),2023.0)</f>
        <v>2023</v>
      </c>
    </row>
    <row r="23" ht="15.75" customHeight="1">
      <c r="A23" s="5" t="str">
        <f>IFERROR(__xludf.DUMMYFUNCTION("""COMPUTED_VALUE"""),"SCOPUS-000475")</f>
        <v>SCOPUS-000475</v>
      </c>
      <c r="B23" s="6" t="str">
        <f>IFERROR(__xludf.DUMMYFUNCTION("""COMPUTED_VALUE"""),"An improved U-net and attention mechanism-based model for sugar beet and weed segmentation")</f>
        <v>An improved U-net and attention mechanism-based model for sugar beet and weed segmentation</v>
      </c>
      <c r="C23" s="5" t="str">
        <f>IFERROR(__xludf.DUMMYFUNCTION("""COMPUTED_VALUE"""),"10.3389/fpls.2024.1449514")</f>
        <v>10.3389/fpls.2024.1449514</v>
      </c>
      <c r="D23" s="5">
        <f>IFERROR(__xludf.DUMMYFUNCTION("""COMPUTED_VALUE"""),2025.0)</f>
        <v>2025</v>
      </c>
    </row>
    <row r="24" ht="15.75" customHeight="1">
      <c r="A24" s="5" t="str">
        <f>IFERROR(__xludf.DUMMYFUNCTION("""COMPUTED_VALUE"""),"SCOPUS-000399")</f>
        <v>SCOPUS-000399</v>
      </c>
      <c r="B24" s="6" t="str">
        <f>IFERROR(__xludf.DUMMYFUNCTION("""COMPUTED_VALUE"""),"Channel Attention GAN-Based Synthetic Weed Generation for Precise Weed Identification")</f>
        <v>Channel Attention GAN-Based Synthetic Weed Generation for Precise Weed Identification</v>
      </c>
      <c r="C24" s="5" t="str">
        <f>IFERROR(__xludf.DUMMYFUNCTION("""COMPUTED_VALUE"""),"10.34133/plantphenomics.0122")</f>
        <v>10.34133/plantphenomics.0122</v>
      </c>
      <c r="D24" s="5">
        <f>IFERROR(__xludf.DUMMYFUNCTION("""COMPUTED_VALUE"""),2024.0)</f>
        <v>2024</v>
      </c>
    </row>
    <row r="25" ht="15.75" customHeight="1">
      <c r="A25" s="5" t="str">
        <f>IFERROR(__xludf.DUMMYFUNCTION("""COMPUTED_VALUE"""),"SCOPUS-000323")</f>
        <v>SCOPUS-000323</v>
      </c>
      <c r="B25" s="6" t="str">
        <f>IFERROR(__xludf.DUMMYFUNCTION("""COMPUTED_VALUE"""),"An Explainable Deep Learning Framework for Sorghum Weed Classification Using Multi-Scale Feature Enhanced DenseNet")</f>
        <v>An Explainable Deep Learning Framework for Sorghum Weed Classification Using Multi-Scale Feature Enhanced DenseNet</v>
      </c>
      <c r="C25" s="5" t="str">
        <f>IFERROR(__xludf.DUMMYFUNCTION("""COMPUTED_VALUE"""),"10.1109/ACCESS.2025.3538937")</f>
        <v>10.1109/ACCESS.2025.3538937</v>
      </c>
      <c r="D25" s="5">
        <f>IFERROR(__xludf.DUMMYFUNCTION("""COMPUTED_VALUE"""),2025.0)</f>
        <v>2025</v>
      </c>
    </row>
    <row r="26" ht="15.75" customHeight="1">
      <c r="A26" s="5" t="str">
        <f>IFERROR(__xludf.DUMMYFUNCTION("""COMPUTED_VALUE"""),"SCOPUS-000295")</f>
        <v>SCOPUS-000295</v>
      </c>
      <c r="B26" s="6" t="str">
        <f>IFERROR(__xludf.DUMMYFUNCTION("""COMPUTED_VALUE"""),"CD-YOLO-based deep learning method for weed detection in vegetables")</f>
        <v>CD-YOLO-based deep learning method for weed detection in vegetables</v>
      </c>
      <c r="C26" s="5" t="str">
        <f>IFERROR(__xludf.DUMMYFUNCTION("""COMPUTED_VALUE"""),"10.1017/wsc.2025.10074")</f>
        <v>10.1017/wsc.2025.10074</v>
      </c>
      <c r="D26" s="5">
        <f>IFERROR(__xludf.DUMMYFUNCTION("""COMPUTED_VALUE"""),2025.0)</f>
        <v>2025</v>
      </c>
    </row>
    <row r="27" ht="15.75" customHeight="1">
      <c r="A27" s="5" t="str">
        <f>IFERROR(__xludf.DUMMYFUNCTION("""COMPUTED_VALUE"""),"SCOPUS-000611")</f>
        <v>SCOPUS-000611</v>
      </c>
      <c r="B27" s="6" t="str">
        <f>IFERROR(__xludf.DUMMYFUNCTION("""COMPUTED_VALUE"""),"A Lightweight Deep Learning Model for Identifying Weeds in Corn and Soybean Using Quantization")</f>
        <v>A Lightweight Deep Learning Model for Identifying Weeds in Corn and Soybean Using Quantization</v>
      </c>
      <c r="C27" s="5" t="str">
        <f>IFERROR(__xludf.DUMMYFUNCTION("""COMPUTED_VALUE"""),"10.3390/ASEC2023-15811")</f>
        <v>10.3390/ASEC2023-15811</v>
      </c>
      <c r="D27" s="5">
        <f>IFERROR(__xludf.DUMMYFUNCTION("""COMPUTED_VALUE"""),2023.0)</f>
        <v>2023</v>
      </c>
    </row>
    <row r="28" ht="15.75" customHeight="1">
      <c r="A28" s="5" t="str">
        <f>IFERROR(__xludf.DUMMYFUNCTION("""COMPUTED_VALUE"""),"SCOPUS-000738")</f>
        <v>SCOPUS-000738</v>
      </c>
      <c r="B28" s="6" t="str">
        <f>IFERROR(__xludf.DUMMYFUNCTION("""COMPUTED_VALUE"""),"A Patch-Image Based Classification Approach for Detection of Weeds in Sugar Beet Crop")</f>
        <v>A Patch-Image Based Classification Approach for Detection of Weeds in Sugar Beet Crop</v>
      </c>
      <c r="C28" s="5" t="str">
        <f>IFERROR(__xludf.DUMMYFUNCTION("""COMPUTED_VALUE"""),"10.1109/ACCESS.2021.3109015")</f>
        <v>10.1109/ACCESS.2021.3109015</v>
      </c>
      <c r="D28" s="5">
        <f>IFERROR(__xludf.DUMMYFUNCTION("""COMPUTED_VALUE"""),2021.0)</f>
        <v>2021</v>
      </c>
    </row>
    <row r="29" ht="15.75" customHeight="1">
      <c r="A29" s="5" t="str">
        <f>IFERROR(__xludf.DUMMYFUNCTION("""COMPUTED_VALUE"""),"SCOPUS-000114")</f>
        <v>SCOPUS-000114</v>
      </c>
      <c r="B29" s="6" t="str">
        <f>IFERROR(__xludf.DUMMYFUNCTION("""COMPUTED_VALUE"""),"Advanced classification techniques for weed and crop species recognition using machine learning algorithms")</f>
        <v>Advanced classification techniques for weed and crop species recognition using machine learning algorithms</v>
      </c>
      <c r="C29" s="5" t="str">
        <f>IFERROR(__xludf.DUMMYFUNCTION("""COMPUTED_VALUE"""),"10.11591/ijaas.v14.i2.pp300-309")</f>
        <v>10.11591/ijaas.v14.i2.pp300-309</v>
      </c>
      <c r="D29" s="5">
        <f>IFERROR(__xludf.DUMMYFUNCTION("""COMPUTED_VALUE"""),2025.0)</f>
        <v>2025</v>
      </c>
    </row>
    <row r="30" ht="15.75" customHeight="1">
      <c r="A30" s="5" t="str">
        <f>IFERROR(__xludf.DUMMYFUNCTION("""COMPUTED_VALUE"""),"SCOPUS-000366")</f>
        <v>SCOPUS-000366</v>
      </c>
      <c r="B30" s="6" t="str">
        <f>IFERROR(__xludf.DUMMYFUNCTION("""COMPUTED_VALUE"""),"A Combination of Transfer Learning and Support Vector Machine for Robust Classification on Small Weed and Potato Datasets")</f>
        <v>A Combination of Transfer Learning and Support Vector Machine for Robust Classification on Small Weed and Potato Datasets</v>
      </c>
      <c r="C30" s="5" t="str">
        <f>IFERROR(__xludf.DUMMYFUNCTION("""COMPUTED_VALUE"""),"10.30630/joiv.7.2.1164")</f>
        <v>10.30630/joiv.7.2.1164</v>
      </c>
      <c r="D30" s="5">
        <f>IFERROR(__xludf.DUMMYFUNCTION("""COMPUTED_VALUE"""),2023.0)</f>
        <v>2023</v>
      </c>
    </row>
    <row r="31" ht="15.75" customHeight="1">
      <c r="A31" s="5" t="str">
        <f>IFERROR(__xludf.DUMMYFUNCTION("""COMPUTED_VALUE"""),"SCOPUS-000286")</f>
        <v>SCOPUS-000286</v>
      </c>
      <c r="B31" s="6" t="str">
        <f>IFERROR(__xludf.DUMMYFUNCTION("""COMPUTED_VALUE"""),"A Two-Stage Weed Detection and Localization Method for Lily Fields Targeting Laser Weeding")</f>
        <v>A Two-Stage Weed Detection and Localization Method for Lily Fields Targeting Laser Weeding</v>
      </c>
      <c r="C31" s="5" t="str">
        <f>IFERROR(__xludf.DUMMYFUNCTION("""COMPUTED_VALUE"""),"10.3390/agriculture15181967")</f>
        <v>10.3390/agriculture15181967</v>
      </c>
      <c r="D31" s="5">
        <f>IFERROR(__xludf.DUMMYFUNCTION("""COMPUTED_VALUE"""),2025.0)</f>
        <v>2025</v>
      </c>
    </row>
    <row r="32" ht="15.75" customHeight="1">
      <c r="A32" s="5" t="str">
        <f>IFERROR(__xludf.DUMMYFUNCTION("""COMPUTED_VALUE"""),"SCOPUS-000283")</f>
        <v>SCOPUS-000283</v>
      </c>
      <c r="B32" s="6" t="str">
        <f>IFERROR(__xludf.DUMMYFUNCTION("""COMPUTED_VALUE"""),"TARGET DETECTION FOR WEEDING ROBOTS BASED ON IMPROVED YOLOv11 MODELS")</f>
        <v>TARGET DETECTION FOR WEEDING ROBOTS BASED ON IMPROVED YOLOv11 MODELS</v>
      </c>
      <c r="C32" s="5" t="str">
        <f>IFERROR(__xludf.DUMMYFUNCTION("""COMPUTED_VALUE"""),"10.1590/1809-4430-Eng.Agric.v45e20250032/2025")</f>
        <v>10.1590/1809-4430-Eng.Agric.v45e20250032/2025</v>
      </c>
      <c r="D32" s="5">
        <f>IFERROR(__xludf.DUMMYFUNCTION("""COMPUTED_VALUE"""),2025.0)</f>
        <v>2025</v>
      </c>
    </row>
    <row r="33" ht="15.75" customHeight="1">
      <c r="A33" s="5" t="str">
        <f>IFERROR(__xludf.DUMMYFUNCTION("""COMPUTED_VALUE"""),"SCOPUS-000276")</f>
        <v>SCOPUS-000276</v>
      </c>
      <c r="B33" s="6" t="str">
        <f>IFERROR(__xludf.DUMMYFUNCTION("""COMPUTED_VALUE"""),"Hybrid Attention-Based Prototypical Network for Weed Identification in Precision Agriculture")</f>
        <v>Hybrid Attention-Based Prototypical Network for Weed Identification in Precision Agriculture</v>
      </c>
      <c r="C33" s="5" t="str">
        <f>IFERROR(__xludf.DUMMYFUNCTION("""COMPUTED_VALUE"""),"10.1007/s41314-025-00070-9")</f>
        <v>10.1007/s41314-025-00070-9</v>
      </c>
      <c r="D33" s="5">
        <f>IFERROR(__xludf.DUMMYFUNCTION("""COMPUTED_VALUE"""),2025.0)</f>
        <v>2025</v>
      </c>
    </row>
    <row r="34" ht="15.75" customHeight="1">
      <c r="A34" s="5" t="str">
        <f>IFERROR(__xludf.DUMMYFUNCTION("""COMPUTED_VALUE"""),"SCOPUS-000246")</f>
        <v>SCOPUS-000246</v>
      </c>
      <c r="B34" s="6" t="str">
        <f>IFERROR(__xludf.DUMMYFUNCTION("""COMPUTED_VALUE"""),"Exploiting adversarial style for generalized and robust weed segmentation in rice paddy field")</f>
        <v>Exploiting adversarial style for generalized and robust weed segmentation in rice paddy field</v>
      </c>
      <c r="C34" s="5" t="str">
        <f>IFERROR(__xludf.DUMMYFUNCTION("""COMPUTED_VALUE"""),"10.3389/fpls.2025.1703811")</f>
        <v>10.3389/fpls.2025.1703811</v>
      </c>
      <c r="D34" s="5">
        <f>IFERROR(__xludf.DUMMYFUNCTION("""COMPUTED_VALUE"""),2025.0)</f>
        <v>2025</v>
      </c>
    </row>
    <row r="35" ht="15.75" customHeight="1">
      <c r="A35" s="5" t="str">
        <f>IFERROR(__xludf.DUMMYFUNCTION("""COMPUTED_VALUE"""),"SCOPUS-000599")</f>
        <v>SCOPUS-000599</v>
      </c>
      <c r="B35" s="6" t="str">
        <f>IFERROR(__xludf.DUMMYFUNCTION("""COMPUTED_VALUE"""),"Transfer Learning-based Weed Classification and Detection for Precision Agriculture")</f>
        <v>Transfer Learning-based Weed Classification and Detection for Precision Agriculture</v>
      </c>
      <c r="C35" s="5" t="str">
        <f>IFERROR(__xludf.DUMMYFUNCTION("""COMPUTED_VALUE"""),"10.14569/IJACSA.2024.0150646")</f>
        <v>10.14569/IJACSA.2024.0150646</v>
      </c>
      <c r="D35" s="5">
        <f>IFERROR(__xludf.DUMMYFUNCTION("""COMPUTED_VALUE"""),2024.0)</f>
        <v>2024</v>
      </c>
    </row>
    <row r="36" ht="15.75" customHeight="1">
      <c r="A36" s="5" t="str">
        <f>IFERROR(__xludf.DUMMYFUNCTION("""COMPUTED_VALUE"""),"SCOPUS-000280")</f>
        <v>SCOPUS-000280</v>
      </c>
      <c r="B36" s="6" t="str">
        <f>IFERROR(__xludf.DUMMYFUNCTION("""COMPUTED_VALUE"""),"YOLOv12-BDA: A Dynamic Multi-Scale Architecture for Small Weed Detection in Sesame Fields")</f>
        <v>YOLOv12-BDA: A Dynamic Multi-Scale Architecture for Small Weed Detection in Sesame Fields</v>
      </c>
      <c r="C36" s="5" t="str">
        <f>IFERROR(__xludf.DUMMYFUNCTION("""COMPUTED_VALUE"""),"10.3390/s25226927")</f>
        <v>10.3390/s25226927</v>
      </c>
      <c r="D36" s="5">
        <f>IFERROR(__xludf.DUMMYFUNCTION("""COMPUTED_VALUE"""),2025.0)</f>
        <v>2025</v>
      </c>
    </row>
    <row r="37" ht="15.75" customHeight="1">
      <c r="A37" s="5" t="str">
        <f>IFERROR(__xludf.DUMMYFUNCTION("""COMPUTED_VALUE"""),"SCOPUS-000063")</f>
        <v>SCOPUS-000063</v>
      </c>
      <c r="B37" s="6" t="str">
        <f>IFERROR(__xludf.DUMMYFUNCTION("""COMPUTED_VALUE"""),"A Semi-Supervised Diffusion-Based Framework for Weed Detection in Precision Agricultural Scenarios Using a Generative Attention Mechanism")</f>
        <v>A Semi-Supervised Diffusion-Based Framework for Weed Detection in Precision Agricultural Scenarios Using a Generative Attention Mechanism</v>
      </c>
      <c r="C37" s="5" t="str">
        <f>IFERROR(__xludf.DUMMYFUNCTION("""COMPUTED_VALUE"""),"10.3390/agriculture15040434")</f>
        <v>10.3390/agriculture15040434</v>
      </c>
      <c r="D37" s="5">
        <f>IFERROR(__xludf.DUMMYFUNCTION("""COMPUTED_VALUE"""),2025.0)</f>
        <v>2025</v>
      </c>
    </row>
    <row r="38" ht="15.75" customHeight="1">
      <c r="A38" s="5" t="str">
        <f>IFERROR(__xludf.DUMMYFUNCTION("""COMPUTED_VALUE"""),"SCOPUS-000017")</f>
        <v>SCOPUS-000017</v>
      </c>
      <c r="B38" s="6" t="str">
        <f>IFERROR(__xludf.DUMMYFUNCTION("""COMPUTED_VALUE"""),"MSEA-Net: Multi-Scale and Edge-Aware Network for Weed Segmentation")</f>
        <v>MSEA-Net: Multi-Scale and Edge-Aware Network for Weed Segmentation</v>
      </c>
      <c r="C38" s="5" t="str">
        <f>IFERROR(__xludf.DUMMYFUNCTION("""COMPUTED_VALUE"""),"10.3390/agriengineering7040103")</f>
        <v>10.3390/agriengineering7040103</v>
      </c>
      <c r="D38" s="5">
        <f>IFERROR(__xludf.DUMMYFUNCTION("""COMPUTED_VALUE"""),2025.0)</f>
        <v>2025</v>
      </c>
    </row>
    <row r="39" ht="15.75" customHeight="1">
      <c r="A39" s="5" t="str">
        <f>IFERROR(__xludf.DUMMYFUNCTION("""COMPUTED_VALUE"""),"SCOPUS-000244")</f>
        <v>SCOPUS-000244</v>
      </c>
      <c r="B39" s="6" t="str">
        <f>IFERROR(__xludf.DUMMYFUNCTION("""COMPUTED_VALUE"""),"WeedCLR: Weed contrastive learning through visual representations with class-optimized loss in long-tailed datasets")</f>
        <v>WeedCLR: Weed contrastive learning through visual representations with class-optimized loss in long-tailed datasets</v>
      </c>
      <c r="C39" s="5" t="str">
        <f>IFERROR(__xludf.DUMMYFUNCTION("""COMPUTED_VALUE"""),"10.1016/j.compag.2024.109526")</f>
        <v>10.1016/j.compag.2024.109526</v>
      </c>
      <c r="D39" s="5">
        <f>IFERROR(__xludf.DUMMYFUNCTION("""COMPUTED_VALUE"""),2024.0)</f>
        <v>2024</v>
      </c>
    </row>
    <row r="40" ht="15.75" customHeight="1">
      <c r="A40" s="5" t="str">
        <f>IFERROR(__xludf.DUMMYFUNCTION("""COMPUTED_VALUE"""),"SCOPUS-000064")</f>
        <v>SCOPUS-000064</v>
      </c>
      <c r="B40" s="6" t="str">
        <f>IFERROR(__xludf.DUMMYFUNCTION("""COMPUTED_VALUE"""),"Detection of weeds in teff crops using deep learning and UAV imagery for precision herbicide application")</f>
        <v>Detection of weeds in teff crops using deep learning and UAV imagery for precision herbicide application</v>
      </c>
      <c r="C40" s="5" t="str">
        <f>IFERROR(__xludf.DUMMYFUNCTION("""COMPUTED_VALUE"""),"10.1038/s41598-025-15380-3")</f>
        <v>10.1038/s41598-025-15380-3</v>
      </c>
      <c r="D40" s="5">
        <f>IFERROR(__xludf.DUMMYFUNCTION("""COMPUTED_VALUE"""),2025.0)</f>
        <v>2025</v>
      </c>
    </row>
    <row r="41" ht="15.75" customHeight="1">
      <c r="A41" s="5" t="str">
        <f>IFERROR(__xludf.DUMMYFUNCTION("""COMPUTED_VALUE"""),"SCOPUS-000320")</f>
        <v>SCOPUS-000320</v>
      </c>
      <c r="B41" s="6" t="str">
        <f>IFERROR(__xludf.DUMMYFUNCTION("""COMPUTED_VALUE"""),"YOLOv7 for Weed Detection in Cotton Fields Using UAV Imagery")</f>
        <v>YOLOv7 for Weed Detection in Cotton Fields Using UAV Imagery</v>
      </c>
      <c r="C41" s="5" t="str">
        <f>IFERROR(__xludf.DUMMYFUNCTION("""COMPUTED_VALUE"""),"10.3390/agriengineering7100313")</f>
        <v>10.3390/agriengineering7100313</v>
      </c>
      <c r="D41" s="5">
        <f>IFERROR(__xludf.DUMMYFUNCTION("""COMPUTED_VALUE"""),2025.0)</f>
        <v>2025</v>
      </c>
    </row>
    <row r="42" ht="15.75" customHeight="1">
      <c r="A42" s="5" t="str">
        <f>IFERROR(__xludf.DUMMYFUNCTION("""COMPUTED_VALUE"""),"SCOPUS-000086")</f>
        <v>SCOPUS-000086</v>
      </c>
      <c r="B42" s="6" t="str">
        <f>IFERROR(__xludf.DUMMYFUNCTION("""COMPUTED_VALUE"""),"Semi-supervised weed detection for rapid deployment and enhanced efficiency")</f>
        <v>Semi-supervised weed detection for rapid deployment and enhanced efficiency</v>
      </c>
      <c r="C42" s="5" t="str">
        <f>IFERROR(__xludf.DUMMYFUNCTION("""COMPUTED_VALUE"""),"10.1016/j.compag.2025.110410")</f>
        <v>10.1016/j.compag.2025.110410</v>
      </c>
      <c r="D42" s="5">
        <f>IFERROR(__xludf.DUMMYFUNCTION("""COMPUTED_VALUE"""),2025.0)</f>
        <v>2025</v>
      </c>
    </row>
    <row r="43" ht="15.75" customHeight="1">
      <c r="A43" s="5" t="str">
        <f>IFERROR(__xludf.DUMMYFUNCTION("""COMPUTED_VALUE"""),"SCOPUS-000652")</f>
        <v>SCOPUS-000652</v>
      </c>
      <c r="B43" s="6" t="str">
        <f>IFERROR(__xludf.DUMMYFUNCTION("""COMPUTED_VALUE"""),"Developing an extreme learning machine based approach to weed segmentation in pastures")</f>
        <v>Developing an extreme learning machine based approach to weed segmentation in pastures</v>
      </c>
      <c r="C43" s="5" t="str">
        <f>IFERROR(__xludf.DUMMYFUNCTION("""COMPUTED_VALUE"""),"10.1016/j.atech.2023.100288")</f>
        <v>10.1016/j.atech.2023.100288</v>
      </c>
      <c r="D43" s="5">
        <f>IFERROR(__xludf.DUMMYFUNCTION("""COMPUTED_VALUE"""),2023.0)</f>
        <v>2023</v>
      </c>
    </row>
    <row r="44" ht="15.75" customHeight="1">
      <c r="A44" s="5" t="str">
        <f>IFERROR(__xludf.DUMMYFUNCTION("""COMPUTED_VALUE"""),"SCOPUS-000146")</f>
        <v>SCOPUS-000146</v>
      </c>
      <c r="B44" s="6" t="str">
        <f>IFERROR(__xludf.DUMMYFUNCTION("""COMPUTED_VALUE"""),"Addressing computation resource exhaustion associated with deep learning training of three-dimensional hyperspectral images using multiclass weed classification")</f>
        <v>Addressing computation resource exhaustion associated with deep learning training of three-dimensional hyperspectral images using multiclass weed classification</v>
      </c>
      <c r="C44" s="5" t="str">
        <f>IFERROR(__xludf.DUMMYFUNCTION("""COMPUTED_VALUE"""),"10.1016/j.aiia.2025.02.005")</f>
        <v>10.1016/j.aiia.2025.02.005</v>
      </c>
      <c r="D44" s="5">
        <f>IFERROR(__xludf.DUMMYFUNCTION("""COMPUTED_VALUE"""),2025.0)</f>
        <v>2025</v>
      </c>
    </row>
    <row r="45" ht="15.75" customHeight="1">
      <c r="A45" s="5" t="str">
        <f>IFERROR(__xludf.DUMMYFUNCTION("""COMPUTED_VALUE"""),"SCOPUS-000407")</f>
        <v>SCOPUS-000407</v>
      </c>
      <c r="B45" s="6" t="str">
        <f>IFERROR(__xludf.DUMMYFUNCTION("""COMPUTED_VALUE"""),"Weed detection with Improved Yolov 7")</f>
        <v>Weed detection with Improved Yolov 7</v>
      </c>
      <c r="C45" s="5" t="str">
        <f>IFERROR(__xludf.DUMMYFUNCTION("""COMPUTED_VALUE"""),"10.4108/eetiot.v9i3.3468")</f>
        <v>10.4108/eetiot.v9i3.3468</v>
      </c>
      <c r="D45" s="5">
        <f>IFERROR(__xludf.DUMMYFUNCTION("""COMPUTED_VALUE"""),2023.0)</f>
        <v>2023</v>
      </c>
    </row>
    <row r="46" ht="15.75" customHeight="1">
      <c r="A46" s="5" t="str">
        <f>IFERROR(__xludf.DUMMYFUNCTION("""COMPUTED_VALUE"""),"SCOPUS-000352")</f>
        <v>SCOPUS-000352</v>
      </c>
      <c r="B46" s="6" t="str">
        <f>IFERROR(__xludf.DUMMYFUNCTION("""COMPUTED_VALUE"""),"An Improved UNet Lightweight Network for Semantic Segmentation of Weed Images in Corn Fields")</f>
        <v>An Improved UNet Lightweight Network for Semantic Segmentation of Weed Images in Corn Fields</v>
      </c>
      <c r="C46" s="5" t="str">
        <f>IFERROR(__xludf.DUMMYFUNCTION("""COMPUTED_VALUE"""),"10.32604/cmc.2024.049805")</f>
        <v>10.32604/cmc.2024.049805</v>
      </c>
      <c r="D46" s="5">
        <f>IFERROR(__xludf.DUMMYFUNCTION("""COMPUTED_VALUE"""),2024.0)</f>
        <v>2024</v>
      </c>
    </row>
    <row r="47" ht="15.75" customHeight="1">
      <c r="A47" s="5" t="str">
        <f>IFERROR(__xludf.DUMMYFUNCTION("""COMPUTED_VALUE"""),"SCOPUS-000175")</f>
        <v>SCOPUS-000175</v>
      </c>
      <c r="B47" s="6" t="str">
        <f>IFERROR(__xludf.DUMMYFUNCTION("""COMPUTED_VALUE"""),"PD-YOLO: a novel weed detection method based on multi-scale feature fusion")</f>
        <v>PD-YOLO: a novel weed detection method based on multi-scale feature fusion</v>
      </c>
      <c r="C47" s="5" t="str">
        <f>IFERROR(__xludf.DUMMYFUNCTION("""COMPUTED_VALUE"""),"10.3389/fpls.2025.1506524")</f>
        <v>10.3389/fpls.2025.1506524</v>
      </c>
      <c r="D47" s="5">
        <f>IFERROR(__xludf.DUMMYFUNCTION("""COMPUTED_VALUE"""),2025.0)</f>
        <v>2025</v>
      </c>
    </row>
    <row r="48" ht="15.75" customHeight="1">
      <c r="A48" s="5" t="str">
        <f>IFERROR(__xludf.DUMMYFUNCTION("""COMPUTED_VALUE"""),"SCOPUS-000574")</f>
        <v>SCOPUS-000574</v>
      </c>
      <c r="B48" s="6" t="str">
        <f>IFERROR(__xludf.DUMMYFUNCTION("""COMPUTED_VALUE"""),"Overcoming field variability: unsupervised domain adaptation for enhanced crop-weed recognition in diverse farmlands")</f>
        <v>Overcoming field variability: unsupervised domain adaptation for enhanced crop-weed recognition in diverse farmlands</v>
      </c>
      <c r="C48" s="5" t="str">
        <f>IFERROR(__xludf.DUMMYFUNCTION("""COMPUTED_VALUE"""),"10.3389/fpls.2023.1234616")</f>
        <v>10.3389/fpls.2023.1234616</v>
      </c>
      <c r="D48" s="5">
        <f>IFERROR(__xludf.DUMMYFUNCTION("""COMPUTED_VALUE"""),2023.0)</f>
        <v>2023</v>
      </c>
    </row>
    <row r="49" ht="15.75" customHeight="1">
      <c r="A49" s="5" t="str">
        <f>IFERROR(__xludf.DUMMYFUNCTION("""COMPUTED_VALUE"""),"SCOPUS-000358")</f>
        <v>SCOPUS-000358</v>
      </c>
      <c r="B49" s="6" t="str">
        <f>IFERROR(__xludf.DUMMYFUNCTION("""COMPUTED_VALUE"""),"SC-Net: A new strip convolutional network model for rice seedling and weed segmentation in paddy field")</f>
        <v>SC-Net: A new strip convolutional network model for rice seedling and weed segmentation in paddy field</v>
      </c>
      <c r="C49" s="5" t="str">
        <f>IFERROR(__xludf.DUMMYFUNCTION("""COMPUTED_VALUE"""),"10.1016/j.compag.2024.108862")</f>
        <v>10.1016/j.compag.2024.108862</v>
      </c>
      <c r="D49" s="5">
        <f>IFERROR(__xludf.DUMMYFUNCTION("""COMPUTED_VALUE"""),2024.0)</f>
        <v>2024</v>
      </c>
    </row>
    <row r="50" ht="15.75" customHeight="1">
      <c r="A50" s="5" t="str">
        <f>IFERROR(__xludf.DUMMYFUNCTION("""COMPUTED_VALUE"""),"SCOPUS-000265")</f>
        <v>SCOPUS-000265</v>
      </c>
      <c r="B50" s="6" t="str">
        <f>IFERROR(__xludf.DUMMYFUNCTION("""COMPUTED_VALUE"""),"STBNA-YOLOv5: An Improved YOLOv5 Network for Weed Detection in Rapeseed Field")</f>
        <v>STBNA-YOLOv5: An Improved YOLOv5 Network for Weed Detection in Rapeseed Field</v>
      </c>
      <c r="C50" s="5" t="str">
        <f>IFERROR(__xludf.DUMMYFUNCTION("""COMPUTED_VALUE"""),"10.3390/agriculture15010022")</f>
        <v>10.3390/agriculture15010022</v>
      </c>
      <c r="D50" s="5">
        <f>IFERROR(__xludf.DUMMYFUNCTION("""COMPUTED_VALUE"""),2024.0)</f>
        <v>2024</v>
      </c>
    </row>
    <row r="51" ht="15.75" customHeight="1">
      <c r="A51" s="5" t="str">
        <f>IFERROR(__xludf.DUMMYFUNCTION("""COMPUTED_VALUE"""),"SCOPUS-000563")</f>
        <v>SCOPUS-000563</v>
      </c>
      <c r="B51" s="6" t="str">
        <f>IFERROR(__xludf.DUMMYFUNCTION("""COMPUTED_VALUE"""),"Formation of a Lightweight, Deep Learning-Based Weed Detection System for a Commercial Autonomous Laser Weeding Robot")</f>
        <v>Formation of a Lightweight, Deep Learning-Based Weed Detection System for a Commercial Autonomous Laser Weeding Robot</v>
      </c>
      <c r="C51" s="5" t="str">
        <f>IFERROR(__xludf.DUMMYFUNCTION("""COMPUTED_VALUE"""),"10.3390/app13063997")</f>
        <v>10.3390/app13063997</v>
      </c>
      <c r="D51" s="5">
        <f>IFERROR(__xludf.DUMMYFUNCTION("""COMPUTED_VALUE"""),2023.0)</f>
        <v>2023</v>
      </c>
    </row>
    <row r="52" ht="15.75" customHeight="1">
      <c r="A52" s="5" t="str">
        <f>IFERROR(__xludf.DUMMYFUNCTION("""COMPUTED_VALUE"""),"SCOPUS-000433")</f>
        <v>SCOPUS-000433</v>
      </c>
      <c r="B52" s="6" t="str">
        <f>IFERROR(__xludf.DUMMYFUNCTION("""COMPUTED_VALUE"""),"SE-YOLOv5x: An Optimized Model Based on Transfer Learning and Visual Attention Mechanism for Identifying and Localizing Weeds and Vegetables")</f>
        <v>SE-YOLOv5x: An Optimized Model Based on Transfer Learning and Visual Attention Mechanism for Identifying and Localizing Weeds and Vegetables</v>
      </c>
      <c r="C52" s="5" t="str">
        <f>IFERROR(__xludf.DUMMYFUNCTION("""COMPUTED_VALUE"""),"10.3390/agronomy12092061")</f>
        <v>10.3390/agronomy12092061</v>
      </c>
      <c r="D52" s="5">
        <f>IFERROR(__xludf.DUMMYFUNCTION("""COMPUTED_VALUE"""),2022.0)</f>
        <v>2022</v>
      </c>
    </row>
    <row r="53" ht="15.75" customHeight="1">
      <c r="A53" s="5" t="str">
        <f>IFERROR(__xludf.DUMMYFUNCTION("""COMPUTED_VALUE"""),"SCOPUS-000333")</f>
        <v>SCOPUS-000333</v>
      </c>
      <c r="B53" s="6" t="str">
        <f>IFERROR(__xludf.DUMMYFUNCTION("""COMPUTED_VALUE"""),"Use of synthetic images for training a deep learning model for weed detection and biomass estimation in cotton")</f>
        <v>Use of synthetic images for training a deep learning model for weed detection and biomass estimation in cotton</v>
      </c>
      <c r="C53" s="5" t="str">
        <f>IFERROR(__xludf.DUMMYFUNCTION("""COMPUTED_VALUE"""),"10.1038/s41598-022-23399-z")</f>
        <v>10.1038/s41598-022-23399-z</v>
      </c>
      <c r="D53" s="5">
        <f>IFERROR(__xludf.DUMMYFUNCTION("""COMPUTED_VALUE"""),2022.0)</f>
        <v>2022</v>
      </c>
    </row>
    <row r="54" ht="15.75" customHeight="1">
      <c r="A54" s="5" t="str">
        <f>IFERROR(__xludf.DUMMYFUNCTION("""COMPUTED_VALUE"""),"SCOPUS-000391")</f>
        <v>SCOPUS-000391</v>
      </c>
      <c r="B54" s="6" t="str">
        <f>IFERROR(__xludf.DUMMYFUNCTION("""COMPUTED_VALUE"""),"A novel semi-supervised framework for UAV based crop/weed classification")</f>
        <v>A novel semi-supervised framework for UAV based crop/weed classification</v>
      </c>
      <c r="C54" s="5" t="str">
        <f>IFERROR(__xludf.DUMMYFUNCTION("""COMPUTED_VALUE"""),"10.1371/journal.pone.0251008")</f>
        <v>10.1371/journal.pone.0251008</v>
      </c>
      <c r="D54" s="5">
        <f>IFERROR(__xludf.DUMMYFUNCTION("""COMPUTED_VALUE"""),2021.0)</f>
        <v>2021</v>
      </c>
    </row>
    <row r="55" ht="15.75" customHeight="1">
      <c r="A55" s="5" t="str">
        <f>IFERROR(__xludf.DUMMYFUNCTION("""COMPUTED_VALUE"""),"SCOPUS-000637")</f>
        <v>SCOPUS-000637</v>
      </c>
      <c r="B55" s="6" t="str">
        <f>IFERROR(__xludf.DUMMYFUNCTION("""COMPUTED_VALUE"""),"TIA-YOLOv5: An improved YOLOv5 network for real-time detection of crop and weed in the field")</f>
        <v>TIA-YOLOv5: An improved YOLOv5 network for real-time detection of crop and weed in the field</v>
      </c>
      <c r="C55" s="5" t="str">
        <f>IFERROR(__xludf.DUMMYFUNCTION("""COMPUTED_VALUE"""),"10.3389/fpls.2022.1091655")</f>
        <v>10.3389/fpls.2022.1091655</v>
      </c>
      <c r="D55" s="5">
        <f>IFERROR(__xludf.DUMMYFUNCTION("""COMPUTED_VALUE"""),2022.0)</f>
        <v>2022</v>
      </c>
    </row>
    <row r="56" ht="15.75" customHeight="1">
      <c r="A56" s="5" t="str">
        <f>IFERROR(__xludf.DUMMYFUNCTION("""COMPUTED_VALUE"""),"SCOPUS-000700")</f>
        <v>SCOPUS-000700</v>
      </c>
      <c r="B56" s="6" t="str">
        <f>IFERROR(__xludf.DUMMYFUNCTION("""COMPUTED_VALUE"""),"Weed Density and Distribution Estimation for Precision Agriculture Using Semi-Supervised Learning")</f>
        <v>Weed Density and Distribution Estimation for Precision Agriculture Using Semi-Supervised Learning</v>
      </c>
      <c r="C56" s="5" t="str">
        <f>IFERROR(__xludf.DUMMYFUNCTION("""COMPUTED_VALUE"""),"10.1109/ACCESS.2021.3057912")</f>
        <v>10.1109/ACCESS.2021.3057912</v>
      </c>
      <c r="D56" s="5">
        <f>IFERROR(__xludf.DUMMYFUNCTION("""COMPUTED_VALUE"""),2021.0)</f>
        <v>2021</v>
      </c>
    </row>
    <row r="57" ht="15.75" customHeight="1">
      <c r="A57" s="5" t="str">
        <f>IFERROR(__xludf.DUMMYFUNCTION("""COMPUTED_VALUE"""),"SCOPUS-000719")</f>
        <v>SCOPUS-000719</v>
      </c>
      <c r="B57" s="6" t="str">
        <f>IFERROR(__xludf.DUMMYFUNCTION("""COMPUTED_VALUE"""),"A DNN-based semantic segmentation for detecting weed and crop")</f>
        <v>A DNN-based semantic segmentation for detecting weed and crop</v>
      </c>
      <c r="C57" s="5" t="str">
        <f>IFERROR(__xludf.DUMMYFUNCTION("""COMPUTED_VALUE"""),"10.1016/j.compag.2020.105750")</f>
        <v>10.1016/j.compag.2020.105750</v>
      </c>
      <c r="D57" s="5">
        <f>IFERROR(__xludf.DUMMYFUNCTION("""COMPUTED_VALUE"""),2020.0)</f>
        <v>2020</v>
      </c>
    </row>
    <row r="58" ht="15.75" customHeight="1">
      <c r="A58" s="5" t="str">
        <f>IFERROR(__xludf.DUMMYFUNCTION("""COMPUTED_VALUE"""),"SCOPUS-000713")</f>
        <v>SCOPUS-000713</v>
      </c>
      <c r="B58" s="6" t="str">
        <f>IFERROR(__xludf.DUMMYFUNCTION("""COMPUTED_VALUE"""),"Semantic Segmentation of Crop and Weed using an Encoder-Decoder Network and Image Enhancement Method under Uncontrolled Outdoor Illumination")</f>
        <v>Semantic Segmentation of Crop and Weed using an Encoder-Decoder Network and Image Enhancement Method under Uncontrolled Outdoor Illumination</v>
      </c>
      <c r="C58" s="5" t="str">
        <f>IFERROR(__xludf.DUMMYFUNCTION("""COMPUTED_VALUE"""),"10.1109/ACCESS.2020.2991354")</f>
        <v>10.1109/ACCESS.2020.2991354</v>
      </c>
      <c r="D58" s="5">
        <f>IFERROR(__xludf.DUMMYFUNCTION("""COMPUTED_VALUE"""),2020.0)</f>
        <v>2020</v>
      </c>
    </row>
    <row r="59" ht="15.75" customHeight="1">
      <c r="A59" s="5" t="str">
        <f>IFERROR(__xludf.DUMMYFUNCTION("""COMPUTED_VALUE"""),"SCOPUS-000448")</f>
        <v>SCOPUS-000448</v>
      </c>
      <c r="B59" s="6" t="str">
        <f>IFERROR(__xludf.DUMMYFUNCTION("""COMPUTED_VALUE"""),"Weed detection in soybean crops using custom lightweight deep learning models")</f>
        <v>Weed detection in soybean crops using custom lightweight deep learning models</v>
      </c>
      <c r="C59" s="5" t="str">
        <f>IFERROR(__xludf.DUMMYFUNCTION("""COMPUTED_VALUE"""),"10.1016/j.jafr.2022.100308")</f>
        <v>10.1016/j.jafr.2022.100308</v>
      </c>
      <c r="D59" s="5">
        <f>IFERROR(__xludf.DUMMYFUNCTION("""COMPUTED_VALUE"""),2022.0)</f>
        <v>2022</v>
      </c>
    </row>
    <row r="60" ht="15.75" customHeight="1">
      <c r="A60" s="5" t="str">
        <f>IFERROR(__xludf.DUMMYFUNCTION("""COMPUTED_VALUE"""),"SCOPUS-000375")</f>
        <v>SCOPUS-000375</v>
      </c>
      <c r="B60" s="6" t="str">
        <f>IFERROR(__xludf.DUMMYFUNCTION("""COMPUTED_VALUE"""),"Weed detection and recognition in complex wheat fields based on an improved YOLOv7")</f>
        <v>Weed detection and recognition in complex wheat fields based on an improved YOLOv7</v>
      </c>
      <c r="C60" s="5" t="str">
        <f>IFERROR(__xludf.DUMMYFUNCTION("""COMPUTED_VALUE"""),"10.3389/fpls.2024.1372237")</f>
        <v>10.3389/fpls.2024.1372237</v>
      </c>
      <c r="D60" s="5">
        <f>IFERROR(__xludf.DUMMYFUNCTION("""COMPUTED_VALUE"""),2024.0)</f>
        <v>2024</v>
      </c>
    </row>
    <row r="61" ht="15.75" customHeight="1">
      <c r="A61" s="5" t="str">
        <f>IFERROR(__xludf.DUMMYFUNCTION("""COMPUTED_VALUE"""),"SCOPUS-000261")</f>
        <v>SCOPUS-000261</v>
      </c>
      <c r="B61" s="6" t="str">
        <f>IFERROR(__xludf.DUMMYFUNCTION("""COMPUTED_VALUE"""),"Enhancing rangeland weed detection through convolutional neural networks and transfer learning")</f>
        <v>Enhancing rangeland weed detection through convolutional neural networks and transfer learning</v>
      </c>
      <c r="C61" s="5" t="str">
        <f>IFERROR(__xludf.DUMMYFUNCTION("""COMPUTED_VALUE"""),"10.1016/j.cropd.2024.100060")</f>
        <v>10.1016/j.cropd.2024.100060</v>
      </c>
      <c r="D61" s="5">
        <f>IFERROR(__xludf.DUMMYFUNCTION("""COMPUTED_VALUE"""),2024.0)</f>
        <v>2024</v>
      </c>
    </row>
    <row r="62" ht="15.75" customHeight="1">
      <c r="A62" s="5" t="str">
        <f>IFERROR(__xludf.DUMMYFUNCTION("""COMPUTED_VALUE"""),"SCOPUS-000584")</f>
        <v>SCOPUS-000584</v>
      </c>
      <c r="B62" s="6" t="str">
        <f>IFERROR(__xludf.DUMMYFUNCTION("""COMPUTED_VALUE"""),"Real-Time Detection of Seedling Maize Weeds in Sustainable Agriculture")</f>
        <v>Real-Time Detection of Seedling Maize Weeds in Sustainable Agriculture</v>
      </c>
      <c r="C62" s="5" t="str">
        <f>IFERROR(__xludf.DUMMYFUNCTION("""COMPUTED_VALUE"""),"10.3390/su142215088")</f>
        <v>10.3390/su142215088</v>
      </c>
      <c r="D62" s="5">
        <f>IFERROR(__xludf.DUMMYFUNCTION("""COMPUTED_VALUE"""),2022.0)</f>
        <v>2022</v>
      </c>
    </row>
    <row r="63" ht="15.75" customHeight="1">
      <c r="A63" s="5" t="str">
        <f>IFERROR(__xludf.DUMMYFUNCTION("""COMPUTED_VALUE"""),"WEBSCI-000524")</f>
        <v>WEBSCI-000524</v>
      </c>
      <c r="B63" s="6" t="str">
        <f>IFERROR(__xludf.DUMMYFUNCTION("""COMPUTED_VALUE"""),"Real-Time Weed Control Application Using a Jetson Nano Edge Device and a Spray Mechanism")</f>
        <v>Real-Time Weed Control Application Using a Jetson Nano Edge Device and a Spray Mechanism</v>
      </c>
      <c r="C63" s="5" t="str">
        <f>IFERROR(__xludf.DUMMYFUNCTION("""COMPUTED_VALUE"""),"10.3390/rs14174217")</f>
        <v>10.3390/rs14174217</v>
      </c>
      <c r="D63" s="5">
        <f>IFERROR(__xludf.DUMMYFUNCTION("""COMPUTED_VALUE"""),2022.0)</f>
        <v>2022</v>
      </c>
    </row>
    <row r="64" ht="15.75" customHeight="1">
      <c r="A64" s="5" t="str">
        <f>IFERROR(__xludf.DUMMYFUNCTION("""COMPUTED_VALUE"""),"SCOPUS-000370")</f>
        <v>SCOPUS-000370</v>
      </c>
      <c r="B64" s="6" t="str">
        <f>IFERROR(__xludf.DUMMYFUNCTION("""COMPUTED_VALUE"""),"Image patch-based deep learning approach for crop and weed recognition")</f>
        <v>Image patch-based deep learning approach for crop and weed recognition</v>
      </c>
      <c r="C64" s="5" t="str">
        <f>IFERROR(__xludf.DUMMYFUNCTION("""COMPUTED_VALUE"""),"10.1016/j.ecoinf.2023.102361")</f>
        <v>10.1016/j.ecoinf.2023.102361</v>
      </c>
      <c r="D64" s="5">
        <f>IFERROR(__xludf.DUMMYFUNCTION("""COMPUTED_VALUE"""),2023.0)</f>
        <v>2023</v>
      </c>
    </row>
    <row r="65" ht="15.75" customHeight="1">
      <c r="A65" s="5" t="str">
        <f>IFERROR(__xludf.DUMMYFUNCTION("""COMPUTED_VALUE"""),"SCOPUS-000706")</f>
        <v>SCOPUS-000706</v>
      </c>
      <c r="B65" s="6" t="str">
        <f>IFERROR(__xludf.DUMMYFUNCTION("""COMPUTED_VALUE"""),"Lightweight Semantic Segmentation Network for Real-Time Weed Mapping Using Unmanned Aerial Vehicles")</f>
        <v>Lightweight Semantic Segmentation Network for Real-Time Weed Mapping Using Unmanned Aerial Vehicles</v>
      </c>
      <c r="C65" s="5" t="str">
        <f>IFERROR(__xludf.DUMMYFUNCTION("""COMPUTED_VALUE"""),"10.3390/app10207132")</f>
        <v>10.3390/app10207132</v>
      </c>
      <c r="D65" s="5">
        <f>IFERROR(__xludf.DUMMYFUNCTION("""COMPUTED_VALUE"""),2020.0)</f>
        <v>2020</v>
      </c>
    </row>
    <row r="66" ht="15.75" customHeight="1">
      <c r="A66" s="5" t="str">
        <f>IFERROR(__xludf.DUMMYFUNCTION("""COMPUTED_VALUE"""),"SCOPUS-000013")</f>
        <v>SCOPUS-000013</v>
      </c>
      <c r="B66" s="6" t="str">
        <f>IFERROR(__xludf.DUMMYFUNCTION("""COMPUTED_VALUE"""),"FSEA: Incorporating domain-specific prior knowledge for few-shot weed detection")</f>
        <v>FSEA: Incorporating domain-specific prior knowledge for few-shot weed detection</v>
      </c>
      <c r="C66" s="5" t="str">
        <f>IFERROR(__xludf.DUMMYFUNCTION("""COMPUTED_VALUE"""),"10.1016/j.plaphe.2025.100086")</f>
        <v>10.1016/j.plaphe.2025.100086</v>
      </c>
      <c r="D66" s="5">
        <f>IFERROR(__xludf.DUMMYFUNCTION("""COMPUTED_VALUE"""),2025.0)</f>
        <v>2025</v>
      </c>
    </row>
    <row r="67" ht="15.75" customHeight="1">
      <c r="A67" s="5" t="str">
        <f>IFERROR(__xludf.DUMMYFUNCTION("""COMPUTED_VALUE"""),"SCOPUS-000642")</f>
        <v>SCOPUS-000642</v>
      </c>
      <c r="B67" s="6" t="str">
        <f>IFERROR(__xludf.DUMMYFUNCTION("""COMPUTED_VALUE"""),"RVDR-YOLOv8: A Weed Target Detection Model Based on Improved YOLOv8")</f>
        <v>RVDR-YOLOv8: A Weed Target Detection Model Based on Improved YOLOv8</v>
      </c>
      <c r="C67" s="5" t="str">
        <f>IFERROR(__xludf.DUMMYFUNCTION("""COMPUTED_VALUE"""),"10.3390/electronics13112182")</f>
        <v>10.3390/electronics13112182</v>
      </c>
      <c r="D67" s="5">
        <f>IFERROR(__xludf.DUMMYFUNCTION("""COMPUTED_VALUE"""),2024.0)</f>
        <v>2024</v>
      </c>
    </row>
    <row r="68" ht="15.75" customHeight="1">
      <c r="A68" s="5" t="str">
        <f>IFERROR(__xludf.DUMMYFUNCTION("""COMPUTED_VALUE"""),"SCOPUS-000132")</f>
        <v>SCOPUS-000132</v>
      </c>
      <c r="B68" s="6" t="str">
        <f>IFERROR(__xludf.DUMMYFUNCTION("""COMPUTED_VALUE"""),"Multiclass weed and crop detection using optimized YOLO models on edge devices")</f>
        <v>Multiclass weed and crop detection using optimized YOLO models on edge devices</v>
      </c>
      <c r="C68" s="5" t="str">
        <f>IFERROR(__xludf.DUMMYFUNCTION("""COMPUTED_VALUE"""),"10.1016/j.jafr.2025.102144")</f>
        <v>10.1016/j.jafr.2025.102144</v>
      </c>
      <c r="D68" s="5">
        <f>IFERROR(__xludf.DUMMYFUNCTION("""COMPUTED_VALUE"""),2025.0)</f>
        <v>2025</v>
      </c>
    </row>
    <row r="69" ht="15.75" customHeight="1">
      <c r="A69" s="5" t="str">
        <f>IFERROR(__xludf.DUMMYFUNCTION("""COMPUTED_VALUE"""),"SCOPUS-000121")</f>
        <v>SCOPUS-000121</v>
      </c>
      <c r="B69" s="6" t="str">
        <f>IFERROR(__xludf.DUMMYFUNCTION("""COMPUTED_VALUE"""),"WeedDETR: an efficient and accurate detection method for detecting small-target weeds in UAV images")</f>
        <v>WeedDETR: an efficient and accurate detection method for detecting small-target weeds in UAV images</v>
      </c>
      <c r="C69" s="5" t="str">
        <f>IFERROR(__xludf.DUMMYFUNCTION("""COMPUTED_VALUE"""),"10.1017/wsc.2025.10035")</f>
        <v>10.1017/wsc.2025.10035</v>
      </c>
      <c r="D69" s="5">
        <f>IFERROR(__xludf.DUMMYFUNCTION("""COMPUTED_VALUE"""),2025.0)</f>
        <v>2025</v>
      </c>
    </row>
    <row r="70" ht="15.75" customHeight="1">
      <c r="A70" s="5" t="str">
        <f>IFERROR(__xludf.DUMMYFUNCTION("""COMPUTED_VALUE"""),"SCOPUS-000267")</f>
        <v>SCOPUS-000267</v>
      </c>
      <c r="B70" s="6" t="str">
        <f>IFERROR(__xludf.DUMMYFUNCTION("""COMPUTED_VALUE"""),"Cross-domain transfer learning for weed segmentation and mapping in precision farming using ground and UAV images")</f>
        <v>Cross-domain transfer learning for weed segmentation and mapping in precision farming using ground and UAV images</v>
      </c>
      <c r="C70" s="5" t="str">
        <f>IFERROR(__xludf.DUMMYFUNCTION("""COMPUTED_VALUE"""),"10.1016/j.eswa.2023.122980")</f>
        <v>10.1016/j.eswa.2023.122980</v>
      </c>
      <c r="D70" s="5">
        <f>IFERROR(__xludf.DUMMYFUNCTION("""COMPUTED_VALUE"""),2024.0)</f>
        <v>2024</v>
      </c>
    </row>
    <row r="71" ht="15.75" customHeight="1">
      <c r="A71" s="5" t="str">
        <f>IFERROR(__xludf.DUMMYFUNCTION("""COMPUTED_VALUE"""),"SCOPUS-000074")</f>
        <v>SCOPUS-000074</v>
      </c>
      <c r="B71" s="6" t="str">
        <f>IFERROR(__xludf.DUMMYFUNCTION("""COMPUTED_VALUE"""),"Enhancing the weed segmentation in diverse crop fields using computationally effective concatenated attention U-Net with convolutional block attention module")</f>
        <v>Enhancing the weed segmentation in diverse crop fields using computationally effective concatenated attention U-Net with convolutional block attention module</v>
      </c>
      <c r="C71" s="5" t="str">
        <f>IFERROR(__xludf.DUMMYFUNCTION("""COMPUTED_VALUE"""),"10.1038/s41598-025-31285-7")</f>
        <v>10.1038/s41598-025-31285-7</v>
      </c>
      <c r="D71" s="5">
        <f>IFERROR(__xludf.DUMMYFUNCTION("""COMPUTED_VALUE"""),2026.0)</f>
        <v>2026</v>
      </c>
    </row>
    <row r="72" ht="15.75" customHeight="1">
      <c r="A72" s="5" t="str">
        <f>IFERROR(__xludf.DUMMYFUNCTION("""COMPUTED_VALUE"""),"SCOPUS-000107")</f>
        <v>SCOPUS-000107</v>
      </c>
      <c r="B72" s="6" t="str">
        <f>IFERROR(__xludf.DUMMYFUNCTION("""COMPUTED_VALUE"""),"Efficient crop–weed semantic segmentation via knowledge distillation from DeepLabV3+ to Fast-SCNN")</f>
        <v>Efficient crop–weed semantic segmentation via knowledge distillation from DeepLabV3+ to Fast-SCNN</v>
      </c>
      <c r="C72" s="5" t="str">
        <f>IFERROR(__xludf.DUMMYFUNCTION("""COMPUTED_VALUE"""),"10.1016/j.grets.2026.100357")</f>
        <v>10.1016/j.grets.2026.100357</v>
      </c>
      <c r="D72" s="5">
        <f>IFERROR(__xludf.DUMMYFUNCTION("""COMPUTED_VALUE"""),2026.0)</f>
        <v>2026</v>
      </c>
    </row>
    <row r="73" ht="15.75" customHeight="1">
      <c r="A73" s="5" t="str">
        <f>IFERROR(__xludf.DUMMYFUNCTION("""COMPUTED_VALUE"""),"SCOPUS-000142")</f>
        <v>SCOPUS-000142</v>
      </c>
      <c r="B73" s="6" t="str">
        <f>IFERROR(__xludf.DUMMYFUNCTION("""COMPUTED_VALUE"""),"DGS-Net: A Lightweight Deformable and Occlusion-Aware Network for Paddy Weed Detection on Edge Devices")</f>
        <v>DGS-Net: A Lightweight Deformable and Occlusion-Aware Network for Paddy Weed Detection on Edge Devices</v>
      </c>
      <c r="C73" s="5" t="str">
        <f>IFERROR(__xludf.DUMMYFUNCTION("""COMPUTED_VALUE"""),"10.3390/agriculture16101039")</f>
        <v>10.3390/agriculture16101039</v>
      </c>
      <c r="D73" s="5">
        <f>IFERROR(__xludf.DUMMYFUNCTION("""COMPUTED_VALUE"""),2026.0)</f>
        <v>2026</v>
      </c>
    </row>
    <row r="74" ht="15.75" customHeight="1">
      <c r="A74" s="5" t="str">
        <f>IFERROR(__xludf.DUMMYFUNCTION("""COMPUTED_VALUE"""),"SCOPUS-000193")</f>
        <v>SCOPUS-000193</v>
      </c>
      <c r="B74" s="6" t="str">
        <f>IFERROR(__xludf.DUMMYFUNCTION("""COMPUTED_VALUE"""),"MCS-YOLO: A Mamba-Enhanced Coordinate and Spatial YOLO Network for Lightweight Weed Detection")</f>
        <v>MCS-YOLO: A Mamba-Enhanced Coordinate and Spatial YOLO Network for Lightweight Weed Detection</v>
      </c>
      <c r="C74" s="5" t="str">
        <f>IFERROR(__xludf.DUMMYFUNCTION("""COMPUTED_VALUE"""),"10.3390/agriculture16050539")</f>
        <v>10.3390/agriculture16050539</v>
      </c>
      <c r="D74" s="5">
        <f>IFERROR(__xludf.DUMMYFUNCTION("""COMPUTED_VALUE"""),2026.0)</f>
        <v>2026</v>
      </c>
    </row>
    <row r="75" ht="15.75" customHeight="1">
      <c r="A75" s="5" t="str">
        <f>IFERROR(__xludf.DUMMYFUNCTION("""COMPUTED_VALUE"""),"SCOPUS-000092")</f>
        <v>SCOPUS-000092</v>
      </c>
      <c r="B75" s="6" t="str">
        <f>IFERROR(__xludf.DUMMYFUNCTION("""COMPUTED_VALUE"""),"Weed Detection in Challenging Field Conditions: A Semi-Supervised Framework for Overcoming Shadow Bias and Data Scarcity")</f>
        <v>Weed Detection in Challenging Field Conditions: A Semi-Supervised Framework for Overcoming Shadow Bias and Data Scarcity</v>
      </c>
      <c r="C75" s="5" t="str">
        <f>IFERROR(__xludf.DUMMYFUNCTION("""COMPUTED_VALUE"""),"10.3390/computers15030171")</f>
        <v>10.3390/computers15030171</v>
      </c>
      <c r="D75" s="5">
        <f>IFERROR(__xludf.DUMMYFUNCTION("""COMPUTED_VALUE"""),2026.0)</f>
        <v>2026</v>
      </c>
    </row>
    <row r="76" ht="15.75" customHeight="1">
      <c r="A76" s="5" t="str">
        <f>IFERROR(__xludf.DUMMYFUNCTION("""COMPUTED_VALUE"""),"SCOPUS-000296")</f>
        <v>SCOPUS-000296</v>
      </c>
      <c r="B76" s="6" t="str">
        <f>IFERROR(__xludf.DUMMYFUNCTION("""COMPUTED_VALUE"""),"Incorporating Crop-Centric Segmentation and Enhanced YOLOv10 for Indirect Weed Detection in Bok Choy Fields")</f>
        <v>Incorporating Crop-Centric Segmentation and Enhanced YOLOv10 for Indirect Weed Detection in Bok Choy Fields</v>
      </c>
      <c r="C76" s="5" t="str">
        <f>IFERROR(__xludf.DUMMYFUNCTION("""COMPUTED_VALUE"""),"10.3390/agronomy16090907")</f>
        <v>10.3390/agronomy16090907</v>
      </c>
      <c r="D76" s="5">
        <f>IFERROR(__xludf.DUMMYFUNCTION("""COMPUTED_VALUE"""),2026.0)</f>
        <v>2026</v>
      </c>
    </row>
    <row r="77" ht="15.75" customHeight="1">
      <c r="A77" s="5" t="str">
        <f>IFERROR(__xludf.DUMMYFUNCTION("""COMPUTED_VALUE"""),"SCOPUS-000255")</f>
        <v>SCOPUS-000255</v>
      </c>
      <c r="B77" s="6" t="str">
        <f>IFERROR(__xludf.DUMMYFUNCTION("""COMPUTED_VALUE"""),"YOLO-CornSeg: A Lightweight Segmentation Model for Corn Seedlings with an Indirect Weed Detection Strategy")</f>
        <v>YOLO-CornSeg: A Lightweight Segmentation Model for Corn Seedlings with an Indirect Weed Detection Strategy</v>
      </c>
      <c r="C77" s="5" t="str">
        <f>IFERROR(__xludf.DUMMYFUNCTION("""COMPUTED_VALUE"""),"10.3390/agronomy16111091")</f>
        <v>10.3390/agronomy16111091</v>
      </c>
      <c r="D77" s="5">
        <f>IFERROR(__xludf.DUMMYFUNCTION("""COMPUTED_VALUE"""),2026.0)</f>
        <v>2026</v>
      </c>
    </row>
    <row r="78" ht="15.75" customHeight="1">
      <c r="A78" s="5" t="str">
        <f>IFERROR(__xludf.DUMMYFUNCTION("""COMPUTED_VALUE"""),"SCOPUS-000223")</f>
        <v>SCOPUS-000223</v>
      </c>
      <c r="B78" s="6" t="str">
        <f>IFERROR(__xludf.DUMMYFUNCTION("""COMPUTED_VALUE"""),"Research on Field Weed Target Detection Algorithm Based on Deep Learning")</f>
        <v>Research on Field Weed Target Detection Algorithm Based on Deep Learning</v>
      </c>
      <c r="C78" s="5" t="str">
        <f>IFERROR(__xludf.DUMMYFUNCTION("""COMPUTED_VALUE"""),"10.3390/s26020677")</f>
        <v>10.3390/s26020677</v>
      </c>
      <c r="D78" s="5">
        <f>IFERROR(__xludf.DUMMYFUNCTION("""COMPUTED_VALUE"""),2026.0)</f>
        <v>2026</v>
      </c>
    </row>
    <row r="79" ht="15.75" customHeight="1">
      <c r="A79" s="5" t="str">
        <f>IFERROR(__xludf.DUMMYFUNCTION("""COMPUTED_VALUE"""),"SCOPUS-000216")</f>
        <v>SCOPUS-000216</v>
      </c>
      <c r="B79" s="6" t="str">
        <f>IFERROR(__xludf.DUMMYFUNCTION("""COMPUTED_VALUE"""),"Evaluation of YOLO-based weed detection models on commercial horseradish fields in Southern Illinois")</f>
        <v>Evaluation of YOLO-based weed detection models on commercial horseradish fields in Southern Illinois</v>
      </c>
      <c r="C79" s="5" t="str">
        <f>IFERROR(__xludf.DUMMYFUNCTION("""COMPUTED_VALUE"""),"10.3389/fagro.2026.1777087")</f>
        <v>10.3389/fagro.2026.1777087</v>
      </c>
      <c r="D79" s="5">
        <f>IFERROR(__xludf.DUMMYFUNCTION("""COMPUTED_VALUE"""),2026.0)</f>
        <v>2026</v>
      </c>
    </row>
    <row r="80" ht="15.75" customHeight="1">
      <c r="A80" s="5" t="str">
        <f>IFERROR(__xludf.DUMMYFUNCTION("""COMPUTED_VALUE"""),"SCOPUS-000168")</f>
        <v>SCOPUS-000168</v>
      </c>
      <c r="B80" s="6" t="str">
        <f>IFERROR(__xludf.DUMMYFUNCTION("""COMPUTED_VALUE"""),"Weed Species Identification Using Hyperspectral Imaging and Machine Learning")</f>
        <v>Weed Species Identification Using Hyperspectral Imaging and Machine Learning</v>
      </c>
      <c r="C80" s="5" t="str">
        <f>IFERROR(__xludf.DUMMYFUNCTION("""COMPUTED_VALUE"""),"10.3390/plants15060916")</f>
        <v>10.3390/plants15060916</v>
      </c>
      <c r="D80" s="5">
        <f>IFERROR(__xludf.DUMMYFUNCTION("""COMPUTED_VALUE"""),2026.0)</f>
        <v>2026</v>
      </c>
    </row>
    <row r="81" ht="15.75" customHeight="1">
      <c r="A81" s="5" t="str">
        <f>IFERROR(__xludf.DUMMYFUNCTION("""COMPUTED_VALUE"""),"SCOPUS-000143")</f>
        <v>SCOPUS-000143</v>
      </c>
      <c r="B81" s="6" t="str">
        <f>IFERROR(__xludf.DUMMYFUNCTION("""COMPUTED_VALUE"""),"Impact of Attention Mechanisms and Focal Loss Tuning on RetinaNet Performance for Crop-Weed Detection: A Comparative Study With Anchor-Free Detectors")</f>
        <v>Impact of Attention Mechanisms and Focal Loss Tuning on RetinaNet Performance for Crop-Weed Detection: A Comparative Study With Anchor-Free Detectors</v>
      </c>
      <c r="C81" s="5" t="str">
        <f>IFERROR(__xludf.DUMMYFUNCTION("""COMPUTED_VALUE"""),"10.1109/ACCESS.2026.3680687")</f>
        <v>10.1109/ACCESS.2026.3680687</v>
      </c>
      <c r="D81" s="5">
        <f>IFERROR(__xludf.DUMMYFUNCTION("""COMPUTED_VALUE"""),2026.0)</f>
        <v>2026</v>
      </c>
    </row>
    <row r="82" ht="15.75" customHeight="1">
      <c r="A82" s="5" t="str">
        <f>IFERROR(__xludf.DUMMYFUNCTION("""COMPUTED_VALUE"""),"SCOPUS-000066")</f>
        <v>SCOPUS-000066</v>
      </c>
      <c r="B82" s="6" t="str">
        <f>IFERROR(__xludf.DUMMYFUNCTION("""COMPUTED_VALUE"""),"SEAFEC: a spatial–edge adaptive convolution for multi-scale and boundary-aware plant disease and weed imagery")</f>
        <v>SEAFEC: a spatial–edge adaptive convolution for multi-scale and boundary-aware plant disease and weed imagery</v>
      </c>
      <c r="C82" s="5" t="str">
        <f>IFERROR(__xludf.DUMMYFUNCTION("""COMPUTED_VALUE"""),"10.3389/fpls.2025.1695076")</f>
        <v>10.3389/fpls.2025.1695076</v>
      </c>
      <c r="D82" s="5">
        <f>IFERROR(__xludf.DUMMYFUNCTION("""COMPUTED_VALUE"""),2026.0)</f>
        <v>2026</v>
      </c>
    </row>
    <row r="83" ht="15.75" customHeight="1">
      <c r="A83" s="5" t="str">
        <f>IFERROR(__xludf.DUMMYFUNCTION("""COMPUTED_VALUE"""),"SCOPUS-000015")</f>
        <v>SCOPUS-000015</v>
      </c>
      <c r="B83" s="6" t="str">
        <f>IFERROR(__xludf.DUMMYFUNCTION("""COMPUTED_VALUE"""),"Unmanned aerial vehicle-based weed segmentation from multispectral imagery in an edge computing environment")</f>
        <v>Unmanned aerial vehicle-based weed segmentation from multispectral imagery in an edge computing environment</v>
      </c>
      <c r="C83" s="5" t="str">
        <f>IFERROR(__xludf.DUMMYFUNCTION("""COMPUTED_VALUE"""),"10.1016/j.eswa.2026.132842")</f>
        <v>10.1016/j.eswa.2026.132842</v>
      </c>
      <c r="D83" s="5">
        <f>IFERROR(__xludf.DUMMYFUNCTION("""COMPUTED_VALUE"""),2026.0)</f>
        <v>2026</v>
      </c>
    </row>
    <row r="84" ht="15.75" customHeight="1">
      <c r="A84" s="5" t="str">
        <f>IFERROR(__xludf.DUMMYFUNCTION("""COMPUTED_VALUE"""),"SCOPUS-000180")</f>
        <v>SCOPUS-000180</v>
      </c>
      <c r="B84" s="6" t="str">
        <f>IFERROR(__xludf.DUMMYFUNCTION("""COMPUTED_VALUE"""),"CAFE-DETR: A Sesame Plant and Weed Classification and Detection Algorithm Based on Context-Aware Feature Enhancement")</f>
        <v>CAFE-DETR: A Sesame Plant and Weed Classification and Detection Algorithm Based on Context-Aware Feature Enhancement</v>
      </c>
      <c r="C84" s="5" t="str">
        <f>IFERROR(__xludf.DUMMYFUNCTION("""COMPUTED_VALUE"""),"10.3390/agronomy16020146")</f>
        <v>10.3390/agronomy16020146</v>
      </c>
      <c r="D84" s="5">
        <f>IFERROR(__xludf.DUMMYFUNCTION("""COMPUTED_VALUE"""),2026.0)</f>
        <v>2026</v>
      </c>
    </row>
    <row r="85" ht="15.75" customHeight="1">
      <c r="A85" s="5" t="str">
        <f>IFERROR(__xludf.DUMMYFUNCTION("""COMPUTED_VALUE"""),"SCOPUS-000065")</f>
        <v>SCOPUS-000065</v>
      </c>
      <c r="B85" s="6" t="str">
        <f>IFERROR(__xludf.DUMMYFUNCTION("""COMPUTED_VALUE"""),"Class imbalance aware deep semantic segmentation framework for weed and tobacco crops in UAV imagery")</f>
        <v>Class imbalance aware deep semantic segmentation framework for weed and tobacco crops in UAV imagery</v>
      </c>
      <c r="C85" s="5" t="str">
        <f>IFERROR(__xludf.DUMMYFUNCTION("""COMPUTED_VALUE"""),"10.3389/frai.2026.1792086")</f>
        <v>10.3389/frai.2026.1792086</v>
      </c>
      <c r="D85" s="5">
        <f>IFERROR(__xludf.DUMMYFUNCTION("""COMPUTED_VALUE"""),2026.0)</f>
        <v>2026</v>
      </c>
    </row>
    <row r="86" ht="15.75" customHeight="1">
      <c r="A86" s="5" t="str">
        <f>IFERROR(__xludf.DUMMYFUNCTION("""COMPUTED_VALUE"""),"SCOPUS-000030")</f>
        <v>SCOPUS-000030</v>
      </c>
      <c r="B86" s="6" t="str">
        <f>IFERROR(__xludf.DUMMYFUNCTION("""COMPUTED_VALUE"""),"Balancing accuracy and cost in precision agriculture: a few-shot learning approach for efficient weed − crop segmentation")</f>
        <v>Balancing accuracy and cost in precision agriculture: a few-shot learning approach for efficient weed − crop segmentation</v>
      </c>
      <c r="C86" s="5" t="str">
        <f>IFERROR(__xludf.DUMMYFUNCTION("""COMPUTED_VALUE"""),"10.1016/j.compag.2026.111524")</f>
        <v>10.1016/j.compag.2026.111524</v>
      </c>
      <c r="D86" s="5">
        <f>IFERROR(__xludf.DUMMYFUNCTION("""COMPUTED_VALUE"""),2026.0)</f>
        <v>2026</v>
      </c>
    </row>
    <row r="87" ht="15.75" customHeight="1">
      <c r="A87" s="5" t="str">
        <f>IFERROR(__xludf.DUMMYFUNCTION("""COMPUTED_VALUE"""),"WEBSCI-000402")</f>
        <v>WEBSCI-000402</v>
      </c>
      <c r="B87" s="6" t="str">
        <f>IFERROR(__xludf.DUMMYFUNCTION("""COMPUTED_VALUE"""),"Enhancing weed detection in wheat with hybrid attention mechanism CBAM: a comparative study with deep learning approaches")</f>
        <v>Enhancing weed detection in wheat with hybrid attention mechanism CBAM: a comparative study with deep learning approaches</v>
      </c>
      <c r="C87" s="5" t="str">
        <f>IFERROR(__xludf.DUMMYFUNCTION("""COMPUTED_VALUE"""),"10.3389/fagro.2026.1706873")</f>
        <v>10.3389/fagro.2026.1706873</v>
      </c>
      <c r="D87" s="5">
        <f>IFERROR(__xludf.DUMMYFUNCTION("""COMPUTED_VALUE"""),2026.0)</f>
        <v>2026</v>
      </c>
    </row>
    <row r="88" ht="15.75" customHeight="1">
      <c r="A88" s="5" t="str">
        <f>IFERROR(__xludf.DUMMYFUNCTION("""COMPUTED_VALUE"""),"SCOPUS-000312")</f>
        <v>SCOPUS-000312</v>
      </c>
      <c r="B88" s="6" t="str">
        <f>IFERROR(__xludf.DUMMYFUNCTION("""COMPUTED_VALUE"""),"Effective detection of weeds in sesame crop")</f>
        <v>Effective detection of weeds in sesame crop</v>
      </c>
      <c r="C88" s="5" t="str">
        <f>IFERROR(__xludf.DUMMYFUNCTION("""COMPUTED_VALUE"""),"10.1007/s13721-025-00726-8")</f>
        <v>10.1007/s13721-025-00726-8</v>
      </c>
      <c r="D88" s="5">
        <f>IFERROR(__xludf.DUMMYFUNCTION("""COMPUTED_VALUE"""),2026.0)</f>
        <v>2026</v>
      </c>
    </row>
    <row r="89" ht="15.75" customHeight="1">
      <c r="A89" s="5" t="str">
        <f>IFERROR(__xludf.DUMMYFUNCTION("""COMPUTED_VALUE"""),"SCOPUS-000300")</f>
        <v>SCOPUS-000300</v>
      </c>
      <c r="B89" s="6" t="str">
        <f>IFERROR(__xludf.DUMMYFUNCTION("""COMPUTED_VALUE"""),"WeedCAM: An edge-computing camera system for multi-species weed detection in sugar beet production fields")</f>
        <v>WeedCAM: An edge-computing camera system for multi-species weed detection in sugar beet production fields</v>
      </c>
      <c r="C89" s="5" t="str">
        <f>IFERROR(__xludf.DUMMYFUNCTION("""COMPUTED_VALUE"""),"10.1016/j.compag.2026.111498")</f>
        <v>10.1016/j.compag.2026.111498</v>
      </c>
      <c r="D89" s="5">
        <f>IFERROR(__xludf.DUMMYFUNCTION("""COMPUTED_VALUE"""),2026.0)</f>
        <v>2026</v>
      </c>
    </row>
    <row r="90" ht="15.75" customHeight="1">
      <c r="A90" s="5" t="str">
        <f>IFERROR(__xludf.DUMMYFUNCTION("""COMPUTED_VALUE"""),"SCOPUS-000099")</f>
        <v>SCOPUS-000099</v>
      </c>
      <c r="B90" s="6" t="str">
        <f>IFERROR(__xludf.DUMMYFUNCTION("""COMPUTED_VALUE"""),"Detection and variable spraying of maize and weeds in residue covered fields via occlusion-aware modeling")</f>
        <v>Detection and variable spraying of maize and weeds in residue covered fields via occlusion-aware modeling</v>
      </c>
      <c r="C90" s="5" t="str">
        <f>IFERROR(__xludf.DUMMYFUNCTION("""COMPUTED_VALUE"""),"10.1016/j.aiia.2026.04.004")</f>
        <v>10.1016/j.aiia.2026.04.004</v>
      </c>
      <c r="D90" s="5">
        <f>IFERROR(__xludf.DUMMYFUNCTION("""COMPUTED_VALUE"""),2026.0)</f>
        <v>2026</v>
      </c>
    </row>
    <row r="91" ht="15.75" customHeight="1">
      <c r="A91" s="5" t="str">
        <f>IFERROR(__xludf.DUMMYFUNCTION("""COMPUTED_VALUE"""),"SCOPUS-000287")</f>
        <v>SCOPUS-000287</v>
      </c>
      <c r="B91" s="6" t="str">
        <f>IFERROR(__xludf.DUMMYFUNCTION("""COMPUTED_VALUE"""),"Multispecies weed mapping using deep learning on UAV imagery for SSWM in maize and tomato")</f>
        <v>Multispecies weed mapping using deep learning on UAV imagery for SSWM in maize and tomato</v>
      </c>
      <c r="C91" s="5" t="str">
        <f>IFERROR(__xludf.DUMMYFUNCTION("""COMPUTED_VALUE"""),"10.1007/s11119-025-10309-2")</f>
        <v>10.1007/s11119-025-10309-2</v>
      </c>
      <c r="D91" s="5">
        <f>IFERROR(__xludf.DUMMYFUNCTION("""COMPUTED_VALUE"""),2026.0)</f>
        <v>2026</v>
      </c>
    </row>
    <row r="92" ht="15.75" customHeight="1">
      <c r="A92" s="5" t="str">
        <f>IFERROR(__xludf.DUMMYFUNCTION("""COMPUTED_VALUE"""),"SCOPUS-000172")</f>
        <v>SCOPUS-000172</v>
      </c>
      <c r="B92" s="6" t="str">
        <f>IFERROR(__xludf.DUMMYFUNCTION("""COMPUTED_VALUE"""),"YOLO-EMA: Efficient mamba attention enhanced YOLOv10 for real-time detection and segmentation of winter wheat weeds on edge AI platforms")</f>
        <v>YOLO-EMA: Efficient mamba attention enhanced YOLOv10 for real-time detection and segmentation of winter wheat weeds on edge AI platforms</v>
      </c>
      <c r="C92" s="5" t="str">
        <f>IFERROR(__xludf.DUMMYFUNCTION("""COMPUTED_VALUE"""),"10.1016/j.atech.2026.101924")</f>
        <v>10.1016/j.atech.2026.101924</v>
      </c>
      <c r="D92" s="5">
        <f>IFERROR(__xludf.DUMMYFUNCTION("""COMPUTED_VALUE"""),2026.0)</f>
        <v>2026</v>
      </c>
    </row>
    <row r="93" ht="15.75" customHeight="1">
      <c r="A93" s="5" t="str">
        <f>IFERROR(__xludf.DUMMYFUNCTION("""COMPUTED_VALUE"""),"SCOPUS-000290")</f>
        <v>SCOPUS-000290</v>
      </c>
      <c r="B93" s="6" t="str">
        <f>IFERROR(__xludf.DUMMYFUNCTION("""COMPUTED_VALUE"""),"Optimization and Experimental Evaluation of a Deep Learning-Based Target Spraying Device for Weed Control in Soybean Fields")</f>
        <v>Optimization and Experimental Evaluation of a Deep Learning-Based Target Spraying Device for Weed Control in Soybean Fields</v>
      </c>
      <c r="C93" s="5" t="str">
        <f>IFERROR(__xludf.DUMMYFUNCTION("""COMPUTED_VALUE"""),"10.3390/agriculture16040395")</f>
        <v>10.3390/agriculture16040395</v>
      </c>
      <c r="D93" s="5">
        <f>IFERROR(__xludf.DUMMYFUNCTION("""COMPUTED_VALUE"""),2026.0)</f>
        <v>2026</v>
      </c>
    </row>
    <row r="94" ht="15.75" customHeight="1">
      <c r="A94" s="5" t="str">
        <f>IFERROR(__xludf.DUMMYFUNCTION("""COMPUTED_VALUE"""),"SCOPUS-000274")</f>
        <v>SCOPUS-000274</v>
      </c>
      <c r="B94" s="6" t="str">
        <f>IFERROR(__xludf.DUMMYFUNCTION("""COMPUTED_VALUE"""),"Real-time on-device weed identification using a hardwareefficient lightweight CNN")</f>
        <v>Real-time on-device weed identification using a hardwareefficient lightweight CNN</v>
      </c>
      <c r="C94" s="5" t="str">
        <f>IFERROR(__xludf.DUMMYFUNCTION("""COMPUTED_VALUE"""),"10.3389/fpls.2026.1747863")</f>
        <v>10.3389/fpls.2026.1747863</v>
      </c>
      <c r="D94" s="5">
        <f>IFERROR(__xludf.DUMMYFUNCTION("""COMPUTED_VALUE"""),2026.0)</f>
        <v>2026</v>
      </c>
    </row>
    <row r="95" ht="15.75" customHeight="1">
      <c r="A95" s="5" t="str">
        <f>IFERROR(__xludf.DUMMYFUNCTION("""COMPUTED_VALUE"""),"SCOPUS-000084")</f>
        <v>SCOPUS-000084</v>
      </c>
      <c r="B95" s="6" t="str">
        <f>IFERROR(__xludf.DUMMYFUNCTION("""COMPUTED_VALUE"""),"Multi-scale and precise real-time detection method for weeds on sidewalks")</f>
        <v>Multi-scale and precise real-time detection method for weeds on sidewalks</v>
      </c>
      <c r="C95" s="5" t="str">
        <f>IFERROR(__xludf.DUMMYFUNCTION("""COMPUTED_VALUE"""),"10.1016/j.engappai.2026.114183")</f>
        <v>10.1016/j.engappai.2026.114183</v>
      </c>
      <c r="D95" s="5">
        <f>IFERROR(__xludf.DUMMYFUNCTION("""COMPUTED_VALUE"""),2026.0)</f>
        <v>2026</v>
      </c>
    </row>
    <row r="96" ht="15.75" customHeight="1">
      <c r="A96" s="5" t="str">
        <f>IFERROR(__xludf.DUMMYFUNCTION("""COMPUTED_VALUE"""),"SCOPUS-000131")</f>
        <v>SCOPUS-000131</v>
      </c>
      <c r="B96" s="6" t="str">
        <f>IFERROR(__xludf.DUMMYFUNCTION("""COMPUTED_VALUE"""),"YOLOv8-MLD: A Lightweight Method for Weed Detection in Cornfields")</f>
        <v>YOLOv8-MLD: A Lightweight Method for Weed Detection in Cornfields</v>
      </c>
      <c r="C96" s="5" t="str">
        <f>IFERROR(__xludf.DUMMYFUNCTION("""COMPUTED_VALUE"""),"10.1109/ACCESS.2026.3687147")</f>
        <v>10.1109/ACCESS.2026.3687147</v>
      </c>
      <c r="D96" s="5">
        <f>IFERROR(__xludf.DUMMYFUNCTION("""COMPUTED_VALUE"""),2026.0)</f>
        <v>2026</v>
      </c>
    </row>
    <row r="97" ht="15.75" customHeight="1">
      <c r="A97" s="5" t="str">
        <f>IFERROR(__xludf.DUMMYFUNCTION("""COMPUTED_VALUE"""),"SCOPUS-000001")</f>
        <v>SCOPUS-000001</v>
      </c>
      <c r="B97" s="6" t="str">
        <f>IFERROR(__xludf.DUMMYFUNCTION("""COMPUTED_VALUE"""),"Comparative performance of YOLOv8, YOLOv9, YOLOv10, YOLOv11 and Faster R-CNN models for detection of multiple weed species")</f>
        <v>Comparative performance of YOLOv8, YOLOv9, YOLOv10, YOLOv11 and Faster R-CNN models for detection of multiple weed species</v>
      </c>
      <c r="C97" s="5" t="str">
        <f>IFERROR(__xludf.DUMMYFUNCTION("""COMPUTED_VALUE"""),"10.1016/j.atech.2024.100648")</f>
        <v>10.1016/j.atech.2024.100648</v>
      </c>
      <c r="D97" s="5">
        <f>IFERROR(__xludf.DUMMYFUNCTION("""COMPUTED_VALUE"""),2024.0)</f>
        <v>2024</v>
      </c>
    </row>
    <row r="98" ht="15.75" customHeight="1">
      <c r="A98" s="5" t="str">
        <f>IFERROR(__xludf.DUMMYFUNCTION("""COMPUTED_VALUE"""),"SCOPUS-000012")</f>
        <v>SCOPUS-000012</v>
      </c>
      <c r="B98" s="6" t="str">
        <f>IFERROR(__xludf.DUMMYFUNCTION("""COMPUTED_VALUE"""),"Classifying Weed Development Stages Using Deep Learning Methods")</f>
        <v>Classifying Weed Development Stages Using Deep Learning Methods</v>
      </c>
      <c r="C98" s="5" t="str">
        <f>IFERROR(__xludf.DUMMYFUNCTION("""COMPUTED_VALUE"""),"10.14569/ijacsa.2025.0160263")</f>
        <v>10.14569/ijacsa.2025.0160263</v>
      </c>
      <c r="D98" s="5">
        <f>IFERROR(__xludf.DUMMYFUNCTION("""COMPUTED_VALUE"""),2025.0)</f>
        <v>2025</v>
      </c>
    </row>
    <row r="99" ht="15.75" customHeight="1">
      <c r="A99" s="5" t="str">
        <f>IFERROR(__xludf.DUMMYFUNCTION("""COMPUTED_VALUE"""),"SCOPUS-000027")</f>
        <v>SCOPUS-000027</v>
      </c>
      <c r="B99" s="6" t="str">
        <f>IFERROR(__xludf.DUMMYFUNCTION("""COMPUTED_VALUE"""),"Vision-language models for zero-shot weed detection and visual reasoning in UAV-based precision agriculture")</f>
        <v>Vision-language models for zero-shot weed detection and visual reasoning in UAV-based precision agriculture</v>
      </c>
      <c r="C99" s="5" t="str">
        <f>IFERROR(__xludf.DUMMYFUNCTION("""COMPUTED_VALUE"""),"10.3389/fpls.2025.1735096")</f>
        <v>10.3389/fpls.2025.1735096</v>
      </c>
      <c r="D99" s="5">
        <f>IFERROR(__xludf.DUMMYFUNCTION("""COMPUTED_VALUE"""),2026.0)</f>
        <v>2026</v>
      </c>
    </row>
    <row r="100" ht="15.75" customHeight="1">
      <c r="A100" s="5" t="str">
        <f>IFERROR(__xludf.DUMMYFUNCTION("""COMPUTED_VALUE"""),"SCOPUS-000047")</f>
        <v>SCOPUS-000047</v>
      </c>
      <c r="B100" s="6" t="str">
        <f>IFERROR(__xludf.DUMMYFUNCTION("""COMPUTED_VALUE"""),"QseedNet: A lightweight deep-learning framework for detection of quarantine weed seeds in imported soybean inspection")</f>
        <v>QseedNet: A lightweight deep-learning framework for detection of quarantine weed seeds in imported soybean inspection</v>
      </c>
      <c r="C100" s="5" t="str">
        <f>IFERROR(__xludf.DUMMYFUNCTION("""COMPUTED_VALUE"""),"10.1016/j.indcrop.2025.122314")</f>
        <v>10.1016/j.indcrop.2025.122314</v>
      </c>
      <c r="D100" s="5">
        <f>IFERROR(__xludf.DUMMYFUNCTION("""COMPUTED_VALUE"""),2025.0)</f>
        <v>2025</v>
      </c>
    </row>
    <row r="101" ht="15.75" customHeight="1">
      <c r="A101" s="5" t="str">
        <f>IFERROR(__xludf.DUMMYFUNCTION("""COMPUTED_VALUE"""),"SCOPUS-000049")</f>
        <v>SCOPUS-000049</v>
      </c>
      <c r="B101" s="6" t="str">
        <f>IFERROR(__xludf.DUMMYFUNCTION("""COMPUTED_VALUE"""),"WeedNet-ViT: A Vision Transformer Approach for Robust Weed Classification in Smart Farming")</f>
        <v>WeedNet-ViT: A Vision Transformer Approach for Robust Weed Classification in Smart Farming</v>
      </c>
      <c r="C101" s="5" t="str">
        <f>IFERROR(__xludf.DUMMYFUNCTION("""COMPUTED_VALUE"""),"10.3390/geographies5040064")</f>
        <v>10.3390/geographies5040064</v>
      </c>
      <c r="D101" s="5">
        <f>IFERROR(__xludf.DUMMYFUNCTION("""COMPUTED_VALUE"""),2025.0)</f>
        <v>2025</v>
      </c>
    </row>
    <row r="102" ht="15.75" customHeight="1">
      <c r="A102" s="5" t="str">
        <f>IFERROR(__xludf.DUMMYFUNCTION("""COMPUTED_VALUE"""),"SCOPUS-000059")</f>
        <v>SCOPUS-000059</v>
      </c>
      <c r="B102" s="6" t="str">
        <f>IFERROR(__xludf.DUMMYFUNCTION("""COMPUTED_VALUE"""),"Fuzzy rank fusion of deep neural networks for weed identification in groundnut crop")</f>
        <v>Fuzzy rank fusion of deep neural networks for weed identification in groundnut crop</v>
      </c>
      <c r="C102" s="5" t="str">
        <f>IFERROR(__xludf.DUMMYFUNCTION("""COMPUTED_VALUE"""),"10.1007/s43621-025-01705-9")</f>
        <v>10.1007/s43621-025-01705-9</v>
      </c>
      <c r="D102" s="5">
        <f>IFERROR(__xludf.DUMMYFUNCTION("""COMPUTED_VALUE"""),2025.0)</f>
        <v>2025</v>
      </c>
    </row>
    <row r="103" ht="15.75" customHeight="1">
      <c r="A103" s="5" t="str">
        <f>IFERROR(__xludf.DUMMYFUNCTION("""COMPUTED_VALUE"""),"SCOPUS-000067")</f>
        <v>SCOPUS-000067</v>
      </c>
      <c r="B103" s="6" t="str">
        <f>IFERROR(__xludf.DUMMYFUNCTION("""COMPUTED_VALUE"""),"Harnessing hyperspectral imaging and machine learning techniques for accurate discrimination of peanut plants and weeds")</f>
        <v>Harnessing hyperspectral imaging and machine learning techniques for accurate discrimination of peanut plants and weeds</v>
      </c>
      <c r="C103" s="5" t="str">
        <f>IFERROR(__xludf.DUMMYFUNCTION("""COMPUTED_VALUE"""),"10.1038/s41598-025-28106-2")</f>
        <v>10.1038/s41598-025-28106-2</v>
      </c>
      <c r="D103" s="5">
        <f>IFERROR(__xludf.DUMMYFUNCTION("""COMPUTED_VALUE"""),2025.0)</f>
        <v>2025</v>
      </c>
    </row>
    <row r="104" ht="15.75" customHeight="1">
      <c r="A104" s="5" t="str">
        <f>IFERROR(__xludf.DUMMYFUNCTION("""COMPUTED_VALUE"""),"SCOPUS-000076")</f>
        <v>SCOPUS-000076</v>
      </c>
      <c r="B104" s="6" t="str">
        <f>IFERROR(__xludf.DUMMYFUNCTION("""COMPUTED_VALUE"""),"Toward autonomous agriculture: Integrating computer vision and large language models for intelligent weed management")</f>
        <v>Toward autonomous agriculture: Integrating computer vision and large language models for intelligent weed management</v>
      </c>
      <c r="C104" s="5" t="str">
        <f>IFERROR(__xludf.DUMMYFUNCTION("""COMPUTED_VALUE"""),"10.1016/j.aiia.2026.05.002")</f>
        <v>10.1016/j.aiia.2026.05.002</v>
      </c>
      <c r="D104" s="5">
        <f>IFERROR(__xludf.DUMMYFUNCTION("""COMPUTED_VALUE"""),2026.0)</f>
        <v>2026</v>
      </c>
    </row>
    <row r="105" ht="15.75" customHeight="1">
      <c r="A105" s="5" t="str">
        <f>IFERROR(__xludf.DUMMYFUNCTION("""COMPUTED_VALUE"""),"SCOPUS-000087")</f>
        <v>SCOPUS-000087</v>
      </c>
      <c r="B105" s="6" t="str">
        <f>IFERROR(__xludf.DUMMYFUNCTION("""COMPUTED_VALUE"""),"An Optimized Deep Learning Approach for Early Weed Detection in Chili Crop Habitats")</f>
        <v>An Optimized Deep Learning Approach for Early Weed Detection in Chili Crop Habitats</v>
      </c>
      <c r="C105" s="5" t="str">
        <f>IFERROR(__xludf.DUMMYFUNCTION("""COMPUTED_VALUE"""),"10.48084/etasr.11385")</f>
        <v>10.48084/etasr.11385</v>
      </c>
      <c r="D105" s="5">
        <f>IFERROR(__xludf.DUMMYFUNCTION("""COMPUTED_VALUE"""),2025.0)</f>
        <v>2025</v>
      </c>
    </row>
    <row r="106" ht="15.75" customHeight="1">
      <c r="A106" s="5" t="str">
        <f>IFERROR(__xludf.DUMMYFUNCTION("""COMPUTED_VALUE"""),"SCOPUS-000089")</f>
        <v>SCOPUS-000089</v>
      </c>
      <c r="B106" s="6" t="str">
        <f>IFERROR(__xludf.DUMMYFUNCTION("""COMPUTED_VALUE"""),"Enhanced weed and crop species classification using optimized machine learning and ensemble techniques")</f>
        <v>Enhanced weed and crop species classification using optimized machine learning and ensemble techniques</v>
      </c>
      <c r="C106" s="5" t="str">
        <f>IFERROR(__xludf.DUMMYFUNCTION("""COMPUTED_VALUE"""),"10.2478/ijssis-2025-0048")</f>
        <v>10.2478/ijssis-2025-0048</v>
      </c>
      <c r="D106" s="5">
        <f>IFERROR(__xludf.DUMMYFUNCTION("""COMPUTED_VALUE"""),2025.0)</f>
        <v>2025</v>
      </c>
    </row>
    <row r="107" ht="15.75" customHeight="1">
      <c r="A107" s="5" t="str">
        <f>IFERROR(__xludf.DUMMYFUNCTION("""COMPUTED_VALUE"""),"SCOPUS-000140")</f>
        <v>SCOPUS-000140</v>
      </c>
      <c r="B107" s="6" t="str">
        <f>IFERROR(__xludf.DUMMYFUNCTION("""COMPUTED_VALUE"""),"Leveraging deep semantic segmentation for assisted weed detection")</f>
        <v>Leveraging deep semantic segmentation for assisted weed detection</v>
      </c>
      <c r="C107" s="5" t="str">
        <f>IFERROR(__xludf.DUMMYFUNCTION("""COMPUTED_VALUE"""),"10.4081/jae.2025.1741")</f>
        <v>10.4081/jae.2025.1741</v>
      </c>
      <c r="D107" s="5">
        <f>IFERROR(__xludf.DUMMYFUNCTION("""COMPUTED_VALUE"""),2025.0)</f>
        <v>2025</v>
      </c>
    </row>
    <row r="108" ht="15.75" customHeight="1">
      <c r="A108" s="5" t="str">
        <f>IFERROR(__xludf.DUMMYFUNCTION("""COMPUTED_VALUE"""),"SCOPUS-000148")</f>
        <v>SCOPUS-000148</v>
      </c>
      <c r="B108" s="6" t="str">
        <f>IFERROR(__xludf.DUMMYFUNCTION("""COMPUTED_VALUE"""),"Cotton Weed-YOLO: A Lightweight and Highly Accurate Cotton Weed Identification Model for Precision Agriculture")</f>
        <v>Cotton Weed-YOLO: A Lightweight and Highly Accurate Cotton Weed Identification Model for Precision Agriculture</v>
      </c>
      <c r="C108" s="5" t="str">
        <f>IFERROR(__xludf.DUMMYFUNCTION("""COMPUTED_VALUE"""),"10.3390/agronomy14122911")</f>
        <v>10.3390/agronomy14122911</v>
      </c>
      <c r="D108" s="5">
        <f>IFERROR(__xludf.DUMMYFUNCTION("""COMPUTED_VALUE"""),2024.0)</f>
        <v>2024</v>
      </c>
    </row>
    <row r="109" ht="15.75" customHeight="1">
      <c r="A109" s="5" t="str">
        <f>IFERROR(__xludf.DUMMYFUNCTION("""COMPUTED_VALUE"""),"SCOPUS-000156")</f>
        <v>SCOPUS-000156</v>
      </c>
      <c r="B109" s="6" t="str">
        <f>IFERROR(__xludf.DUMMYFUNCTION("""COMPUTED_VALUE"""),"Effect of Depth Band Replacement on Red, Green and Blue Image for Deep Learning Weed Detection")</f>
        <v>Effect of Depth Band Replacement on Red, Green and Blue Image for Deep Learning Weed Detection</v>
      </c>
      <c r="C109" s="5" t="str">
        <f>IFERROR(__xludf.DUMMYFUNCTION("""COMPUTED_VALUE"""),"10.3390/s25010161")</f>
        <v>10.3390/s25010161</v>
      </c>
      <c r="D109" s="5">
        <f>IFERROR(__xludf.DUMMYFUNCTION("""COMPUTED_VALUE"""),2025.0)</f>
        <v>2025</v>
      </c>
    </row>
    <row r="110" ht="15.75" customHeight="1">
      <c r="A110" s="5" t="str">
        <f>IFERROR(__xludf.DUMMYFUNCTION("""COMPUTED_VALUE"""),"SCOPUS-000166")</f>
        <v>SCOPUS-000166</v>
      </c>
      <c r="B110" s="6" t="str">
        <f>IFERROR(__xludf.DUMMYFUNCTION("""COMPUTED_VALUE"""),"Identifying rice field weeds from unmanned aerial vehicle remote sensing imagery using deep learning")</f>
        <v>Identifying rice field weeds from unmanned aerial vehicle remote sensing imagery using deep learning</v>
      </c>
      <c r="C110" s="5" t="str">
        <f>IFERROR(__xludf.DUMMYFUNCTION("""COMPUTED_VALUE"""),"10.1186/s13007-024-01232-0")</f>
        <v>10.1186/s13007-024-01232-0</v>
      </c>
      <c r="D110" s="5">
        <f>IFERROR(__xludf.DUMMYFUNCTION("""COMPUTED_VALUE"""),2024.0)</f>
        <v>2024</v>
      </c>
    </row>
    <row r="111" ht="15.75" customHeight="1">
      <c r="A111" s="5" t="str">
        <f>IFERROR(__xludf.DUMMYFUNCTION("""COMPUTED_VALUE"""),"SCOPUS-000184")</f>
        <v>SCOPUS-000184</v>
      </c>
      <c r="B111" s="6" t="str">
        <f>IFERROR(__xludf.DUMMYFUNCTION("""COMPUTED_VALUE"""),"Intelligent Inter- and Intra-Row Early Weed Detection in Commercial Maize Crops")</f>
        <v>Intelligent Inter- and Intra-Row Early Weed Detection in Commercial Maize Crops</v>
      </c>
      <c r="C111" s="5" t="str">
        <f>IFERROR(__xludf.DUMMYFUNCTION("""COMPUTED_VALUE"""),"10.3390/plants14060881")</f>
        <v>10.3390/plants14060881</v>
      </c>
      <c r="D111" s="5">
        <f>IFERROR(__xludf.DUMMYFUNCTION("""COMPUTED_VALUE"""),2025.0)</f>
        <v>2025</v>
      </c>
    </row>
    <row r="112" ht="15.75" customHeight="1">
      <c r="A112" s="5" t="str">
        <f>IFERROR(__xludf.DUMMYFUNCTION("""COMPUTED_VALUE"""),"SCOPUS-000192")</f>
        <v>SCOPUS-000192</v>
      </c>
      <c r="B112" s="6" t="str">
        <f>IFERROR(__xludf.DUMMYFUNCTION("""COMPUTED_VALUE"""),"Edge-deployable segmentation and prescription mapping of post-emergence weeds in sugar beet crops for UAV-based precision spraying")</f>
        <v>Edge-deployable segmentation and prescription mapping of post-emergence weeds in sugar beet crops for UAV-based precision spraying</v>
      </c>
      <c r="C112" s="5" t="str">
        <f>IFERROR(__xludf.DUMMYFUNCTION("""COMPUTED_VALUE"""),"10.1016/j.jafr.2025.102422")</f>
        <v>10.1016/j.jafr.2025.102422</v>
      </c>
      <c r="D112" s="5">
        <f>IFERROR(__xludf.DUMMYFUNCTION("""COMPUTED_VALUE"""),2025.0)</f>
        <v>2025</v>
      </c>
    </row>
    <row r="113" ht="15.75" customHeight="1">
      <c r="A113" s="5" t="str">
        <f>IFERROR(__xludf.DUMMYFUNCTION("""COMPUTED_VALUE"""),"SCOPUS-000221")</f>
        <v>SCOPUS-000221</v>
      </c>
      <c r="B113" s="6" t="str">
        <f>IFERROR(__xludf.DUMMYFUNCTION("""COMPUTED_VALUE"""),"Evaluating Deep Learning Models for Effective Weed Classification in Agricultural Images")</f>
        <v>Evaluating Deep Learning Models for Effective Weed Classification in Agricultural Images</v>
      </c>
      <c r="C113" s="5" t="str">
        <f>IFERROR(__xludf.DUMMYFUNCTION("""COMPUTED_VALUE"""),"10.22456/2175-2745.143490")</f>
        <v>10.22456/2175-2745.143490</v>
      </c>
      <c r="D113" s="5">
        <f>IFERROR(__xludf.DUMMYFUNCTION("""COMPUTED_VALUE"""),2025.0)</f>
        <v>2025</v>
      </c>
    </row>
    <row r="114" ht="15.75" customHeight="1">
      <c r="A114" s="5" t="str">
        <f>IFERROR(__xludf.DUMMYFUNCTION("""COMPUTED_VALUE"""),"SCOPUS-000224")</f>
        <v>SCOPUS-000224</v>
      </c>
      <c r="B114" s="6" t="str">
        <f>IFERROR(__xludf.DUMMYFUNCTION("""COMPUTED_VALUE"""),"YOLO-ACE: Enhancing YOLO with Augmented Contextual Efficiency for Precision Cotton Weed Detection")</f>
        <v>YOLO-ACE: Enhancing YOLO with Augmented Contextual Efficiency for Precision Cotton Weed Detection</v>
      </c>
      <c r="C114" s="5" t="str">
        <f>IFERROR(__xludf.DUMMYFUNCTION("""COMPUTED_VALUE"""),"10.3390/s25051635")</f>
        <v>10.3390/s25051635</v>
      </c>
      <c r="D114" s="5">
        <f>IFERROR(__xludf.DUMMYFUNCTION("""COMPUTED_VALUE"""),2025.0)</f>
        <v>2025</v>
      </c>
    </row>
    <row r="115" ht="15.75" customHeight="1">
      <c r="A115" s="5" t="str">
        <f>IFERROR(__xludf.DUMMYFUNCTION("""COMPUTED_VALUE"""),"SCOPUS-000227")</f>
        <v>SCOPUS-000227</v>
      </c>
      <c r="B115" s="6" t="str">
        <f>IFERROR(__xludf.DUMMYFUNCTION("""COMPUTED_VALUE"""),"Weed database development: An updated survey of public weed datasets and cross-season weed detection adaptation")</f>
        <v>Weed database development: An updated survey of public weed datasets and cross-season weed detection adaptation</v>
      </c>
      <c r="C115" s="5" t="str">
        <f>IFERROR(__xludf.DUMMYFUNCTION("""COMPUTED_VALUE"""),"10.1016/j.ecoinf.2024.102546")</f>
        <v>10.1016/j.ecoinf.2024.102546</v>
      </c>
      <c r="D115" s="5">
        <f>IFERROR(__xludf.DUMMYFUNCTION("""COMPUTED_VALUE"""),2024.0)</f>
        <v>2024</v>
      </c>
    </row>
    <row r="116" ht="15.75" customHeight="1">
      <c r="A116" s="5" t="str">
        <f>IFERROR(__xludf.DUMMYFUNCTION("""COMPUTED_VALUE"""),"SCOPUS-000238")</f>
        <v>SCOPUS-000238</v>
      </c>
      <c r="B116" s="6" t="str">
        <f>IFERROR(__xludf.DUMMYFUNCTION("""COMPUTED_VALUE"""),"Spatio-temporal stability of intelligent modeling for weed detection in tomato fields")</f>
        <v>Spatio-temporal stability of intelligent modeling for weed detection in tomato fields</v>
      </c>
      <c r="C116" s="5" t="str">
        <f>IFERROR(__xludf.DUMMYFUNCTION("""COMPUTED_VALUE"""),"10.1016/j.agsy.2025.104394")</f>
        <v>10.1016/j.agsy.2025.104394</v>
      </c>
      <c r="D116" s="5">
        <f>IFERROR(__xludf.DUMMYFUNCTION("""COMPUTED_VALUE"""),2025.0)</f>
        <v>2025</v>
      </c>
    </row>
    <row r="117" ht="15.75" customHeight="1">
      <c r="A117" s="5" t="str">
        <f>IFERROR(__xludf.DUMMYFUNCTION("""COMPUTED_VALUE"""),"SCOPUS-000251")</f>
        <v>SCOPUS-000251</v>
      </c>
      <c r="B117" s="6" t="str">
        <f>IFERROR(__xludf.DUMMYFUNCTION("""COMPUTED_VALUE"""),"Weed detection in cabbage fields using RGB and NIR images")</f>
        <v>Weed detection in cabbage fields using RGB and NIR images</v>
      </c>
      <c r="C117" s="5" t="str">
        <f>IFERROR(__xludf.DUMMYFUNCTION("""COMPUTED_VALUE"""),"10.1016/j.atech.2025.101232")</f>
        <v>10.1016/j.atech.2025.101232</v>
      </c>
      <c r="D117" s="5">
        <f>IFERROR(__xludf.DUMMYFUNCTION("""COMPUTED_VALUE"""),2025.0)</f>
        <v>2025</v>
      </c>
    </row>
    <row r="118" ht="15.75" customHeight="1">
      <c r="A118" s="5" t="str">
        <f>IFERROR(__xludf.DUMMYFUNCTION("""COMPUTED_VALUE"""),"SCOPUS-000257")</f>
        <v>SCOPUS-000257</v>
      </c>
      <c r="B118" s="6" t="str">
        <f>IFERROR(__xludf.DUMMYFUNCTION("""COMPUTED_VALUE"""),"AGRI-YOLO: A Lightweight Model for Corn Weed Detection with Enhanced YOLO v11n")</f>
        <v>AGRI-YOLO: A Lightweight Model for Corn Weed Detection with Enhanced YOLO v11n</v>
      </c>
      <c r="C118" s="5" t="str">
        <f>IFERROR(__xludf.DUMMYFUNCTION("""COMPUTED_VALUE"""),"10.3390/agriculture15181971")</f>
        <v>10.3390/agriculture15181971</v>
      </c>
      <c r="D118" s="5">
        <f>IFERROR(__xludf.DUMMYFUNCTION("""COMPUTED_VALUE"""),2025.0)</f>
        <v>2025</v>
      </c>
    </row>
    <row r="119" ht="15.75" customHeight="1">
      <c r="A119" s="5" t="str">
        <f>IFERROR(__xludf.DUMMYFUNCTION("""COMPUTED_VALUE"""),"SCOPUS-000258")</f>
        <v>SCOPUS-000258</v>
      </c>
      <c r="B119" s="6" t="str">
        <f>IFERROR(__xludf.DUMMYFUNCTION("""COMPUTED_VALUE"""),"Development and Preliminary Evaluation of a Machine Vision-Guided Smart Sprayer Prototype Toward Precision Vegetable Weeding")</f>
        <v>Development and Preliminary Evaluation of a Machine Vision-Guided Smart Sprayer Prototype Toward Precision Vegetable Weeding</v>
      </c>
      <c r="C119" s="5" t="str">
        <f>IFERROR(__xludf.DUMMYFUNCTION("""COMPUTED_VALUE"""),"10.1002/rob.70132")</f>
        <v>10.1002/rob.70132</v>
      </c>
      <c r="D119" s="5">
        <f>IFERROR(__xludf.DUMMYFUNCTION("""COMPUTED_VALUE"""),2026.0)</f>
        <v>2026</v>
      </c>
    </row>
    <row r="120" ht="15.75" customHeight="1">
      <c r="A120" s="5" t="str">
        <f>IFERROR(__xludf.DUMMYFUNCTION("""COMPUTED_VALUE"""),"SCOPUS-000262")</f>
        <v>SCOPUS-000262</v>
      </c>
      <c r="B120" s="6" t="str">
        <f>IFERROR(__xludf.DUMMYFUNCTION("""COMPUTED_VALUE"""),"Remote Aerial Vehicle Solutions for Weed Detection in Precision Agriculture")</f>
        <v>Remote Aerial Vehicle Solutions for Weed Detection in Precision Agriculture</v>
      </c>
      <c r="C120" s="5" t="str">
        <f>IFERROR(__xludf.DUMMYFUNCTION("""COMPUTED_VALUE"""),"10.1109/ACCESS.2025.3575601")</f>
        <v>10.1109/ACCESS.2025.3575601</v>
      </c>
      <c r="D120" s="5">
        <f>IFERROR(__xludf.DUMMYFUNCTION("""COMPUTED_VALUE"""),2025.0)</f>
        <v>2025</v>
      </c>
    </row>
    <row r="121" ht="15.75" customHeight="1">
      <c r="A121" s="5" t="str">
        <f>IFERROR(__xludf.DUMMYFUNCTION("""COMPUTED_VALUE"""),"SCOPUS-000281")</f>
        <v>SCOPUS-000281</v>
      </c>
      <c r="B121" s="6" t="str">
        <f>IFERROR(__xludf.DUMMYFUNCTION("""COMPUTED_VALUE"""),"Deep Learning-Driven Automatic Segmentation of Weeds and Crops in UAV Imagery")</f>
        <v>Deep Learning-Driven Automatic Segmentation of Weeds and Crops in UAV Imagery</v>
      </c>
      <c r="C121" s="5" t="str">
        <f>IFERROR(__xludf.DUMMYFUNCTION("""COMPUTED_VALUE"""),"10.3390/s25216576")</f>
        <v>10.3390/s25216576</v>
      </c>
      <c r="D121" s="5">
        <f>IFERROR(__xludf.DUMMYFUNCTION("""COMPUTED_VALUE"""),2025.0)</f>
        <v>2025</v>
      </c>
    </row>
    <row r="122" ht="15.75" customHeight="1">
      <c r="A122" s="5" t="str">
        <f>IFERROR(__xludf.DUMMYFUNCTION("""COMPUTED_VALUE"""),"SCOPUS-000288")</f>
        <v>SCOPUS-000288</v>
      </c>
      <c r="B122" s="6" t="str">
        <f>IFERROR(__xludf.DUMMYFUNCTION("""COMPUTED_VALUE"""),"Automated weed and crop recognition and classification model using deep transfer learning with optimization algorithm")</f>
        <v>Automated weed and crop recognition and classification model using deep transfer learning with optimization algorithm</v>
      </c>
      <c r="C122" s="5" t="str">
        <f>IFERROR(__xludf.DUMMYFUNCTION("""COMPUTED_VALUE"""),"10.1038/s41598-025-15275-3")</f>
        <v>10.1038/s41598-025-15275-3</v>
      </c>
      <c r="D122" s="5">
        <f>IFERROR(__xludf.DUMMYFUNCTION("""COMPUTED_VALUE"""),2025.0)</f>
        <v>2025</v>
      </c>
    </row>
    <row r="123" ht="15.75" customHeight="1">
      <c r="A123" s="5" t="str">
        <f>IFERROR(__xludf.DUMMYFUNCTION("""COMPUTED_VALUE"""),"SCOPUS-000289")</f>
        <v>SCOPUS-000289</v>
      </c>
      <c r="B123" s="6" t="str">
        <f>IFERROR(__xludf.DUMMYFUNCTION("""COMPUTED_VALUE"""),"Field-based multispecies weed and crop detection using ground robots and advanced YOLO models: A data and model-centric approach")</f>
        <v>Field-based multispecies weed and crop detection using ground robots and advanced YOLO models: A data and model-centric approach</v>
      </c>
      <c r="C123" s="5" t="str">
        <f>IFERROR(__xludf.DUMMYFUNCTION("""COMPUTED_VALUE"""),"10.1016/j.atech.2024.100538")</f>
        <v>10.1016/j.atech.2024.100538</v>
      </c>
      <c r="D123" s="5">
        <f>IFERROR(__xludf.DUMMYFUNCTION("""COMPUTED_VALUE"""),2024.0)</f>
        <v>2024</v>
      </c>
    </row>
    <row r="124" ht="15.75" customHeight="1">
      <c r="A124" s="5" t="str">
        <f>IFERROR(__xludf.DUMMYFUNCTION("""COMPUTED_VALUE"""),"SCOPUS-000306")</f>
        <v>SCOPUS-000306</v>
      </c>
      <c r="B124" s="6" t="str">
        <f>IFERROR(__xludf.DUMMYFUNCTION("""COMPUTED_VALUE"""),"Weed instance segmentation from UAV Orthomosaic Images based on Deep Learning")</f>
        <v>Weed instance segmentation from UAV Orthomosaic Images based on Deep Learning</v>
      </c>
      <c r="C124" s="5" t="str">
        <f>IFERROR(__xludf.DUMMYFUNCTION("""COMPUTED_VALUE"""),"10.1016/j.atech.2025.100966")</f>
        <v>10.1016/j.atech.2025.100966</v>
      </c>
      <c r="D124" s="5">
        <f>IFERROR(__xludf.DUMMYFUNCTION("""COMPUTED_VALUE"""),2025.0)</f>
        <v>2025</v>
      </c>
    </row>
    <row r="125" ht="15.75" customHeight="1">
      <c r="A125" s="5" t="str">
        <f>IFERROR(__xludf.DUMMYFUNCTION("""COMPUTED_VALUE"""),"SCOPUS-000319")</f>
        <v>SCOPUS-000319</v>
      </c>
      <c r="B125" s="6" t="str">
        <f>IFERROR(__xludf.DUMMYFUNCTION("""COMPUTED_VALUE"""),"Mobile-Based AI Platform Integrating Image Analysis and Chatbot Technologies for Rice Variety and Weed Classification in Precision Agriculture")</f>
        <v>Mobile-Based AI Platform Integrating Image Analysis and Chatbot Technologies for Rice Variety and Weed Classification in Precision Agriculture</v>
      </c>
      <c r="C125" s="5" t="str">
        <f>IFERROR(__xludf.DUMMYFUNCTION("""COMPUTED_VALUE"""),"10.47738/jads.v6i4.918")</f>
        <v>10.47738/jads.v6i4.918</v>
      </c>
      <c r="D125" s="5">
        <f>IFERROR(__xludf.DUMMYFUNCTION("""COMPUTED_VALUE"""),2025.0)</f>
        <v>2025</v>
      </c>
    </row>
    <row r="126" ht="15.75" customHeight="1">
      <c r="A126" s="5" t="str">
        <f>IFERROR(__xludf.DUMMYFUNCTION("""COMPUTED_VALUE"""),"SCOPUS-000344")</f>
        <v>SCOPUS-000344</v>
      </c>
      <c r="B126" s="6" t="str">
        <f>IFERROR(__xludf.DUMMYFUNCTION("""COMPUTED_VALUE"""),"Rumex Weed Classification Using RegionConvolution Neural Networks Based-Colour Space Information")</f>
        <v>Rumex Weed Classification Using RegionConvolution Neural Networks Based-Colour Space Information</v>
      </c>
      <c r="C126" s="5" t="str">
        <f>IFERROR(__xludf.DUMMYFUNCTION("""COMPUTED_VALUE"""),"10.4114/intartif.vol26iss72pp244-255")</f>
        <v>10.4114/intartif.vol26iss72pp244-255</v>
      </c>
      <c r="D126" s="5">
        <f>IFERROR(__xludf.DUMMYFUNCTION("""COMPUTED_VALUE"""),2023.0)</f>
        <v>2023</v>
      </c>
    </row>
    <row r="127" ht="15.75" customHeight="1">
      <c r="A127" s="5" t="str">
        <f>IFERROR(__xludf.DUMMYFUNCTION("""COMPUTED_VALUE"""),"SCOPUS-000364")</f>
        <v>SCOPUS-000364</v>
      </c>
      <c r="B127" s="6" t="str">
        <f>IFERROR(__xludf.DUMMYFUNCTION("""COMPUTED_VALUE"""),"Performance evaluation of deep learning object detectors for weed detection for cotton")</f>
        <v>Performance evaluation of deep learning object detectors for weed detection for cotton</v>
      </c>
      <c r="C127" s="5" t="str">
        <f>IFERROR(__xludf.DUMMYFUNCTION("""COMPUTED_VALUE"""),"10.1016/j.atech.2022.100126")</f>
        <v>10.1016/j.atech.2022.100126</v>
      </c>
      <c r="D127" s="5">
        <f>IFERROR(__xludf.DUMMYFUNCTION("""COMPUTED_VALUE"""),2023.0)</f>
        <v>2023</v>
      </c>
    </row>
    <row r="128" ht="15.75" customHeight="1">
      <c r="A128" s="5" t="str">
        <f>IFERROR(__xludf.DUMMYFUNCTION("""COMPUTED_VALUE"""),"SCOPUS-000372")</f>
        <v>SCOPUS-000372</v>
      </c>
      <c r="B128" s="6" t="str">
        <f>IFERROR(__xludf.DUMMYFUNCTION("""COMPUTED_VALUE"""),"HierbaNetV1: a novel feature extraction framework for deep learning-based weed identification")</f>
        <v>HierbaNetV1: a novel feature extraction framework for deep learning-based weed identification</v>
      </c>
      <c r="C128" s="5" t="str">
        <f>IFERROR(__xludf.DUMMYFUNCTION("""COMPUTED_VALUE"""),"10.7717/peerj-cs.2518")</f>
        <v>10.7717/peerj-cs.2518</v>
      </c>
      <c r="D128" s="5">
        <f>IFERROR(__xludf.DUMMYFUNCTION("""COMPUTED_VALUE"""),2024.0)</f>
        <v>2024</v>
      </c>
    </row>
    <row r="129" ht="15.75" customHeight="1">
      <c r="A129" s="5" t="str">
        <f>IFERROR(__xludf.DUMMYFUNCTION("""COMPUTED_VALUE"""),"SCOPUS-000379")</f>
        <v>SCOPUS-000379</v>
      </c>
      <c r="B129" s="6" t="str">
        <f>IFERROR(__xludf.DUMMYFUNCTION("""COMPUTED_VALUE"""),"Weed Classification from Natural Corn Field-Multi-Plant Images Based on Shallow and Deep Learning")</f>
        <v>Weed Classification from Natural Corn Field-Multi-Plant Images Based on Shallow and Deep Learning</v>
      </c>
      <c r="C129" s="5" t="str">
        <f>IFERROR(__xludf.DUMMYFUNCTION("""COMPUTED_VALUE"""),"10.3390/s22083021")</f>
        <v>10.3390/s22083021</v>
      </c>
      <c r="D129" s="5">
        <f>IFERROR(__xludf.DUMMYFUNCTION("""COMPUTED_VALUE"""),2022.0)</f>
        <v>2022</v>
      </c>
    </row>
    <row r="130" ht="15.75" customHeight="1">
      <c r="A130" s="5" t="str">
        <f>IFERROR(__xludf.DUMMYFUNCTION("""COMPUTED_VALUE"""),"SCOPUS-000383")</f>
        <v>SCOPUS-000383</v>
      </c>
      <c r="B130" s="6" t="str">
        <f>IFERROR(__xludf.DUMMYFUNCTION("""COMPUTED_VALUE"""),"Deep Learning-Based Object Detection System for Identifying Weeds Using UAS Imagery")</f>
        <v>Deep Learning-Based Object Detection System for Identifying Weeds Using UAS Imagery</v>
      </c>
      <c r="C130" s="5" t="str">
        <f>IFERROR(__xludf.DUMMYFUNCTION("""COMPUTED_VALUE"""),"10.3390/rs13245182")</f>
        <v>10.3390/rs13245182</v>
      </c>
      <c r="D130" s="5">
        <f>IFERROR(__xludf.DUMMYFUNCTION("""COMPUTED_VALUE"""),2021.0)</f>
        <v>2021</v>
      </c>
    </row>
    <row r="131" ht="15.75" customHeight="1">
      <c r="A131" s="5" t="str">
        <f>IFERROR(__xludf.DUMMYFUNCTION("""COMPUTED_VALUE"""),"SCOPUS-000402")</f>
        <v>SCOPUS-000402</v>
      </c>
      <c r="B131" s="6" t="str">
        <f>IFERROR(__xludf.DUMMYFUNCTION("""COMPUTED_VALUE"""),"Object-level benchmark for deep learning-based detection and classification of weed species")</f>
        <v>Object-level benchmark for deep learning-based detection and classification of weed species</v>
      </c>
      <c r="C131" s="5" t="str">
        <f>IFERROR(__xludf.DUMMYFUNCTION("""COMPUTED_VALUE"""),"10.1016/j.cropro.2023.106561")</f>
        <v>10.1016/j.cropro.2023.106561</v>
      </c>
      <c r="D131" s="5">
        <f>IFERROR(__xludf.DUMMYFUNCTION("""COMPUTED_VALUE"""),2024.0)</f>
        <v>2024</v>
      </c>
    </row>
    <row r="132" ht="15.75" customHeight="1">
      <c r="A132" s="5" t="str">
        <f>IFERROR(__xludf.DUMMYFUNCTION("""COMPUTED_VALUE"""),"SCOPUS-000415")</f>
        <v>SCOPUS-000415</v>
      </c>
      <c r="B132" s="6" t="str">
        <f>IFERROR(__xludf.DUMMYFUNCTION("""COMPUTED_VALUE"""),"Influence of Image Quality and Light Consistency on the Performance of Convolutional Neural Networks for Weed Mapping")</f>
        <v>Influence of Image Quality and Light Consistency on the Performance of Convolutional Neural Networks for Weed Mapping</v>
      </c>
      <c r="C132" s="5" t="str">
        <f>IFERROR(__xludf.DUMMYFUNCTION("""COMPUTED_VALUE"""),"10.3390/rs13112140")</f>
        <v>10.3390/rs13112140</v>
      </c>
      <c r="D132" s="5">
        <f>IFERROR(__xludf.DUMMYFUNCTION("""COMPUTED_VALUE"""),2021.0)</f>
        <v>2021</v>
      </c>
    </row>
    <row r="133" ht="15.75" customHeight="1">
      <c r="A133" s="5" t="str">
        <f>IFERROR(__xludf.DUMMYFUNCTION("""COMPUTED_VALUE"""),"SCOPUS-000421")</f>
        <v>SCOPUS-000421</v>
      </c>
      <c r="B133" s="6" t="str">
        <f>IFERROR(__xludf.DUMMYFUNCTION("""COMPUTED_VALUE"""),"Novel Assessment of Region-Based CNNs for Detecting Monocot/Dicot Weeds in Dense Field Environments")</f>
        <v>Novel Assessment of Region-Based CNNs for Detecting Monocot/Dicot Weeds in Dense Field Environments</v>
      </c>
      <c r="C133" s="5" t="str">
        <f>IFERROR(__xludf.DUMMYFUNCTION("""COMPUTED_VALUE"""),"10.3390/agronomy12051167")</f>
        <v>10.3390/agronomy12051167</v>
      </c>
      <c r="D133" s="5">
        <f>IFERROR(__xludf.DUMMYFUNCTION("""COMPUTED_VALUE"""),2022.0)</f>
        <v>2022</v>
      </c>
    </row>
    <row r="134" ht="15.75" customHeight="1">
      <c r="A134" s="5" t="str">
        <f>IFERROR(__xludf.DUMMYFUNCTION("""COMPUTED_VALUE"""),"SCOPUS-000429")</f>
        <v>SCOPUS-000429</v>
      </c>
      <c r="B134" s="6" t="str">
        <f>IFERROR(__xludf.DUMMYFUNCTION("""COMPUTED_VALUE"""),"Weed25: A deep learning dataset for weed identification")</f>
        <v>Weed25: A deep learning dataset for weed identification</v>
      </c>
      <c r="C134" s="5" t="str">
        <f>IFERROR(__xludf.DUMMYFUNCTION("""COMPUTED_VALUE"""),"10.3389/fpls.2022.1053329")</f>
        <v>10.3389/fpls.2022.1053329</v>
      </c>
      <c r="D134" s="5">
        <f>IFERROR(__xludf.DUMMYFUNCTION("""COMPUTED_VALUE"""),2022.0)</f>
        <v>2022</v>
      </c>
    </row>
    <row r="135" ht="15.75" customHeight="1">
      <c r="A135" s="5" t="str">
        <f>IFERROR(__xludf.DUMMYFUNCTION("""COMPUTED_VALUE"""),"SCOPUS-000441")</f>
        <v>SCOPUS-000441</v>
      </c>
      <c r="B135" s="6" t="str">
        <f>IFERROR(__xludf.DUMMYFUNCTION("""COMPUTED_VALUE"""),"Weed–Crop Segmentation in Drone Images with a Novel Encoder–Decoder Framework Enhanced via Attention Modules")</f>
        <v>Weed–Crop Segmentation in Drone Images with a Novel Encoder–Decoder Framework Enhanced via Attention Modules</v>
      </c>
      <c r="C135" s="5" t="str">
        <f>IFERROR(__xludf.DUMMYFUNCTION("""COMPUTED_VALUE"""),"10.3390/rs15235615")</f>
        <v>10.3390/rs15235615</v>
      </c>
      <c r="D135" s="5">
        <f>IFERROR(__xludf.DUMMYFUNCTION("""COMPUTED_VALUE"""),2023.0)</f>
        <v>2023</v>
      </c>
    </row>
    <row r="136" ht="15.75" customHeight="1">
      <c r="A136" s="5" t="str">
        <f>IFERROR(__xludf.DUMMYFUNCTION("""COMPUTED_VALUE"""),"SCOPUS-000454")</f>
        <v>SCOPUS-000454</v>
      </c>
      <c r="B136" s="6" t="str">
        <f>IFERROR(__xludf.DUMMYFUNCTION("""COMPUTED_VALUE"""),"Synthetic data augmentation by diffusion probabilistic models to enhance weed recognition")</f>
        <v>Synthetic data augmentation by diffusion probabilistic models to enhance weed recognition</v>
      </c>
      <c r="C136" s="5" t="str">
        <f>IFERROR(__xludf.DUMMYFUNCTION("""COMPUTED_VALUE"""),"10.1016/j.compag.2023.108517")</f>
        <v>10.1016/j.compag.2023.108517</v>
      </c>
      <c r="D136" s="5">
        <f>IFERROR(__xludf.DUMMYFUNCTION("""COMPUTED_VALUE"""),2024.0)</f>
        <v>2024</v>
      </c>
    </row>
    <row r="137" ht="15.75" customHeight="1">
      <c r="A137" s="5" t="str">
        <f>IFERROR(__xludf.DUMMYFUNCTION("""COMPUTED_VALUE"""),"SCOPUS-000459")</f>
        <v>SCOPUS-000459</v>
      </c>
      <c r="B137" s="6" t="str">
        <f>IFERROR(__xludf.DUMMYFUNCTION("""COMPUTED_VALUE"""),"Weeds detection efficiency through different convolutional neural networks technology")</f>
        <v>Weeds detection efficiency through different convolutional neural networks technology</v>
      </c>
      <c r="C137" s="5" t="str">
        <f>IFERROR(__xludf.DUMMYFUNCTION("""COMPUTED_VALUE"""),"10.11591/ijece.v12i1.pp1048-1055")</f>
        <v>10.11591/ijece.v12i1.pp1048-1055</v>
      </c>
      <c r="D137" s="5">
        <f>IFERROR(__xludf.DUMMYFUNCTION("""COMPUTED_VALUE"""),2022.0)</f>
        <v>2022</v>
      </c>
    </row>
    <row r="138" ht="15.75" customHeight="1">
      <c r="A138" s="5" t="str">
        <f>IFERROR(__xludf.DUMMYFUNCTION("""COMPUTED_VALUE"""),"SCOPUS-000471")</f>
        <v>SCOPUS-000471</v>
      </c>
      <c r="B138" s="6" t="str">
        <f>IFERROR(__xludf.DUMMYFUNCTION("""COMPUTED_VALUE"""),"Weed Detection Model Using the Generative Adversarial Network and Deep Convolutional Neural Network")</f>
        <v>Weed Detection Model Using the Generative Adversarial Network and Deep Convolutional Neural Network</v>
      </c>
      <c r="C138" s="5" t="str">
        <f>IFERROR(__xludf.DUMMYFUNCTION("""COMPUTED_VALUE"""),"10.13052/jmm1550-4646.1826")</f>
        <v>10.13052/jmm1550-4646.1826</v>
      </c>
      <c r="D138" s="5">
        <f>IFERROR(__xludf.DUMMYFUNCTION("""COMPUTED_VALUE"""),2021.0)</f>
        <v>2021</v>
      </c>
    </row>
    <row r="139" ht="15.75" customHeight="1">
      <c r="A139" s="5" t="str">
        <f>IFERROR(__xludf.DUMMYFUNCTION("""COMPUTED_VALUE"""),"SCOPUS-000480")</f>
        <v>SCOPUS-000480</v>
      </c>
      <c r="B139" s="6" t="str">
        <f>IFERROR(__xludf.DUMMYFUNCTION("""COMPUTED_VALUE"""),"Weed recognition using deep learning techniques on class-imbalanced imagery")</f>
        <v>Weed recognition using deep learning techniques on class-imbalanced imagery</v>
      </c>
      <c r="C139" s="5" t="str">
        <f>IFERROR(__xludf.DUMMYFUNCTION("""COMPUTED_VALUE"""),"10.1071/CP21626")</f>
        <v>10.1071/CP21626</v>
      </c>
      <c r="D139" s="5">
        <f>IFERROR(__xludf.DUMMYFUNCTION("""COMPUTED_VALUE"""),2023.0)</f>
        <v>2023</v>
      </c>
    </row>
    <row r="140" ht="15.75" customHeight="1">
      <c r="A140" s="5" t="str">
        <f>IFERROR(__xludf.DUMMYFUNCTION("""COMPUTED_VALUE"""),"SCOPUS-000492")</f>
        <v>SCOPUS-000492</v>
      </c>
      <c r="B140" s="6" t="str">
        <f>IFERROR(__xludf.DUMMYFUNCTION("""COMPUTED_VALUE"""),"Image-to-Image Translation-Based Data Augmentation for Improving Crop/Weed Classification Models for Precision Agriculture Applications")</f>
        <v>Image-to-Image Translation-Based Data Augmentation for Improving Crop/Weed Classification Models for Precision Agriculture Applications</v>
      </c>
      <c r="C140" s="5" t="str">
        <f>IFERROR(__xludf.DUMMYFUNCTION("""COMPUTED_VALUE"""),"10.3390/a15110401")</f>
        <v>10.3390/a15110401</v>
      </c>
      <c r="D140" s="5">
        <f>IFERROR(__xludf.DUMMYFUNCTION("""COMPUTED_VALUE"""),2022.0)</f>
        <v>2022</v>
      </c>
    </row>
    <row r="141" ht="15.75" customHeight="1">
      <c r="A141" s="5" t="str">
        <f>IFERROR(__xludf.DUMMYFUNCTION("""COMPUTED_VALUE"""),"SCOPUS-000493")</f>
        <v>SCOPUS-000493</v>
      </c>
      <c r="B141" s="6" t="str">
        <f>IFERROR(__xludf.DUMMYFUNCTION("""COMPUTED_VALUE"""),"A comparative analysis of deep learning methods for weed classification of high-resolution UAV images")</f>
        <v>A comparative analysis of deep learning methods for weed classification of high-resolution UAV images</v>
      </c>
      <c r="C141" s="5" t="str">
        <f>IFERROR(__xludf.DUMMYFUNCTION("""COMPUTED_VALUE"""),"10.1007/s41348-023-00814-9")</f>
        <v>10.1007/s41348-023-00814-9</v>
      </c>
      <c r="D141" s="5">
        <f>IFERROR(__xludf.DUMMYFUNCTION("""COMPUTED_VALUE"""),2024.0)</f>
        <v>2024</v>
      </c>
    </row>
    <row r="142" ht="15.75" customHeight="1">
      <c r="A142" s="5" t="str">
        <f>IFERROR(__xludf.DUMMYFUNCTION("""COMPUTED_VALUE"""),"SCOPUS-000505")</f>
        <v>SCOPUS-000505</v>
      </c>
      <c r="B142" s="6" t="str">
        <f>IFERROR(__xludf.DUMMYFUNCTION("""COMPUTED_VALUE"""),"Metaheuristic Optimization for Improving Weed Detection in Wheat Images Captured by Drones")</f>
        <v>Metaheuristic Optimization for Improving Weed Detection in Wheat Images Captured by Drones</v>
      </c>
      <c r="C142" s="5" t="str">
        <f>IFERROR(__xludf.DUMMYFUNCTION("""COMPUTED_VALUE"""),"10.3390/math10234421")</f>
        <v>10.3390/math10234421</v>
      </c>
      <c r="D142" s="5">
        <f>IFERROR(__xludf.DUMMYFUNCTION("""COMPUTED_VALUE"""),2022.0)</f>
        <v>2022</v>
      </c>
    </row>
    <row r="143" ht="15.75" customHeight="1">
      <c r="A143" s="5" t="str">
        <f>IFERROR(__xludf.DUMMYFUNCTION("""COMPUTED_VALUE"""),"SCOPUS-000532")</f>
        <v>SCOPUS-000532</v>
      </c>
      <c r="B143" s="6" t="str">
        <f>IFERROR(__xludf.DUMMYFUNCTION("""COMPUTED_VALUE"""),"Static laser weeding system based on improved YOLOv8 and image fusion")</f>
        <v>Static laser weeding system based on improved YOLOv8 and image fusion</v>
      </c>
      <c r="C143" s="5" t="str">
        <f>IFERROR(__xludf.DUMMYFUNCTION("""COMPUTED_VALUE"""),"10.4081/jae.2024.1598")</f>
        <v>10.4081/jae.2024.1598</v>
      </c>
      <c r="D143" s="5">
        <f>IFERROR(__xludf.DUMMYFUNCTION("""COMPUTED_VALUE"""),2024.0)</f>
        <v>2024</v>
      </c>
    </row>
    <row r="144" ht="15.75" customHeight="1">
      <c r="A144" s="5" t="str">
        <f>IFERROR(__xludf.DUMMYFUNCTION("""COMPUTED_VALUE"""),"SCOPUS-000542")</f>
        <v>SCOPUS-000542</v>
      </c>
      <c r="B144" s="6" t="str">
        <f>IFERROR(__xludf.DUMMYFUNCTION("""COMPUTED_VALUE"""),"Improved generalization of a plant-detection model for precision weed control")</f>
        <v>Improved generalization of a plant-detection model for precision weed control</v>
      </c>
      <c r="C144" s="5" t="str">
        <f>IFERROR(__xludf.DUMMYFUNCTION("""COMPUTED_VALUE"""),"10.1016/j.compag.2022.107554")</f>
        <v>10.1016/j.compag.2022.107554</v>
      </c>
      <c r="D144" s="5">
        <f>IFERROR(__xludf.DUMMYFUNCTION("""COMPUTED_VALUE"""),2023.0)</f>
        <v>2023</v>
      </c>
    </row>
    <row r="145" ht="15.75" customHeight="1">
      <c r="A145" s="5" t="str">
        <f>IFERROR(__xludf.DUMMYFUNCTION("""COMPUTED_VALUE"""),"SCOPUS-000545")</f>
        <v>SCOPUS-000545</v>
      </c>
      <c r="B145" s="6" t="str">
        <f>IFERROR(__xludf.DUMMYFUNCTION("""COMPUTED_VALUE"""),"MSFCA-Net: A Multi-Scale Feature Convolutional Attention Network for Segmenting Crops and Weeds in the Field")</f>
        <v>MSFCA-Net: A Multi-Scale Feature Convolutional Attention Network for Segmenting Crops and Weeds in the Field</v>
      </c>
      <c r="C145" s="5" t="str">
        <f>IFERROR(__xludf.DUMMYFUNCTION("""COMPUTED_VALUE"""),"10.3390/agriculture13061176")</f>
        <v>10.3390/agriculture13061176</v>
      </c>
      <c r="D145" s="5">
        <f>IFERROR(__xludf.DUMMYFUNCTION("""COMPUTED_VALUE"""),2023.0)</f>
        <v>2023</v>
      </c>
    </row>
    <row r="146" ht="15.75" customHeight="1">
      <c r="A146" s="5" t="str">
        <f>IFERROR(__xludf.DUMMYFUNCTION("""COMPUTED_VALUE"""),"SCOPUS-000552")</f>
        <v>SCOPUS-000552</v>
      </c>
      <c r="B146" s="6" t="str">
        <f>IFERROR(__xludf.DUMMYFUNCTION("""COMPUTED_VALUE"""),"Evaluation of Inference Performance of Deep Learning Models for Real-Time Weed Detection in an Embedded Computer")</f>
        <v>Evaluation of Inference Performance of Deep Learning Models for Real-Time Weed Detection in an Embedded Computer</v>
      </c>
      <c r="C146" s="5" t="str">
        <f>IFERROR(__xludf.DUMMYFUNCTION("""COMPUTED_VALUE"""),"10.3390/s24020514")</f>
        <v>10.3390/s24020514</v>
      </c>
      <c r="D146" s="5">
        <f>IFERROR(__xludf.DUMMYFUNCTION("""COMPUTED_VALUE"""),2024.0)</f>
        <v>2024</v>
      </c>
    </row>
    <row r="147" ht="15.75" customHeight="1">
      <c r="A147" s="5" t="str">
        <f>IFERROR(__xludf.DUMMYFUNCTION("""COMPUTED_VALUE"""),"SCOPUS-000582")</f>
        <v>SCOPUS-000582</v>
      </c>
      <c r="B147" s="6" t="str">
        <f>IFERROR(__xludf.DUMMYFUNCTION("""COMPUTED_VALUE"""),"UAV-Assisted Thermal Infrared and Multispectral Imaging of Weed Canopies for Glyphosate Resistance Detection")</f>
        <v>UAV-Assisted Thermal Infrared and Multispectral Imaging of Weed Canopies for Glyphosate Resistance Detection</v>
      </c>
      <c r="C147" s="5" t="str">
        <f>IFERROR(__xludf.DUMMYFUNCTION("""COMPUTED_VALUE"""),"10.3390/rs13224606")</f>
        <v>10.3390/rs13224606</v>
      </c>
      <c r="D147" s="5">
        <f>IFERROR(__xludf.DUMMYFUNCTION("""COMPUTED_VALUE"""),2021.0)</f>
        <v>2021</v>
      </c>
    </row>
    <row r="148" ht="15.75" customHeight="1">
      <c r="A148" s="5" t="str">
        <f>IFERROR(__xludf.DUMMYFUNCTION("""COMPUTED_VALUE"""),"SCOPUS-000600")</f>
        <v>SCOPUS-000600</v>
      </c>
      <c r="B148" s="6" t="str">
        <f>IFERROR(__xludf.DUMMYFUNCTION("""COMPUTED_VALUE"""),"Leveraging Machine Learning for Weed Management and Crop Enhancement: Vineyard Flora Classification")</f>
        <v>Leveraging Machine Learning for Weed Management and Crop Enhancement: Vineyard Flora Classification</v>
      </c>
      <c r="C148" s="5" t="str">
        <f>IFERROR(__xludf.DUMMYFUNCTION("""COMPUTED_VALUE"""),"10.3390/a17010019")</f>
        <v>10.3390/a17010019</v>
      </c>
      <c r="D148" s="5">
        <f>IFERROR(__xludf.DUMMYFUNCTION("""COMPUTED_VALUE"""),2024.0)</f>
        <v>2024</v>
      </c>
    </row>
    <row r="149" ht="15.75" customHeight="1">
      <c r="A149" s="5" t="str">
        <f>IFERROR(__xludf.DUMMYFUNCTION("""COMPUTED_VALUE"""),"SCOPUS-000620")</f>
        <v>SCOPUS-000620</v>
      </c>
      <c r="B149" s="6" t="str">
        <f>IFERROR(__xludf.DUMMYFUNCTION("""COMPUTED_VALUE"""),"Transfer and zero-shot learning for scalable weed detection and classification in UAV images")</f>
        <v>Transfer and zero-shot learning for scalable weed detection and classification in UAV images</v>
      </c>
      <c r="C149" s="5" t="str">
        <f>IFERROR(__xludf.DUMMYFUNCTION("""COMPUTED_VALUE"""),"10.1016/j.knosys.2024.111586")</f>
        <v>10.1016/j.knosys.2024.111586</v>
      </c>
      <c r="D149" s="5">
        <f>IFERROR(__xludf.DUMMYFUNCTION("""COMPUTED_VALUE"""),2024.0)</f>
        <v>2024</v>
      </c>
    </row>
    <row r="150" ht="15.75" customHeight="1">
      <c r="A150" s="5" t="str">
        <f>IFERROR(__xludf.DUMMYFUNCTION("""COMPUTED_VALUE"""),"SCOPUS-000623")</f>
        <v>SCOPUS-000623</v>
      </c>
      <c r="B150" s="6" t="str">
        <f>IFERROR(__xludf.DUMMYFUNCTION("""COMPUTED_VALUE"""),"Classification of Weeds of Paddy Fields using Deep Learning")</f>
        <v>Classification of Weeds of Paddy Fields using Deep Learning</v>
      </c>
      <c r="C150" s="5" t="str">
        <f>IFERROR(__xludf.DUMMYFUNCTION("""COMPUTED_VALUE"""),"10.37936/ecti-cit.2022164.246857")</f>
        <v>10.37936/ecti-cit.2022164.246857</v>
      </c>
      <c r="D150" s="5">
        <f>IFERROR(__xludf.DUMMYFUNCTION("""COMPUTED_VALUE"""),2022.0)</f>
        <v>2022</v>
      </c>
    </row>
    <row r="151" ht="15.75" customHeight="1">
      <c r="A151" s="5" t="str">
        <f>IFERROR(__xludf.DUMMYFUNCTION("""COMPUTED_VALUE"""),"SCOPUS-000626")</f>
        <v>SCOPUS-000626</v>
      </c>
      <c r="B151" s="6" t="str">
        <f>IFERROR(__xludf.DUMMYFUNCTION("""COMPUTED_VALUE"""),"Multi-Class Weed Recognition Using Hybrid CNN-SVM Classifier")</f>
        <v>Multi-Class Weed Recognition Using Hybrid CNN-SVM Classifier</v>
      </c>
      <c r="C151" s="5" t="str">
        <f>IFERROR(__xludf.DUMMYFUNCTION("""COMPUTED_VALUE"""),"10.3390/s23167153")</f>
        <v>10.3390/s23167153</v>
      </c>
      <c r="D151" s="5">
        <f>IFERROR(__xludf.DUMMYFUNCTION("""COMPUTED_VALUE"""),2023.0)</f>
        <v>2023</v>
      </c>
    </row>
    <row r="152" ht="15.75" customHeight="1">
      <c r="A152" s="5" t="str">
        <f>IFERROR(__xludf.DUMMYFUNCTION("""COMPUTED_VALUE"""),"SCOPUS-000628")</f>
        <v>SCOPUS-000628</v>
      </c>
      <c r="B152" s="6" t="str">
        <f>IFERROR(__xludf.DUMMYFUNCTION("""COMPUTED_VALUE"""),"WeedVision: A single-stage deep learning architecture to perform weed detection and segmentation using drone-acquired images")</f>
        <v>WeedVision: A single-stage deep learning architecture to perform weed detection and segmentation using drone-acquired images</v>
      </c>
      <c r="C152" s="5" t="str">
        <f>IFERROR(__xludf.DUMMYFUNCTION("""COMPUTED_VALUE"""),"10.1016/j.compag.2024.108792")</f>
        <v>10.1016/j.compag.2024.108792</v>
      </c>
      <c r="D152" s="5">
        <f>IFERROR(__xludf.DUMMYFUNCTION("""COMPUTED_VALUE"""),2024.0)</f>
        <v>2024</v>
      </c>
    </row>
    <row r="153" ht="15.75" customHeight="1">
      <c r="A153" s="5" t="str">
        <f>IFERROR(__xludf.DUMMYFUNCTION("""COMPUTED_VALUE"""),"SCOPUS-000676")</f>
        <v>SCOPUS-000676</v>
      </c>
      <c r="B153" s="6" t="str">
        <f>IFERROR(__xludf.DUMMYFUNCTION("""COMPUTED_VALUE"""),"Development of a weed detection system using machine learning and neural network algorithms")</f>
        <v>Development of a weed detection system using machine learning and neural network algorithms</v>
      </c>
      <c r="C153" s="5" t="str">
        <f>IFERROR(__xludf.DUMMYFUNCTION("""COMPUTED_VALUE"""),"10.15587/1729-4061.2021.246706")</f>
        <v>10.15587/1729-4061.2021.246706</v>
      </c>
      <c r="D153" s="5">
        <f>IFERROR(__xludf.DUMMYFUNCTION("""COMPUTED_VALUE"""),2021.0)</f>
        <v>2021</v>
      </c>
    </row>
    <row r="154" ht="15.75" customHeight="1">
      <c r="A154" s="5" t="str">
        <f>IFERROR(__xludf.DUMMYFUNCTION("""COMPUTED_VALUE"""),"SCOPUS-000753")</f>
        <v>SCOPUS-000753</v>
      </c>
      <c r="B154" s="6" t="str">
        <f>IFERROR(__xludf.DUMMYFUNCTION("""COMPUTED_VALUE"""),"Weed detection in canola fields using maximum likelihood classification and deep convolutional neural network")</f>
        <v>Weed detection in canola fields using maximum likelihood classification and deep convolutional neural network</v>
      </c>
      <c r="C154" s="5" t="str">
        <f>IFERROR(__xludf.DUMMYFUNCTION("""COMPUTED_VALUE"""),"10.1016/j.inpa.2019.12.002")</f>
        <v>10.1016/j.inpa.2019.12.002</v>
      </c>
      <c r="D154" s="5">
        <f>IFERROR(__xludf.DUMMYFUNCTION("""COMPUTED_VALUE"""),2020.0)</f>
        <v>2020</v>
      </c>
    </row>
    <row r="155" ht="15.75" customHeight="1">
      <c r="A155" s="5" t="str">
        <f>IFERROR(__xludf.DUMMYFUNCTION("""COMPUTED_VALUE"""),"WEBSCI-000421")</f>
        <v>WEBSCI-000421</v>
      </c>
      <c r="B155" s="6" t="str">
        <f>IFERROR(__xludf.DUMMYFUNCTION("""COMPUTED_VALUE"""),"Benchmarking Optimizers in Transfer Learning for Automated Weed Image Recognition")</f>
        <v>Benchmarking Optimizers in Transfer Learning for Automated Weed Image Recognition</v>
      </c>
      <c r="C155" s="5"/>
      <c r="D155" s="5">
        <f>IFERROR(__xludf.DUMMYFUNCTION("""COMPUTED_VALUE"""),2025.0)</f>
        <v>2025</v>
      </c>
    </row>
    <row r="156" ht="15.75" customHeight="1">
      <c r="A156" s="5" t="str">
        <f>IFERROR(__xludf.DUMMYFUNCTION("""COMPUTED_VALUE"""),"WEBSCI-000559")</f>
        <v>WEBSCI-000559</v>
      </c>
      <c r="B156" s="6" t="str">
        <f>IFERROR(__xludf.DUMMYFUNCTION("""COMPUTED_VALUE"""),"Fine-grained weed recognition using Swin Transformer and two-stage transfer learning")</f>
        <v>Fine-grained weed recognition using Swin Transformer and two-stage transfer learning</v>
      </c>
      <c r="C156" s="5" t="str">
        <f>IFERROR(__xludf.DUMMYFUNCTION("""COMPUTED_VALUE"""),"10.3389/fpls.2023.1134932")</f>
        <v>10.3389/fpls.2023.1134932</v>
      </c>
      <c r="D156" s="5">
        <f>IFERROR(__xludf.DUMMYFUNCTION("""COMPUTED_VALUE"""),2023.0)</f>
        <v>2023</v>
      </c>
    </row>
  </sheetData>
  <conditionalFormatting sqref="A3:D156">
    <cfRule type="expression" dxfId="2" priority="1" stopIfTrue="1">
      <formula>ISEVEN(ROW())</formula>
    </cfRule>
  </conditionalFormatting>
  <conditionalFormatting sqref="A3:D156">
    <cfRule type="expression" dxfId="3" priority="2" stopIfTrue="1">
      <formula>ISODD(ROW())</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5"/>
    <col customWidth="1" min="2" max="2" width="15.75"/>
    <col customWidth="1" min="3" max="3" width="20.75"/>
    <col customWidth="1" min="4" max="4" width="18.25"/>
  </cols>
  <sheetData>
    <row r="1" ht="22.5" customHeight="1">
      <c r="A1" s="2" t="str">
        <f>IFERROR(__xludf.DUMMYFUNCTION("VSTACK(IMPORTRANGE(""https://docs.google.com/spreadsheets/d/1IG-NLlNbWxgmur-Ok920jusl5qwxm6_N-HtBuRIcbS0/edit"",""'2-Application Context'!A1:D96""),QUERY(IMPORTRANGE(""https://docs.google.com/spreadsheets/d/1o-YvsM1EXkN6ZzOgu4zM9Uz7mmya31G7zJCOonMGAME/edi"&amp;"t"",""'2-Application Context'!A1:D62""),""select * offset 2"",0))"),"Application Context")</f>
        <v>Application Context</v>
      </c>
      <c r="B1" s="2"/>
      <c r="C1" s="2"/>
      <c r="D1" s="2"/>
    </row>
    <row r="2" ht="19.5" customHeight="1">
      <c r="A2" s="2" t="str">
        <f>IFERROR(__xludf.DUMMYFUNCTION("""COMPUTED_VALUE"""),"Study ID")</f>
        <v>Study ID</v>
      </c>
      <c r="B2" s="2" t="str">
        <f>IFERROR(__xludf.DUMMYFUNCTION("""COMPUTED_VALUE"""),"Task")</f>
        <v>Task</v>
      </c>
      <c r="C2" s="2" t="str">
        <f>IFERROR(__xludf.DUMMYFUNCTION("""COMPUTED_VALUE"""),"Crop ")</f>
        <v>Crop </v>
      </c>
      <c r="D2" s="2" t="str">
        <f>IFERROR(__xludf.DUMMYFUNCTION("""COMPUTED_VALUE"""),"Environment")</f>
        <v>Environment</v>
      </c>
    </row>
    <row r="3" ht="15.75" customHeight="1">
      <c r="A3" s="5" t="str">
        <f>IFERROR(__xludf.DUMMYFUNCTION("""COMPUTED_VALUE"""),"SCOPUS-000349")</f>
        <v>SCOPUS-000349</v>
      </c>
      <c r="B3" s="5" t="str">
        <f>IFERROR(__xludf.DUMMYFUNCTION("""COMPUTED_VALUE"""),"Segmentation")</f>
        <v>Segmentation</v>
      </c>
      <c r="C3" s="5" t="str">
        <f>IFERROR(__xludf.DUMMYFUNCTION("""COMPUTED_VALUE"""),"None")</f>
        <v>None</v>
      </c>
      <c r="D3" s="5" t="str">
        <f>IFERROR(__xludf.DUMMYFUNCTION("""COMPUTED_VALUE"""),"UAV aerial")</f>
        <v>UAV aerial</v>
      </c>
    </row>
    <row r="4" ht="15.75" customHeight="1">
      <c r="A4" s="5" t="str">
        <f>IFERROR(__xludf.DUMMYFUNCTION("""COMPUTED_VALUE"""),"SCOPUS-000473")</f>
        <v>SCOPUS-000473</v>
      </c>
      <c r="B4" s="5" t="str">
        <f>IFERROR(__xludf.DUMMYFUNCTION("""COMPUTED_VALUE"""),"Classification")</f>
        <v>Classification</v>
      </c>
      <c r="C4" s="5" t="str">
        <f>IFERROR(__xludf.DUMMYFUNCTION("""COMPUTED_VALUE"""),"Mixed")</f>
        <v>Mixed</v>
      </c>
      <c r="D4" s="5" t="str">
        <f>IFERROR(__xludf.DUMMYFUNCTION("""COMPUTED_VALUE"""),"Field")</f>
        <v>Field</v>
      </c>
    </row>
    <row r="5" ht="15.75" customHeight="1">
      <c r="A5" s="5" t="str">
        <f>IFERROR(__xludf.DUMMYFUNCTION("""COMPUTED_VALUE"""),"SCOPUS-000722")</f>
        <v>SCOPUS-000722</v>
      </c>
      <c r="B5" s="5" t="str">
        <f>IFERROR(__xludf.DUMMYFUNCTION("""COMPUTED_VALUE"""),"Segmentation")</f>
        <v>Segmentation</v>
      </c>
      <c r="C5" s="5" t="str">
        <f>IFERROR(__xludf.DUMMYFUNCTION("""COMPUTED_VALUE"""),"Canola")</f>
        <v>Canola</v>
      </c>
      <c r="D5" s="5" t="str">
        <f>IFERROR(__xludf.DUMMYFUNCTION("""COMPUTED_VALUE"""),"Field")</f>
        <v>Field</v>
      </c>
    </row>
    <row r="6" ht="15.75" customHeight="1">
      <c r="A6" s="5" t="str">
        <f>IFERROR(__xludf.DUMMYFUNCTION("""COMPUTED_VALUE"""),"SCOPUS-000153")</f>
        <v>SCOPUS-000153</v>
      </c>
      <c r="B6" s="5" t="str">
        <f>IFERROR(__xludf.DUMMYFUNCTION("""COMPUTED_VALUE"""),"Segmentation")</f>
        <v>Segmentation</v>
      </c>
      <c r="C6" s="5" t="str">
        <f>IFERROR(__xludf.DUMMYFUNCTION("""COMPUTED_VALUE"""),"Pigeon pea")</f>
        <v>Pigeon pea</v>
      </c>
      <c r="D6" s="5" t="str">
        <f>IFERROR(__xludf.DUMMYFUNCTION("""COMPUTED_VALUE"""),"UAV aerial")</f>
        <v>UAV aerial</v>
      </c>
    </row>
    <row r="7" ht="15.75" customHeight="1">
      <c r="A7" s="5" t="str">
        <f>IFERROR(__xludf.DUMMYFUNCTION("""COMPUTED_VALUE"""),"SCOPUS-000522")</f>
        <v>SCOPUS-000522</v>
      </c>
      <c r="B7" s="5" t="str">
        <f>IFERROR(__xludf.DUMMYFUNCTION("""COMPUTED_VALUE"""),"Detection")</f>
        <v>Detection</v>
      </c>
      <c r="C7" s="5" t="str">
        <f>IFERROR(__xludf.DUMMYFUNCTION("""COMPUTED_VALUE"""),"Tomato")</f>
        <v>Tomato</v>
      </c>
      <c r="D7" s="5" t="str">
        <f>IFERROR(__xludf.DUMMYFUNCTION("""COMPUTED_VALUE"""),"Field")</f>
        <v>Field</v>
      </c>
    </row>
    <row r="8" ht="15.75" customHeight="1">
      <c r="A8" s="5" t="str">
        <f>IFERROR(__xludf.DUMMYFUNCTION("""COMPUTED_VALUE"""),"SCOPUS-000487")</f>
        <v>SCOPUS-000487</v>
      </c>
      <c r="B8" s="5" t="str">
        <f>IFERROR(__xludf.DUMMYFUNCTION("""COMPUTED_VALUE"""),"Segmentation")</f>
        <v>Segmentation</v>
      </c>
      <c r="C8" s="5" t="str">
        <f>IFERROR(__xludf.DUMMYFUNCTION("""COMPUTED_VALUE"""),"Mixed")</f>
        <v>Mixed</v>
      </c>
      <c r="D8" s="5" t="str">
        <f>IFERROR(__xludf.DUMMYFUNCTION("""COMPUTED_VALUE"""),"Field")</f>
        <v>Field</v>
      </c>
    </row>
    <row r="9" ht="15.75" customHeight="1">
      <c r="A9" s="5" t="str">
        <f>IFERROR(__xludf.DUMMYFUNCTION("""COMPUTED_VALUE"""),"SCOPUS-000328")</f>
        <v>SCOPUS-000328</v>
      </c>
      <c r="B9" s="5" t="str">
        <f>IFERROR(__xludf.DUMMYFUNCTION("""COMPUTED_VALUE"""),"Segmentation")</f>
        <v>Segmentation</v>
      </c>
      <c r="C9" s="5" t="str">
        <f>IFERROR(__xludf.DUMMYFUNCTION("""COMPUTED_VALUE"""),"Mixed")</f>
        <v>Mixed</v>
      </c>
      <c r="D9" s="5" t="str">
        <f>IFERROR(__xludf.DUMMYFUNCTION("""COMPUTED_VALUE"""),"Field")</f>
        <v>Field</v>
      </c>
    </row>
    <row r="10" ht="15.75" customHeight="1">
      <c r="A10" s="5" t="str">
        <f>IFERROR(__xludf.DUMMYFUNCTION("""COMPUTED_VALUE"""),"SCOPUS-000256")</f>
        <v>SCOPUS-000256</v>
      </c>
      <c r="B10" s="5" t="str">
        <f>IFERROR(__xludf.DUMMYFUNCTION("""COMPUTED_VALUE"""),"Detection")</f>
        <v>Detection</v>
      </c>
      <c r="C10" s="5" t="str">
        <f>IFERROR(__xludf.DUMMYFUNCTION("""COMPUTED_VALUE"""),"Dictamnus dasycarpus")</f>
        <v>Dictamnus dasycarpus</v>
      </c>
      <c r="D10" s="5" t="str">
        <f>IFERROR(__xludf.DUMMYFUNCTION("""COMPUTED_VALUE"""),"Field")</f>
        <v>Field</v>
      </c>
    </row>
    <row r="11" ht="15.75" customHeight="1">
      <c r="A11" s="5" t="str">
        <f>IFERROR(__xludf.DUMMYFUNCTION("""COMPUTED_VALUE"""),"SCOPUS-000234")</f>
        <v>SCOPUS-000234</v>
      </c>
      <c r="B11" s="5" t="str">
        <f>IFERROR(__xludf.DUMMYFUNCTION("""COMPUTED_VALUE"""),"Detection")</f>
        <v>Detection</v>
      </c>
      <c r="C11" s="5" t="str">
        <f>IFERROR(__xludf.DUMMYFUNCTION("""COMPUTED_VALUE"""),"Wheat")</f>
        <v>Wheat</v>
      </c>
      <c r="D11" s="5" t="str">
        <f>IFERROR(__xludf.DUMMYFUNCTION("""COMPUTED_VALUE"""),"Field")</f>
        <v>Field</v>
      </c>
    </row>
    <row r="12" ht="15.75" customHeight="1">
      <c r="A12" s="5" t="str">
        <f>IFERROR(__xludf.DUMMYFUNCTION("""COMPUTED_VALUE"""),"SCOPUS-000220")</f>
        <v>SCOPUS-000220</v>
      </c>
      <c r="B12" s="5" t="str">
        <f>IFERROR(__xludf.DUMMYFUNCTION("""COMPUTED_VALUE"""),"Detection")</f>
        <v>Detection</v>
      </c>
      <c r="C12" s="5" t="str">
        <f>IFERROR(__xludf.DUMMYFUNCTION("""COMPUTED_VALUE"""),"Soybean")</f>
        <v>Soybean</v>
      </c>
      <c r="D12" s="5" t="str">
        <f>IFERROR(__xludf.DUMMYFUNCTION("""COMPUTED_VALUE"""),"Field")</f>
        <v>Field</v>
      </c>
    </row>
    <row r="13" ht="15.75" customHeight="1">
      <c r="A13" s="5" t="str">
        <f>IFERROR(__xludf.DUMMYFUNCTION("""COMPUTED_VALUE"""),"SCOPUS-000211")</f>
        <v>SCOPUS-000211</v>
      </c>
      <c r="B13" s="5" t="str">
        <f>IFERROR(__xludf.DUMMYFUNCTION("""COMPUTED_VALUE"""),"Detection")</f>
        <v>Detection</v>
      </c>
      <c r="C13" s="5" t="str">
        <f>IFERROR(__xludf.DUMMYFUNCTION("""COMPUTED_VALUE"""),"None")</f>
        <v>None</v>
      </c>
      <c r="D13" s="5" t="str">
        <f>IFERROR(__xludf.DUMMYFUNCTION("""COMPUTED_VALUE"""),"Field")</f>
        <v>Field</v>
      </c>
    </row>
    <row r="14" ht="15.75" customHeight="1">
      <c r="A14" s="5" t="str">
        <f>IFERROR(__xludf.DUMMYFUNCTION("""COMPUTED_VALUE"""),"SCOPUS-000195")</f>
        <v>SCOPUS-000195</v>
      </c>
      <c r="B14" s="5" t="str">
        <f>IFERROR(__xludf.DUMMYFUNCTION("""COMPUTED_VALUE"""),"Classification")</f>
        <v>Classification</v>
      </c>
      <c r="C14" s="5" t="str">
        <f>IFERROR(__xludf.DUMMYFUNCTION("""COMPUTED_VALUE"""),"Saffron")</f>
        <v>Saffron</v>
      </c>
      <c r="D14" s="5" t="str">
        <f>IFERROR(__xludf.DUMMYFUNCTION("""COMPUTED_VALUE"""),"Field")</f>
        <v>Field</v>
      </c>
    </row>
    <row r="15" ht="15.75" customHeight="1">
      <c r="A15" s="5" t="str">
        <f>IFERROR(__xludf.DUMMYFUNCTION("""COMPUTED_VALUE"""),"SCOPUS-000139")</f>
        <v>SCOPUS-000139</v>
      </c>
      <c r="B15" s="5" t="str">
        <f>IFERROR(__xludf.DUMMYFUNCTION("""COMPUTED_VALUE"""),"Detection")</f>
        <v>Detection</v>
      </c>
      <c r="C15" s="5" t="str">
        <f>IFERROR(__xludf.DUMMYFUNCTION("""COMPUTED_VALUE"""),"Sugar beet")</f>
        <v>Sugar beet</v>
      </c>
      <c r="D15" s="5" t="str">
        <f>IFERROR(__xludf.DUMMYFUNCTION("""COMPUTED_VALUE"""),"Field")</f>
        <v>Field</v>
      </c>
    </row>
    <row r="16" ht="15.75" customHeight="1">
      <c r="A16" s="5" t="str">
        <f>IFERROR(__xludf.DUMMYFUNCTION("""COMPUTED_VALUE"""),"SCOPUS-000045")</f>
        <v>SCOPUS-000045</v>
      </c>
      <c r="B16" s="5" t="str">
        <f>IFERROR(__xludf.DUMMYFUNCTION("""COMPUTED_VALUE"""),"Segmentation")</f>
        <v>Segmentation</v>
      </c>
      <c r="C16" s="5" t="str">
        <f>IFERROR(__xludf.DUMMYFUNCTION("""COMPUTED_VALUE"""),"Sugar beet")</f>
        <v>Sugar beet</v>
      </c>
      <c r="D16" s="5" t="str">
        <f>IFERROR(__xludf.DUMMYFUNCTION("""COMPUTED_VALUE"""),"Field")</f>
        <v>Field</v>
      </c>
    </row>
    <row r="17" ht="15.75" customHeight="1">
      <c r="A17" s="5" t="str">
        <f>IFERROR(__xludf.DUMMYFUNCTION("""COMPUTED_VALUE"""),"SCOPUS-000031")</f>
        <v>SCOPUS-000031</v>
      </c>
      <c r="B17" s="5" t="str">
        <f>IFERROR(__xludf.DUMMYFUNCTION("""COMPUTED_VALUE"""),"Segmentation")</f>
        <v>Segmentation</v>
      </c>
      <c r="C17" s="5" t="str">
        <f>IFERROR(__xludf.DUMMYFUNCTION("""COMPUTED_VALUE"""),"Mixed")</f>
        <v>Mixed</v>
      </c>
      <c r="D17" s="5" t="str">
        <f>IFERROR(__xludf.DUMMYFUNCTION("""COMPUTED_VALUE"""),"Field")</f>
        <v>Field</v>
      </c>
    </row>
    <row r="18" ht="15.75" customHeight="1">
      <c r="A18" s="5" t="str">
        <f>IFERROR(__xludf.DUMMYFUNCTION("""COMPUTED_VALUE"""),"SCOPUS-000014")</f>
        <v>SCOPUS-000014</v>
      </c>
      <c r="B18" s="5" t="str">
        <f>IFERROR(__xludf.DUMMYFUNCTION("""COMPUTED_VALUE"""),"Detection")</f>
        <v>Detection</v>
      </c>
      <c r="C18" s="5" t="str">
        <f>IFERROR(__xludf.DUMMYFUNCTION("""COMPUTED_VALUE"""),"Mixed")</f>
        <v>Mixed</v>
      </c>
      <c r="D18" s="5" t="str">
        <f>IFERROR(__xludf.DUMMYFUNCTION("""COMPUTED_VALUE"""),"Field")</f>
        <v>Field</v>
      </c>
    </row>
    <row r="19" ht="15.75" customHeight="1">
      <c r="A19" s="5" t="str">
        <f>IFERROR(__xludf.DUMMYFUNCTION("""COMPUTED_VALUE"""),"SCOPUS-000544")</f>
        <v>SCOPUS-000544</v>
      </c>
      <c r="B19" s="5" t="str">
        <f>IFERROR(__xludf.DUMMYFUNCTION("""COMPUTED_VALUE"""),"Segmentation")</f>
        <v>Segmentation</v>
      </c>
      <c r="C19" s="5" t="str">
        <f>IFERROR(__xludf.DUMMYFUNCTION("""COMPUTED_VALUE"""),"Maize")</f>
        <v>Maize</v>
      </c>
      <c r="D19" s="5" t="str">
        <f>IFERROR(__xludf.DUMMYFUNCTION("""COMPUTED_VALUE"""),"Field")</f>
        <v>Field</v>
      </c>
    </row>
    <row r="20" ht="15.75" customHeight="1">
      <c r="A20" s="5" t="str">
        <f>IFERROR(__xludf.DUMMYFUNCTION("""COMPUTED_VALUE"""),"SCOPUS-000151")</f>
        <v>SCOPUS-000151</v>
      </c>
      <c r="B20" s="5" t="str">
        <f>IFERROR(__xludf.DUMMYFUNCTION("""COMPUTED_VALUE"""),"Detection")</f>
        <v>Detection</v>
      </c>
      <c r="C20" s="5" t="str">
        <f>IFERROR(__xludf.DUMMYFUNCTION("""COMPUTED_VALUE"""),"None")</f>
        <v>None</v>
      </c>
      <c r="D20" s="5" t="str">
        <f>IFERROR(__xludf.DUMMYFUNCTION("""COMPUTED_VALUE"""),"Field")</f>
        <v>Field</v>
      </c>
    </row>
    <row r="21" ht="15.75" customHeight="1">
      <c r="A21" s="5" t="str">
        <f>IFERROR(__xludf.DUMMYFUNCTION("""COMPUTED_VALUE"""),"SCOPUS-000592")</f>
        <v>SCOPUS-000592</v>
      </c>
      <c r="B21" s="5" t="str">
        <f>IFERROR(__xludf.DUMMYFUNCTION("""COMPUTED_VALUE"""),"Segmentation")</f>
        <v>Segmentation</v>
      </c>
      <c r="C21" s="5" t="str">
        <f>IFERROR(__xludf.DUMMYFUNCTION("""COMPUTED_VALUE"""),"Maize")</f>
        <v>Maize</v>
      </c>
      <c r="D21" s="5" t="str">
        <f>IFERROR(__xludf.DUMMYFUNCTION("""COMPUTED_VALUE"""),"Field")</f>
        <v>Field</v>
      </c>
    </row>
    <row r="22" ht="15.75" customHeight="1">
      <c r="A22" s="5" t="str">
        <f>IFERROR(__xludf.DUMMYFUNCTION("""COMPUTED_VALUE"""),"SCOPUS-000629")</f>
        <v>SCOPUS-000629</v>
      </c>
      <c r="B22" s="5" t="str">
        <f>IFERROR(__xludf.DUMMYFUNCTION("""COMPUTED_VALUE"""),"Detection")</f>
        <v>Detection</v>
      </c>
      <c r="C22" s="5" t="str">
        <f>IFERROR(__xludf.DUMMYFUNCTION("""COMPUTED_VALUE"""),"Tomato")</f>
        <v>Tomato</v>
      </c>
      <c r="D22" s="5" t="str">
        <f>IFERROR(__xludf.DUMMYFUNCTION("""COMPUTED_VALUE"""),"Field")</f>
        <v>Field</v>
      </c>
    </row>
    <row r="23" ht="15.75" customHeight="1">
      <c r="A23" s="5" t="str">
        <f>IFERROR(__xludf.DUMMYFUNCTION("""COMPUTED_VALUE"""),"SCOPUS-000475")</f>
        <v>SCOPUS-000475</v>
      </c>
      <c r="B23" s="5" t="str">
        <f>IFERROR(__xludf.DUMMYFUNCTION("""COMPUTED_VALUE"""),"Segmentation")</f>
        <v>Segmentation</v>
      </c>
      <c r="C23" s="5" t="str">
        <f>IFERROR(__xludf.DUMMYFUNCTION("""COMPUTED_VALUE"""),"Mixed")</f>
        <v>Mixed</v>
      </c>
      <c r="D23" s="5" t="str">
        <f>IFERROR(__xludf.DUMMYFUNCTION("""COMPUTED_VALUE"""),"Field")</f>
        <v>Field</v>
      </c>
    </row>
    <row r="24" ht="15.75" customHeight="1">
      <c r="A24" s="5" t="str">
        <f>IFERROR(__xludf.DUMMYFUNCTION("""COMPUTED_VALUE"""),"SCOPUS-000399")</f>
        <v>SCOPUS-000399</v>
      </c>
      <c r="B24" s="5" t="str">
        <f>IFERROR(__xludf.DUMMYFUNCTION("""COMPUTED_VALUE"""),"Classification")</f>
        <v>Classification</v>
      </c>
      <c r="C24" s="5" t="str">
        <f>IFERROR(__xludf.DUMMYFUNCTION("""COMPUTED_VALUE"""),"None")</f>
        <v>None</v>
      </c>
      <c r="D24" s="5" t="str">
        <f>IFERROR(__xludf.DUMMYFUNCTION("""COMPUTED_VALUE"""),"Greenhouse")</f>
        <v>Greenhouse</v>
      </c>
    </row>
    <row r="25" ht="15.75" customHeight="1">
      <c r="A25" s="5" t="str">
        <f>IFERROR(__xludf.DUMMYFUNCTION("""COMPUTED_VALUE"""),"SCOPUS-000323")</f>
        <v>SCOPUS-000323</v>
      </c>
      <c r="B25" s="5" t="str">
        <f>IFERROR(__xludf.DUMMYFUNCTION("""COMPUTED_VALUE"""),"Classification")</f>
        <v>Classification</v>
      </c>
      <c r="C25" s="5" t="str">
        <f>IFERROR(__xludf.DUMMYFUNCTION("""COMPUTED_VALUE"""),"Sorghum")</f>
        <v>Sorghum</v>
      </c>
      <c r="D25" s="5" t="str">
        <f>IFERROR(__xludf.DUMMYFUNCTION("""COMPUTED_VALUE"""),"Field")</f>
        <v>Field</v>
      </c>
    </row>
    <row r="26" ht="15.75" customHeight="1">
      <c r="A26" s="5" t="str">
        <f>IFERROR(__xludf.DUMMYFUNCTION("""COMPUTED_VALUE"""),"SCOPUS-000295")</f>
        <v>SCOPUS-000295</v>
      </c>
      <c r="B26" s="5" t="str">
        <f>IFERROR(__xludf.DUMMYFUNCTION("""COMPUTED_VALUE"""),"Detection")</f>
        <v>Detection</v>
      </c>
      <c r="C26" s="5" t="str">
        <f>IFERROR(__xludf.DUMMYFUNCTION("""COMPUTED_VALUE"""),"Bok choy")</f>
        <v>Bok choy</v>
      </c>
      <c r="D26" s="5" t="str">
        <f>IFERROR(__xludf.DUMMYFUNCTION("""COMPUTED_VALUE"""),"Field")</f>
        <v>Field</v>
      </c>
    </row>
    <row r="27" ht="15.75" customHeight="1">
      <c r="A27" s="5" t="str">
        <f>IFERROR(__xludf.DUMMYFUNCTION("""COMPUTED_VALUE"""),"SCOPUS-000611")</f>
        <v>SCOPUS-000611</v>
      </c>
      <c r="B27" s="5" t="str">
        <f>IFERROR(__xludf.DUMMYFUNCTION("""COMPUTED_VALUE"""),"Classification")</f>
        <v>Classification</v>
      </c>
      <c r="C27" s="5" t="str">
        <f>IFERROR(__xludf.DUMMYFUNCTION("""COMPUTED_VALUE"""),"Mixed")</f>
        <v>Mixed</v>
      </c>
      <c r="D27" s="5" t="str">
        <f>IFERROR(__xludf.DUMMYFUNCTION("""COMPUTED_VALUE"""),"Field")</f>
        <v>Field</v>
      </c>
    </row>
    <row r="28" ht="15.75" customHeight="1">
      <c r="A28" s="5" t="str">
        <f>IFERROR(__xludf.DUMMYFUNCTION("""COMPUTED_VALUE"""),"SCOPUS-000738")</f>
        <v>SCOPUS-000738</v>
      </c>
      <c r="B28" s="5" t="str">
        <f>IFERROR(__xludf.DUMMYFUNCTION("""COMPUTED_VALUE"""),"Classification")</f>
        <v>Classification</v>
      </c>
      <c r="C28" s="5" t="str">
        <f>IFERROR(__xludf.DUMMYFUNCTION("""COMPUTED_VALUE"""),"Sugar beet")</f>
        <v>Sugar beet</v>
      </c>
      <c r="D28" s="5" t="str">
        <f>IFERROR(__xludf.DUMMYFUNCTION("""COMPUTED_VALUE"""),"Field")</f>
        <v>Field</v>
      </c>
    </row>
    <row r="29" ht="15.75" customHeight="1">
      <c r="A29" s="5" t="str">
        <f>IFERROR(__xludf.DUMMYFUNCTION("""COMPUTED_VALUE"""),"SCOPUS-000114")</f>
        <v>SCOPUS-000114</v>
      </c>
      <c r="B29" s="5" t="str">
        <f>IFERROR(__xludf.DUMMYFUNCTION("""COMPUTED_VALUE"""),"Classification")</f>
        <v>Classification</v>
      </c>
      <c r="C29" s="5" t="str">
        <f>IFERROR(__xludf.DUMMYFUNCTION("""COMPUTED_VALUE"""),"Mixed")</f>
        <v>Mixed</v>
      </c>
      <c r="D29" s="5" t="str">
        <f>IFERROR(__xludf.DUMMYFUNCTION("""COMPUTED_VALUE"""),"Field")</f>
        <v>Field</v>
      </c>
    </row>
    <row r="30" ht="15.75" customHeight="1">
      <c r="A30" s="5" t="str">
        <f>IFERROR(__xludf.DUMMYFUNCTION("""COMPUTED_VALUE"""),"SCOPUS-000366")</f>
        <v>SCOPUS-000366</v>
      </c>
      <c r="B30" s="5" t="str">
        <f>IFERROR(__xludf.DUMMYFUNCTION("""COMPUTED_VALUE"""),"Classification")</f>
        <v>Classification</v>
      </c>
      <c r="C30" s="5" t="str">
        <f>IFERROR(__xludf.DUMMYFUNCTION("""COMPUTED_VALUE"""),"Potato")</f>
        <v>Potato</v>
      </c>
      <c r="D30" s="5" t="str">
        <f>IFERROR(__xludf.DUMMYFUNCTION("""COMPUTED_VALUE"""),"Field")</f>
        <v>Field</v>
      </c>
    </row>
    <row r="31" ht="15.75" customHeight="1">
      <c r="A31" s="5" t="str">
        <f>IFERROR(__xludf.DUMMYFUNCTION("""COMPUTED_VALUE"""),"SCOPUS-000286")</f>
        <v>SCOPUS-000286</v>
      </c>
      <c r="B31" s="5" t="str">
        <f>IFERROR(__xludf.DUMMYFUNCTION("""COMPUTED_VALUE"""),"Detection")</f>
        <v>Detection</v>
      </c>
      <c r="C31" s="5" t="str">
        <f>IFERROR(__xludf.DUMMYFUNCTION("""COMPUTED_VALUE"""),"Lily")</f>
        <v>Lily</v>
      </c>
      <c r="D31" s="5" t="str">
        <f>IFERROR(__xludf.DUMMYFUNCTION("""COMPUTED_VALUE"""),"Field")</f>
        <v>Field</v>
      </c>
    </row>
    <row r="32" ht="15.75" customHeight="1">
      <c r="A32" s="5" t="str">
        <f>IFERROR(__xludf.DUMMYFUNCTION("""COMPUTED_VALUE"""),"SCOPUS-000283")</f>
        <v>SCOPUS-000283</v>
      </c>
      <c r="B32" s="5" t="str">
        <f>IFERROR(__xludf.DUMMYFUNCTION("""COMPUTED_VALUE"""),"Detection")</f>
        <v>Detection</v>
      </c>
      <c r="C32" s="5" t="str">
        <f>IFERROR(__xludf.DUMMYFUNCTION("""COMPUTED_VALUE"""),"Maize")</f>
        <v>Maize</v>
      </c>
      <c r="D32" s="5" t="str">
        <f>IFERROR(__xludf.DUMMYFUNCTION("""COMPUTED_VALUE"""),"Field")</f>
        <v>Field</v>
      </c>
    </row>
    <row r="33" ht="15.75" customHeight="1">
      <c r="A33" s="5" t="str">
        <f>IFERROR(__xludf.DUMMYFUNCTION("""COMPUTED_VALUE"""),"SCOPUS-000276")</f>
        <v>SCOPUS-000276</v>
      </c>
      <c r="B33" s="5" t="str">
        <f>IFERROR(__xludf.DUMMYFUNCTION("""COMPUTED_VALUE"""),"Classification")</f>
        <v>Classification</v>
      </c>
      <c r="C33" s="5" t="str">
        <f>IFERROR(__xludf.DUMMYFUNCTION("""COMPUTED_VALUE"""),"None")</f>
        <v>None</v>
      </c>
      <c r="D33" s="5" t="str">
        <f>IFERROR(__xludf.DUMMYFUNCTION("""COMPUTED_VALUE"""),"Field")</f>
        <v>Field</v>
      </c>
    </row>
    <row r="34" ht="15.75" customHeight="1">
      <c r="A34" s="5" t="str">
        <f>IFERROR(__xludf.DUMMYFUNCTION("""COMPUTED_VALUE"""),"SCOPUS-000246")</f>
        <v>SCOPUS-000246</v>
      </c>
      <c r="B34" s="5" t="str">
        <f>IFERROR(__xludf.DUMMYFUNCTION("""COMPUTED_VALUE"""),"Segmentation")</f>
        <v>Segmentation</v>
      </c>
      <c r="C34" s="5" t="str">
        <f>IFERROR(__xludf.DUMMYFUNCTION("""COMPUTED_VALUE"""),"Rice")</f>
        <v>Rice</v>
      </c>
      <c r="D34" s="5" t="str">
        <f>IFERROR(__xludf.DUMMYFUNCTION("""COMPUTED_VALUE"""),"Field + Lab")</f>
        <v>Field + Lab</v>
      </c>
    </row>
    <row r="35" ht="15.75" customHeight="1">
      <c r="A35" s="5" t="str">
        <f>IFERROR(__xludf.DUMMYFUNCTION("""COMPUTED_VALUE"""),"SCOPUS-000599")</f>
        <v>SCOPUS-000599</v>
      </c>
      <c r="B35" s="5" t="str">
        <f>IFERROR(__xludf.DUMMYFUNCTION("""COMPUTED_VALUE"""),"Classification")</f>
        <v>Classification</v>
      </c>
      <c r="C35" s="5" t="str">
        <f>IFERROR(__xludf.DUMMYFUNCTION("""COMPUTED_VALUE"""),"Oil palm")</f>
        <v>Oil palm</v>
      </c>
      <c r="D35" s="5" t="str">
        <f>IFERROR(__xludf.DUMMYFUNCTION("""COMPUTED_VALUE"""),"Field")</f>
        <v>Field</v>
      </c>
    </row>
    <row r="36" ht="15.75" customHeight="1">
      <c r="A36" s="5" t="str">
        <f>IFERROR(__xludf.DUMMYFUNCTION("""COMPUTED_VALUE"""),"SCOPUS-000280")</f>
        <v>SCOPUS-000280</v>
      </c>
      <c r="B36" s="5" t="str">
        <f>IFERROR(__xludf.DUMMYFUNCTION("""COMPUTED_VALUE"""),"Detection")</f>
        <v>Detection</v>
      </c>
      <c r="C36" s="5" t="str">
        <f>IFERROR(__xludf.DUMMYFUNCTION("""COMPUTED_VALUE"""),"Sesame")</f>
        <v>Sesame</v>
      </c>
      <c r="D36" s="5" t="str">
        <f>IFERROR(__xludf.DUMMYFUNCTION("""COMPUTED_VALUE"""),"Field")</f>
        <v>Field</v>
      </c>
    </row>
    <row r="37" ht="15.75" customHeight="1">
      <c r="A37" s="5" t="str">
        <f>IFERROR(__xludf.DUMMYFUNCTION("""COMPUTED_VALUE"""),"SCOPUS-000063")</f>
        <v>SCOPUS-000063</v>
      </c>
      <c r="B37" s="5" t="str">
        <f>IFERROR(__xludf.DUMMYFUNCTION("""COMPUTED_VALUE"""),"Detection")</f>
        <v>Detection</v>
      </c>
      <c r="C37" s="5" t="str">
        <f>IFERROR(__xludf.DUMMYFUNCTION("""COMPUTED_VALUE"""),"Mixed")</f>
        <v>Mixed</v>
      </c>
      <c r="D37" s="5" t="str">
        <f>IFERROR(__xludf.DUMMYFUNCTION("""COMPUTED_VALUE"""),"Field")</f>
        <v>Field</v>
      </c>
    </row>
    <row r="38" ht="15.75" customHeight="1">
      <c r="A38" s="5" t="str">
        <f>IFERROR(__xludf.DUMMYFUNCTION("""COMPUTED_VALUE"""),"SCOPUS-000017")</f>
        <v>SCOPUS-000017</v>
      </c>
      <c r="B38" s="5" t="str">
        <f>IFERROR(__xludf.DUMMYFUNCTION("""COMPUTED_VALUE"""),"Segmentation")</f>
        <v>Segmentation</v>
      </c>
      <c r="C38" s="5" t="str">
        <f>IFERROR(__xludf.DUMMYFUNCTION("""COMPUTED_VALUE"""),"Mixed")</f>
        <v>Mixed</v>
      </c>
      <c r="D38" s="5" t="str">
        <f>IFERROR(__xludf.DUMMYFUNCTION("""COMPUTED_VALUE"""),"Field")</f>
        <v>Field</v>
      </c>
    </row>
    <row r="39" ht="15.75" customHeight="1">
      <c r="A39" s="5" t="str">
        <f>IFERROR(__xludf.DUMMYFUNCTION("""COMPUTED_VALUE"""),"SCOPUS-000244")</f>
        <v>SCOPUS-000244</v>
      </c>
      <c r="B39" s="5" t="str">
        <f>IFERROR(__xludf.DUMMYFUNCTION("""COMPUTED_VALUE"""),"Classification")</f>
        <v>Classification</v>
      </c>
      <c r="C39" s="5" t="str">
        <f>IFERROR(__xludf.DUMMYFUNCTION("""COMPUTED_VALUE"""),"None")</f>
        <v>None</v>
      </c>
      <c r="D39" s="5" t="str">
        <f>IFERROR(__xludf.DUMMYFUNCTION("""COMPUTED_VALUE"""),"Field")</f>
        <v>Field</v>
      </c>
    </row>
    <row r="40" ht="15.75" customHeight="1">
      <c r="A40" s="5" t="str">
        <f>IFERROR(__xludf.DUMMYFUNCTION("""COMPUTED_VALUE"""),"SCOPUS-000064")</f>
        <v>SCOPUS-000064</v>
      </c>
      <c r="B40" s="5" t="str">
        <f>IFERROR(__xludf.DUMMYFUNCTION("""COMPUTED_VALUE"""),"Detection")</f>
        <v>Detection</v>
      </c>
      <c r="C40" s="5" t="str">
        <f>IFERROR(__xludf.DUMMYFUNCTION("""COMPUTED_VALUE"""),"Teff")</f>
        <v>Teff</v>
      </c>
      <c r="D40" s="5" t="str">
        <f>IFERROR(__xludf.DUMMYFUNCTION("""COMPUTED_VALUE"""),"Field")</f>
        <v>Field</v>
      </c>
    </row>
    <row r="41" ht="15.75" customHeight="1">
      <c r="A41" s="5" t="str">
        <f>IFERROR(__xludf.DUMMYFUNCTION("""COMPUTED_VALUE"""),"SCOPUS-000320")</f>
        <v>SCOPUS-000320</v>
      </c>
      <c r="B41" s="5" t="str">
        <f>IFERROR(__xludf.DUMMYFUNCTION("""COMPUTED_VALUE"""),"Detection")</f>
        <v>Detection</v>
      </c>
      <c r="C41" s="5" t="str">
        <f>IFERROR(__xludf.DUMMYFUNCTION("""COMPUTED_VALUE"""),"Cotton")</f>
        <v>Cotton</v>
      </c>
      <c r="D41" s="5" t="str">
        <f>IFERROR(__xludf.DUMMYFUNCTION("""COMPUTED_VALUE"""),"UAV aerial")</f>
        <v>UAV aerial</v>
      </c>
    </row>
    <row r="42" ht="15.75" customHeight="1">
      <c r="A42" s="5" t="str">
        <f>IFERROR(__xludf.DUMMYFUNCTION("""COMPUTED_VALUE"""),"SCOPUS-000086")</f>
        <v>SCOPUS-000086</v>
      </c>
      <c r="B42" s="5" t="str">
        <f>IFERROR(__xludf.DUMMYFUNCTION("""COMPUTED_VALUE"""),"Detection")</f>
        <v>Detection</v>
      </c>
      <c r="C42" s="5" t="str">
        <f>IFERROR(__xludf.DUMMYFUNCTION("""COMPUTED_VALUE"""),"Mixed")</f>
        <v>Mixed</v>
      </c>
      <c r="D42" s="5" t="str">
        <f>IFERROR(__xludf.DUMMYFUNCTION("""COMPUTED_VALUE"""),"Field")</f>
        <v>Field</v>
      </c>
    </row>
    <row r="43" ht="15.75" customHeight="1">
      <c r="A43" s="5" t="str">
        <f>IFERROR(__xludf.DUMMYFUNCTION("""COMPUTED_VALUE"""),"SCOPUS-000652")</f>
        <v>SCOPUS-000652</v>
      </c>
      <c r="B43" s="5" t="str">
        <f>IFERROR(__xludf.DUMMYFUNCTION("""COMPUTED_VALUE"""),"Segmentation")</f>
        <v>Segmentation</v>
      </c>
      <c r="C43" s="5" t="str">
        <f>IFERROR(__xludf.DUMMYFUNCTION("""COMPUTED_VALUE"""),"Pasture")</f>
        <v>Pasture</v>
      </c>
      <c r="D43" s="5" t="str">
        <f>IFERROR(__xludf.DUMMYFUNCTION("""COMPUTED_VALUE"""),"Field")</f>
        <v>Field</v>
      </c>
    </row>
    <row r="44" ht="15.75" customHeight="1">
      <c r="A44" s="5" t="str">
        <f>IFERROR(__xludf.DUMMYFUNCTION("""COMPUTED_VALUE"""),"SCOPUS-000146")</f>
        <v>SCOPUS-000146</v>
      </c>
      <c r="B44" s="5" t="str">
        <f>IFERROR(__xludf.DUMMYFUNCTION("""COMPUTED_VALUE"""),"Classification")</f>
        <v>Classification</v>
      </c>
      <c r="C44" s="5" t="str">
        <f>IFERROR(__xludf.DUMMYFUNCTION("""COMPUTED_VALUE"""),"Mixed")</f>
        <v>Mixed</v>
      </c>
      <c r="D44" s="5" t="str">
        <f>IFERROR(__xludf.DUMMYFUNCTION("""COMPUTED_VALUE"""),"Greenhouse + Field")</f>
        <v>Greenhouse + Field</v>
      </c>
    </row>
    <row r="45" ht="15.75" customHeight="1">
      <c r="A45" s="5" t="str">
        <f>IFERROR(__xludf.DUMMYFUNCTION("""COMPUTED_VALUE"""),"SCOPUS-000407")</f>
        <v>SCOPUS-000407</v>
      </c>
      <c r="B45" s="5" t="str">
        <f>IFERROR(__xludf.DUMMYFUNCTION("""COMPUTED_VALUE"""),"Detection")</f>
        <v>Detection</v>
      </c>
      <c r="C45" s="5" t="str">
        <f>IFERROR(__xludf.DUMMYFUNCTION("""COMPUTED_VALUE"""),"Mixed")</f>
        <v>Mixed</v>
      </c>
      <c r="D45" s="5" t="str">
        <f>IFERROR(__xludf.DUMMYFUNCTION("""COMPUTED_VALUE"""),"Field")</f>
        <v>Field</v>
      </c>
    </row>
    <row r="46" ht="15.75" customHeight="1">
      <c r="A46" s="5" t="str">
        <f>IFERROR(__xludf.DUMMYFUNCTION("""COMPUTED_VALUE"""),"SCOPUS-000352")</f>
        <v>SCOPUS-000352</v>
      </c>
      <c r="B46" s="5" t="str">
        <f>IFERROR(__xludf.DUMMYFUNCTION("""COMPUTED_VALUE"""),"Segmentation")</f>
        <v>Segmentation</v>
      </c>
      <c r="C46" s="5" t="str">
        <f>IFERROR(__xludf.DUMMYFUNCTION("""COMPUTED_VALUE"""),"Maize")</f>
        <v>Maize</v>
      </c>
      <c r="D46" s="5" t="str">
        <f>IFERROR(__xludf.DUMMYFUNCTION("""COMPUTED_VALUE"""),"Field")</f>
        <v>Field</v>
      </c>
    </row>
    <row r="47" ht="15.75" customHeight="1">
      <c r="A47" s="5" t="str">
        <f>IFERROR(__xludf.DUMMYFUNCTION("""COMPUTED_VALUE"""),"SCOPUS-000175")</f>
        <v>SCOPUS-000175</v>
      </c>
      <c r="B47" s="5" t="str">
        <f>IFERROR(__xludf.DUMMYFUNCTION("""COMPUTED_VALUE"""),"Detection")</f>
        <v>Detection</v>
      </c>
      <c r="C47" s="5" t="str">
        <f>IFERROR(__xludf.DUMMYFUNCTION("""COMPUTED_VALUE"""),"Mixed")</f>
        <v>Mixed</v>
      </c>
      <c r="D47" s="5" t="str">
        <f>IFERROR(__xludf.DUMMYFUNCTION("""COMPUTED_VALUE"""),"Field")</f>
        <v>Field</v>
      </c>
    </row>
    <row r="48" ht="15.75" customHeight="1">
      <c r="A48" s="5" t="str">
        <f>IFERROR(__xludf.DUMMYFUNCTION("""COMPUTED_VALUE"""),"SCOPUS-000574")</f>
        <v>SCOPUS-000574</v>
      </c>
      <c r="B48" s="5" t="str">
        <f>IFERROR(__xludf.DUMMYFUNCTION("""COMPUTED_VALUE"""),"Segmentation")</f>
        <v>Segmentation</v>
      </c>
      <c r="C48" s="5" t="str">
        <f>IFERROR(__xludf.DUMMYFUNCTION("""COMPUTED_VALUE"""),"Bean")</f>
        <v>Bean</v>
      </c>
      <c r="D48" s="5" t="str">
        <f>IFERROR(__xludf.DUMMYFUNCTION("""COMPUTED_VALUE"""),"Field")</f>
        <v>Field</v>
      </c>
    </row>
    <row r="49" ht="15.75" customHeight="1">
      <c r="A49" s="5" t="str">
        <f>IFERROR(__xludf.DUMMYFUNCTION("""COMPUTED_VALUE"""),"SCOPUS-000358")</f>
        <v>SCOPUS-000358</v>
      </c>
      <c r="B49" s="5" t="str">
        <f>IFERROR(__xludf.DUMMYFUNCTION("""COMPUTED_VALUE"""),"Segmentation")</f>
        <v>Segmentation</v>
      </c>
      <c r="C49" s="5" t="str">
        <f>IFERROR(__xludf.DUMMYFUNCTION("""COMPUTED_VALUE"""),"Mixed")</f>
        <v>Mixed</v>
      </c>
      <c r="D49" s="5" t="str">
        <f>IFERROR(__xludf.DUMMYFUNCTION("""COMPUTED_VALUE"""),"Field + Lab")</f>
        <v>Field + Lab</v>
      </c>
    </row>
    <row r="50" ht="15.75" customHeight="1">
      <c r="A50" s="5" t="str">
        <f>IFERROR(__xludf.DUMMYFUNCTION("""COMPUTED_VALUE"""),"SCOPUS-000265")</f>
        <v>SCOPUS-000265</v>
      </c>
      <c r="B50" s="5" t="str">
        <f>IFERROR(__xludf.DUMMYFUNCTION("""COMPUTED_VALUE"""),"Detection")</f>
        <v>Detection</v>
      </c>
      <c r="C50" s="5" t="str">
        <f>IFERROR(__xludf.DUMMYFUNCTION("""COMPUTED_VALUE"""),"Rapeseed")</f>
        <v>Rapeseed</v>
      </c>
      <c r="D50" s="5" t="str">
        <f>IFERROR(__xludf.DUMMYFUNCTION("""COMPUTED_VALUE"""),"Field")</f>
        <v>Field</v>
      </c>
    </row>
    <row r="51" ht="15.75" customHeight="1">
      <c r="A51" s="5" t="str">
        <f>IFERROR(__xludf.DUMMYFUNCTION("""COMPUTED_VALUE"""),"SCOPUS-000563")</f>
        <v>SCOPUS-000563</v>
      </c>
      <c r="B51" s="5" t="str">
        <f>IFERROR(__xludf.DUMMYFUNCTION("""COMPUTED_VALUE"""),"Detection")</f>
        <v>Detection</v>
      </c>
      <c r="C51" s="5" t="str">
        <f>IFERROR(__xludf.DUMMYFUNCTION("""COMPUTED_VALUE"""),"Mixed")</f>
        <v>Mixed</v>
      </c>
      <c r="D51" s="5" t="str">
        <f>IFERROR(__xludf.DUMMYFUNCTION("""COMPUTED_VALUE"""),"Field")</f>
        <v>Field</v>
      </c>
    </row>
    <row r="52" ht="15.75" customHeight="1">
      <c r="A52" s="5" t="str">
        <f>IFERROR(__xludf.DUMMYFUNCTION("""COMPUTED_VALUE"""),"SCOPUS-000433")</f>
        <v>SCOPUS-000433</v>
      </c>
      <c r="B52" s="5" t="str">
        <f>IFERROR(__xludf.DUMMYFUNCTION("""COMPUTED_VALUE"""),"Detection")</f>
        <v>Detection</v>
      </c>
      <c r="C52" s="5" t="str">
        <f>IFERROR(__xludf.DUMMYFUNCTION("""COMPUTED_VALUE"""),"Lettuce")</f>
        <v>Lettuce</v>
      </c>
      <c r="D52" s="5" t="str">
        <f>IFERROR(__xludf.DUMMYFUNCTION("""COMPUTED_VALUE"""),"Field")</f>
        <v>Field</v>
      </c>
    </row>
    <row r="53" ht="15.75" customHeight="1">
      <c r="A53" s="5" t="str">
        <f>IFERROR(__xludf.DUMMYFUNCTION("""COMPUTED_VALUE"""),"SCOPUS-000333")</f>
        <v>SCOPUS-000333</v>
      </c>
      <c r="B53" s="5" t="str">
        <f>IFERROR(__xludf.DUMMYFUNCTION("""COMPUTED_VALUE"""),"Detection")</f>
        <v>Detection</v>
      </c>
      <c r="C53" s="5" t="str">
        <f>IFERROR(__xludf.DUMMYFUNCTION("""COMPUTED_VALUE"""),"Cotton")</f>
        <v>Cotton</v>
      </c>
      <c r="D53" s="5" t="str">
        <f>IFERROR(__xludf.DUMMYFUNCTION("""COMPUTED_VALUE"""),"UAV aerial")</f>
        <v>UAV aerial</v>
      </c>
    </row>
    <row r="54" ht="15.75" customHeight="1">
      <c r="A54" s="5" t="str">
        <f>IFERROR(__xludf.DUMMYFUNCTION("""COMPUTED_VALUE"""),"SCOPUS-000391")</f>
        <v>SCOPUS-000391</v>
      </c>
      <c r="B54" s="5" t="str">
        <f>IFERROR(__xludf.DUMMYFUNCTION("""COMPUTED_VALUE"""),"Classification")</f>
        <v>Classification</v>
      </c>
      <c r="C54" s="5" t="str">
        <f>IFERROR(__xludf.DUMMYFUNCTION("""COMPUTED_VALUE"""),"Mixed")</f>
        <v>Mixed</v>
      </c>
      <c r="D54" s="5" t="str">
        <f>IFERROR(__xludf.DUMMYFUNCTION("""COMPUTED_VALUE"""),"UAV aerial")</f>
        <v>UAV aerial</v>
      </c>
    </row>
    <row r="55" ht="15.75" customHeight="1">
      <c r="A55" s="5" t="str">
        <f>IFERROR(__xludf.DUMMYFUNCTION("""COMPUTED_VALUE"""),"SCOPUS-000637")</f>
        <v>SCOPUS-000637</v>
      </c>
      <c r="B55" s="5" t="str">
        <f>IFERROR(__xludf.DUMMYFUNCTION("""COMPUTED_VALUE"""),"Detection")</f>
        <v>Detection</v>
      </c>
      <c r="C55" s="5" t="str">
        <f>IFERROR(__xludf.DUMMYFUNCTION("""COMPUTED_VALUE"""),"Sugar beet")</f>
        <v>Sugar beet</v>
      </c>
      <c r="D55" s="5" t="str">
        <f>IFERROR(__xludf.DUMMYFUNCTION("""COMPUTED_VALUE"""),"Field")</f>
        <v>Field</v>
      </c>
    </row>
    <row r="56" ht="15.75" customHeight="1">
      <c r="A56" s="5" t="str">
        <f>IFERROR(__xludf.DUMMYFUNCTION("""COMPUTED_VALUE"""),"SCOPUS-000700")</f>
        <v>SCOPUS-000700</v>
      </c>
      <c r="B56" s="5" t="str">
        <f>IFERROR(__xludf.DUMMYFUNCTION("""COMPUTED_VALUE"""),"Classification")</f>
        <v>Classification</v>
      </c>
      <c r="C56" s="5" t="str">
        <f>IFERROR(__xludf.DUMMYFUNCTION("""COMPUTED_VALUE"""),"Mixed")</f>
        <v>Mixed</v>
      </c>
      <c r="D56" s="5" t="str">
        <f>IFERROR(__xludf.DUMMYFUNCTION("""COMPUTED_VALUE"""),"Field")</f>
        <v>Field</v>
      </c>
    </row>
    <row r="57" ht="15.75" customHeight="1">
      <c r="A57" s="5" t="str">
        <f>IFERROR(__xludf.DUMMYFUNCTION("""COMPUTED_VALUE"""),"SCOPUS-000719")</f>
        <v>SCOPUS-000719</v>
      </c>
      <c r="B57" s="5" t="str">
        <f>IFERROR(__xludf.DUMMYFUNCTION("""COMPUTED_VALUE"""),"Segmentation")</f>
        <v>Segmentation</v>
      </c>
      <c r="C57" s="5" t="str">
        <f>IFERROR(__xludf.DUMMYFUNCTION("""COMPUTED_VALUE"""),"Sugar beet")</f>
        <v>Sugar beet</v>
      </c>
      <c r="D57" s="5" t="str">
        <f>IFERROR(__xludf.DUMMYFUNCTION("""COMPUTED_VALUE"""),"Field")</f>
        <v>Field</v>
      </c>
    </row>
    <row r="58" ht="15.75" customHeight="1">
      <c r="A58" s="5" t="str">
        <f>IFERROR(__xludf.DUMMYFUNCTION("""COMPUTED_VALUE"""),"SCOPUS-000713")</f>
        <v>SCOPUS-000713</v>
      </c>
      <c r="B58" s="5" t="str">
        <f>IFERROR(__xludf.DUMMYFUNCTION("""COMPUTED_VALUE"""),"Segmentation")</f>
        <v>Segmentation</v>
      </c>
      <c r="C58" s="5" t="str">
        <f>IFERROR(__xludf.DUMMYFUNCTION("""COMPUTED_VALUE"""),"Mixed")</f>
        <v>Mixed</v>
      </c>
      <c r="D58" s="5" t="str">
        <f>IFERROR(__xludf.DUMMYFUNCTION("""COMPUTED_VALUE"""),"Field")</f>
        <v>Field</v>
      </c>
    </row>
    <row r="59" ht="15.75" customHeight="1">
      <c r="A59" s="5" t="str">
        <f>IFERROR(__xludf.DUMMYFUNCTION("""COMPUTED_VALUE"""),"SCOPUS-000448")</f>
        <v>SCOPUS-000448</v>
      </c>
      <c r="B59" s="5" t="str">
        <f>IFERROR(__xludf.DUMMYFUNCTION("""COMPUTED_VALUE"""),"Classification")</f>
        <v>Classification</v>
      </c>
      <c r="C59" s="5" t="str">
        <f>IFERROR(__xludf.DUMMYFUNCTION("""COMPUTED_VALUE"""),"Soybean")</f>
        <v>Soybean</v>
      </c>
      <c r="D59" s="5" t="str">
        <f>IFERROR(__xludf.DUMMYFUNCTION("""COMPUTED_VALUE"""),"UAV aerial")</f>
        <v>UAV aerial</v>
      </c>
    </row>
    <row r="60" ht="15.75" customHeight="1">
      <c r="A60" s="5" t="str">
        <f>IFERROR(__xludf.DUMMYFUNCTION("""COMPUTED_VALUE"""),"SCOPUS-000375")</f>
        <v>SCOPUS-000375</v>
      </c>
      <c r="B60" s="5" t="str">
        <f>IFERROR(__xludf.DUMMYFUNCTION("""COMPUTED_VALUE"""),"Detection")</f>
        <v>Detection</v>
      </c>
      <c r="C60" s="5" t="str">
        <f>IFERROR(__xludf.DUMMYFUNCTION("""COMPUTED_VALUE"""),"Wheat")</f>
        <v>Wheat</v>
      </c>
      <c r="D60" s="5" t="str">
        <f>IFERROR(__xludf.DUMMYFUNCTION("""COMPUTED_VALUE"""),"Field")</f>
        <v>Field</v>
      </c>
    </row>
    <row r="61" ht="15.75" customHeight="1">
      <c r="A61" s="5" t="str">
        <f>IFERROR(__xludf.DUMMYFUNCTION("""COMPUTED_VALUE"""),"SCOPUS-000261")</f>
        <v>SCOPUS-000261</v>
      </c>
      <c r="B61" s="5" t="str">
        <f>IFERROR(__xludf.DUMMYFUNCTION("""COMPUTED_VALUE"""),"Classification")</f>
        <v>Classification</v>
      </c>
      <c r="C61" s="5" t="str">
        <f>IFERROR(__xludf.DUMMYFUNCTION("""COMPUTED_VALUE"""),"Rangeland")</f>
        <v>Rangeland</v>
      </c>
      <c r="D61" s="5" t="str">
        <f>IFERROR(__xludf.DUMMYFUNCTION("""COMPUTED_VALUE"""),"Field")</f>
        <v>Field</v>
      </c>
    </row>
    <row r="62" ht="15.75" customHeight="1">
      <c r="A62" s="5" t="str">
        <f>IFERROR(__xludf.DUMMYFUNCTION("""COMPUTED_VALUE"""),"SCOPUS-000584")</f>
        <v>SCOPUS-000584</v>
      </c>
      <c r="B62" s="5" t="str">
        <f>IFERROR(__xludf.DUMMYFUNCTION("""COMPUTED_VALUE"""),"Detection")</f>
        <v>Detection</v>
      </c>
      <c r="C62" s="5" t="str">
        <f>IFERROR(__xludf.DUMMYFUNCTION("""COMPUTED_VALUE"""),"Maize")</f>
        <v>Maize</v>
      </c>
      <c r="D62" s="5" t="str">
        <f>IFERROR(__xludf.DUMMYFUNCTION("""COMPUTED_VALUE"""),"Field")</f>
        <v>Field</v>
      </c>
    </row>
    <row r="63" ht="15.75" customHeight="1">
      <c r="A63" s="5" t="str">
        <f>IFERROR(__xludf.DUMMYFUNCTION("""COMPUTED_VALUE"""),"WEBSCI-000524")</f>
        <v>WEBSCI-000524</v>
      </c>
      <c r="B63" s="5" t="str">
        <f>IFERROR(__xludf.DUMMYFUNCTION("""COMPUTED_VALUE"""),"Segmentation")</f>
        <v>Segmentation</v>
      </c>
      <c r="C63" s="5" t="str">
        <f>IFERROR(__xludf.DUMMYFUNCTION("""COMPUTED_VALUE"""),"Carrot")</f>
        <v>Carrot</v>
      </c>
      <c r="D63" s="5" t="str">
        <f>IFERROR(__xludf.DUMMYFUNCTION("""COMPUTED_VALUE"""),"Field + Lab")</f>
        <v>Field + Lab</v>
      </c>
    </row>
    <row r="64" ht="15.75" customHeight="1">
      <c r="A64" s="5" t="str">
        <f>IFERROR(__xludf.DUMMYFUNCTION("""COMPUTED_VALUE"""),"SCOPUS-000370")</f>
        <v>SCOPUS-000370</v>
      </c>
      <c r="B64" s="5" t="str">
        <f>IFERROR(__xludf.DUMMYFUNCTION("""COMPUTED_VALUE"""),"Classification")</f>
        <v>Classification</v>
      </c>
      <c r="C64" s="5" t="str">
        <f>IFERROR(__xludf.DUMMYFUNCTION("""COMPUTED_VALUE"""),"Mixed")</f>
        <v>Mixed</v>
      </c>
      <c r="D64" s="5" t="str">
        <f>IFERROR(__xludf.DUMMYFUNCTION("""COMPUTED_VALUE"""),"Field")</f>
        <v>Field</v>
      </c>
    </row>
    <row r="65" ht="15.75" customHeight="1">
      <c r="A65" s="5" t="str">
        <f>IFERROR(__xludf.DUMMYFUNCTION("""COMPUTED_VALUE"""),"SCOPUS-000706")</f>
        <v>SCOPUS-000706</v>
      </c>
      <c r="B65" s="5" t="str">
        <f>IFERROR(__xludf.DUMMYFUNCTION("""COMPUTED_VALUE"""),"Segmentation")</f>
        <v>Segmentation</v>
      </c>
      <c r="C65" s="5" t="str">
        <f>IFERROR(__xludf.DUMMYFUNCTION("""COMPUTED_VALUE"""),"Rice")</f>
        <v>Rice</v>
      </c>
      <c r="D65" s="5" t="str">
        <f>IFERROR(__xludf.DUMMYFUNCTION("""COMPUTED_VALUE"""),"UAV aerial")</f>
        <v>UAV aerial</v>
      </c>
    </row>
    <row r="66" ht="15.75" customHeight="1">
      <c r="A66" s="5" t="str">
        <f>IFERROR(__xludf.DUMMYFUNCTION("""COMPUTED_VALUE"""),"SCOPUS-000013")</f>
        <v>SCOPUS-000013</v>
      </c>
      <c r="B66" s="5" t="str">
        <f>IFERROR(__xludf.DUMMYFUNCTION("""COMPUTED_VALUE"""),"Detection")</f>
        <v>Detection</v>
      </c>
      <c r="C66" s="5" t="str">
        <f>IFERROR(__xludf.DUMMYFUNCTION("""COMPUTED_VALUE"""),"Mixed")</f>
        <v>Mixed</v>
      </c>
      <c r="D66" s="5" t="str">
        <f>IFERROR(__xludf.DUMMYFUNCTION("""COMPUTED_VALUE"""),"Field")</f>
        <v>Field</v>
      </c>
    </row>
    <row r="67" ht="15.75" customHeight="1">
      <c r="A67" s="5" t="str">
        <f>IFERROR(__xludf.DUMMYFUNCTION("""COMPUTED_VALUE"""),"SCOPUS-000642")</f>
        <v>SCOPUS-000642</v>
      </c>
      <c r="B67" s="5" t="str">
        <f>IFERROR(__xludf.DUMMYFUNCTION("""COMPUTED_VALUE"""),"Detection")</f>
        <v>Detection</v>
      </c>
      <c r="C67" s="5" t="str">
        <f>IFERROR(__xludf.DUMMYFUNCTION("""COMPUTED_VALUE"""),"None")</f>
        <v>None</v>
      </c>
      <c r="D67" s="5" t="str">
        <f>IFERROR(__xludf.DUMMYFUNCTION("""COMPUTED_VALUE"""),"Field")</f>
        <v>Field</v>
      </c>
    </row>
    <row r="68" ht="15.75" customHeight="1">
      <c r="A68" s="5" t="str">
        <f>IFERROR(__xludf.DUMMYFUNCTION("""COMPUTED_VALUE"""),"SCOPUS-000132")</f>
        <v>SCOPUS-000132</v>
      </c>
      <c r="B68" s="5" t="str">
        <f>IFERROR(__xludf.DUMMYFUNCTION("""COMPUTED_VALUE"""),"Detection")</f>
        <v>Detection</v>
      </c>
      <c r="C68" s="5" t="str">
        <f>IFERROR(__xludf.DUMMYFUNCTION("""COMPUTED_VALUE"""),"Mixed")</f>
        <v>Mixed</v>
      </c>
      <c r="D68" s="5" t="str">
        <f>IFERROR(__xludf.DUMMYFUNCTION("""COMPUTED_VALUE"""),"Field")</f>
        <v>Field</v>
      </c>
    </row>
    <row r="69" ht="15.75" customHeight="1">
      <c r="A69" s="5" t="str">
        <f>IFERROR(__xludf.DUMMYFUNCTION("""COMPUTED_VALUE"""),"SCOPUS-000121")</f>
        <v>SCOPUS-000121</v>
      </c>
      <c r="B69" s="5" t="str">
        <f>IFERROR(__xludf.DUMMYFUNCTION("""COMPUTED_VALUE"""),"Detection")</f>
        <v>Detection</v>
      </c>
      <c r="C69" s="5" t="str">
        <f>IFERROR(__xludf.DUMMYFUNCTION("""COMPUTED_VALUE"""),"Chinese cabbage")</f>
        <v>Chinese cabbage</v>
      </c>
      <c r="D69" s="5" t="str">
        <f>IFERROR(__xludf.DUMMYFUNCTION("""COMPUTED_VALUE"""),"UAV aerial")</f>
        <v>UAV aerial</v>
      </c>
    </row>
    <row r="70" ht="15.75" customHeight="1">
      <c r="A70" s="5" t="str">
        <f>IFERROR(__xludf.DUMMYFUNCTION("""COMPUTED_VALUE"""),"SCOPUS-000267")</f>
        <v>SCOPUS-000267</v>
      </c>
      <c r="B70" s="5" t="str">
        <f>IFERROR(__xludf.DUMMYFUNCTION("""COMPUTED_VALUE"""),"Segmentation")</f>
        <v>Segmentation</v>
      </c>
      <c r="C70" s="5" t="str">
        <f>IFERROR(__xludf.DUMMYFUNCTION("""COMPUTED_VALUE"""),"Maize")</f>
        <v>Maize</v>
      </c>
      <c r="D70" s="5" t="str">
        <f>IFERROR(__xludf.DUMMYFUNCTION("""COMPUTED_VALUE"""),"Field + UAV aerial")</f>
        <v>Field + UAV aerial</v>
      </c>
    </row>
    <row r="71" ht="15.75" customHeight="1">
      <c r="A71" s="5" t="str">
        <f>IFERROR(__xludf.DUMMYFUNCTION("""COMPUTED_VALUE"""),"SCOPUS-000074")</f>
        <v>SCOPUS-000074</v>
      </c>
      <c r="B71" s="5" t="str">
        <f>IFERROR(__xludf.DUMMYFUNCTION("""COMPUTED_VALUE"""),"Segmentation")</f>
        <v>Segmentation</v>
      </c>
      <c r="C71" s="5" t="str">
        <f>IFERROR(__xludf.DUMMYFUNCTION("""COMPUTED_VALUE"""),"Mixed")</f>
        <v>Mixed</v>
      </c>
      <c r="D71" s="5" t="str">
        <f>IFERROR(__xludf.DUMMYFUNCTION("""COMPUTED_VALUE"""),"Field")</f>
        <v>Field</v>
      </c>
    </row>
    <row r="72" ht="15.75" customHeight="1">
      <c r="A72" s="5" t="str">
        <f>IFERROR(__xludf.DUMMYFUNCTION("""COMPUTED_VALUE"""),"SCOPUS-000107")</f>
        <v>SCOPUS-000107</v>
      </c>
      <c r="B72" s="5" t="str">
        <f>IFERROR(__xludf.DUMMYFUNCTION("""COMPUTED_VALUE"""),"Segmentation")</f>
        <v>Segmentation</v>
      </c>
      <c r="C72" s="5" t="str">
        <f>IFERROR(__xludf.DUMMYFUNCTION("""COMPUTED_VALUE"""),"Carrot")</f>
        <v>Carrot</v>
      </c>
      <c r="D72" s="5" t="str">
        <f>IFERROR(__xludf.DUMMYFUNCTION("""COMPUTED_VALUE"""),"Field")</f>
        <v>Field</v>
      </c>
    </row>
    <row r="73" ht="15.75" customHeight="1">
      <c r="A73" s="5" t="str">
        <f>IFERROR(__xludf.DUMMYFUNCTION("""COMPUTED_VALUE"""),"SCOPUS-000142")</f>
        <v>SCOPUS-000142</v>
      </c>
      <c r="B73" s="5" t="str">
        <f>IFERROR(__xludf.DUMMYFUNCTION("""COMPUTED_VALUE"""),"Detection")</f>
        <v>Detection</v>
      </c>
      <c r="C73" s="5" t="str">
        <f>IFERROR(__xludf.DUMMYFUNCTION("""COMPUTED_VALUE"""),"Rice")</f>
        <v>Rice</v>
      </c>
      <c r="D73" s="5" t="str">
        <f>IFERROR(__xludf.DUMMYFUNCTION("""COMPUTED_VALUE"""),"Field")</f>
        <v>Field</v>
      </c>
    </row>
    <row r="74" ht="15.75" customHeight="1">
      <c r="A74" s="5" t="str">
        <f>IFERROR(__xludf.DUMMYFUNCTION("""COMPUTED_VALUE"""),"SCOPUS-000193")</f>
        <v>SCOPUS-000193</v>
      </c>
      <c r="B74" s="5" t="str">
        <f>IFERROR(__xludf.DUMMYFUNCTION("""COMPUTED_VALUE"""),"Detection")</f>
        <v>Detection</v>
      </c>
      <c r="C74" s="5" t="str">
        <f>IFERROR(__xludf.DUMMYFUNCTION("""COMPUTED_VALUE"""),"Mixed")</f>
        <v>Mixed</v>
      </c>
      <c r="D74" s="5" t="str">
        <f>IFERROR(__xludf.DUMMYFUNCTION("""COMPUTED_VALUE"""),"Field")</f>
        <v>Field</v>
      </c>
    </row>
    <row r="75" ht="15.75" customHeight="1">
      <c r="A75" s="5" t="str">
        <f>IFERROR(__xludf.DUMMYFUNCTION("""COMPUTED_VALUE"""),"SCOPUS-000092")</f>
        <v>SCOPUS-000092</v>
      </c>
      <c r="B75" s="5" t="str">
        <f>IFERROR(__xludf.DUMMYFUNCTION("""COMPUTED_VALUE"""),"Detection")</f>
        <v>Detection</v>
      </c>
      <c r="C75" s="5" t="str">
        <f>IFERROR(__xludf.DUMMYFUNCTION("""COMPUTED_VALUE"""),"Sugarcane")</f>
        <v>Sugarcane</v>
      </c>
      <c r="D75" s="5" t="str">
        <f>IFERROR(__xludf.DUMMYFUNCTION("""COMPUTED_VALUE"""),"Field")</f>
        <v>Field</v>
      </c>
    </row>
    <row r="76" ht="15.75" customHeight="1">
      <c r="A76" s="5" t="str">
        <f>IFERROR(__xludf.DUMMYFUNCTION("""COMPUTED_VALUE"""),"SCOPUS-000296")</f>
        <v>SCOPUS-000296</v>
      </c>
      <c r="B76" s="5" t="str">
        <f>IFERROR(__xludf.DUMMYFUNCTION("""COMPUTED_VALUE"""),"Detection")</f>
        <v>Detection</v>
      </c>
      <c r="C76" s="5" t="str">
        <f>IFERROR(__xludf.DUMMYFUNCTION("""COMPUTED_VALUE"""),"Bok choy")</f>
        <v>Bok choy</v>
      </c>
      <c r="D76" s="5" t="str">
        <f>IFERROR(__xludf.DUMMYFUNCTION("""COMPUTED_VALUE"""),"Field")</f>
        <v>Field</v>
      </c>
    </row>
    <row r="77" ht="15.75" customHeight="1">
      <c r="A77" s="5" t="str">
        <f>IFERROR(__xludf.DUMMYFUNCTION("""COMPUTED_VALUE"""),"SCOPUS-000255")</f>
        <v>SCOPUS-000255</v>
      </c>
      <c r="B77" s="5" t="str">
        <f>IFERROR(__xludf.DUMMYFUNCTION("""COMPUTED_VALUE"""),"Segmentation")</f>
        <v>Segmentation</v>
      </c>
      <c r="C77" s="5" t="str">
        <f>IFERROR(__xludf.DUMMYFUNCTION("""COMPUTED_VALUE"""),"Maize")</f>
        <v>Maize</v>
      </c>
      <c r="D77" s="5" t="str">
        <f>IFERROR(__xludf.DUMMYFUNCTION("""COMPUTED_VALUE"""),"UAV aerial")</f>
        <v>UAV aerial</v>
      </c>
    </row>
    <row r="78" ht="15.75" customHeight="1">
      <c r="A78" s="5" t="str">
        <f>IFERROR(__xludf.DUMMYFUNCTION("""COMPUTED_VALUE"""),"SCOPUS-000223")</f>
        <v>SCOPUS-000223</v>
      </c>
      <c r="B78" s="5" t="str">
        <f>IFERROR(__xludf.DUMMYFUNCTION("""COMPUTED_VALUE"""),"Detection")</f>
        <v>Detection</v>
      </c>
      <c r="C78" s="5" t="str">
        <f>IFERROR(__xludf.DUMMYFUNCTION("""COMPUTED_VALUE"""),"Mixed")</f>
        <v>Mixed</v>
      </c>
      <c r="D78" s="5" t="str">
        <f>IFERROR(__xludf.DUMMYFUNCTION("""COMPUTED_VALUE"""),"Field")</f>
        <v>Field</v>
      </c>
    </row>
    <row r="79" ht="15.75" customHeight="1">
      <c r="A79" s="5" t="str">
        <f>IFERROR(__xludf.DUMMYFUNCTION("""COMPUTED_VALUE"""),"SCOPUS-000216")</f>
        <v>SCOPUS-000216</v>
      </c>
      <c r="B79" s="5" t="str">
        <f>IFERROR(__xludf.DUMMYFUNCTION("""COMPUTED_VALUE"""),"Detection")</f>
        <v>Detection</v>
      </c>
      <c r="C79" s="5" t="str">
        <f>IFERROR(__xludf.DUMMYFUNCTION("""COMPUTED_VALUE"""),"Horseradish")</f>
        <v>Horseradish</v>
      </c>
      <c r="D79" s="5" t="str">
        <f>IFERROR(__xludf.DUMMYFUNCTION("""COMPUTED_VALUE"""),"Field")</f>
        <v>Field</v>
      </c>
    </row>
    <row r="80" ht="15.75" customHeight="1">
      <c r="A80" s="5" t="str">
        <f>IFERROR(__xludf.DUMMYFUNCTION("""COMPUTED_VALUE"""),"SCOPUS-000168")</f>
        <v>SCOPUS-000168</v>
      </c>
      <c r="B80" s="5" t="str">
        <f>IFERROR(__xludf.DUMMYFUNCTION("""COMPUTED_VALUE"""),"Classification")</f>
        <v>Classification</v>
      </c>
      <c r="C80" s="5" t="str">
        <f>IFERROR(__xludf.DUMMYFUNCTION("""COMPUTED_VALUE"""),"Spring wheat")</f>
        <v>Spring wheat</v>
      </c>
      <c r="D80" s="5" t="str">
        <f>IFERROR(__xludf.DUMMYFUNCTION("""COMPUTED_VALUE"""),"Lab")</f>
        <v>Lab</v>
      </c>
    </row>
    <row r="81" ht="15.75" customHeight="1">
      <c r="A81" s="5" t="str">
        <f>IFERROR(__xludf.DUMMYFUNCTION("""COMPUTED_VALUE"""),"SCOPUS-000143")</f>
        <v>SCOPUS-000143</v>
      </c>
      <c r="B81" s="5" t="str">
        <f>IFERROR(__xludf.DUMMYFUNCTION("""COMPUTED_VALUE"""),"Detection")</f>
        <v>Detection</v>
      </c>
      <c r="C81" s="5" t="str">
        <f>IFERROR(__xludf.DUMMYFUNCTION("""COMPUTED_VALUE"""),"Tobacco")</f>
        <v>Tobacco</v>
      </c>
      <c r="D81" s="5" t="str">
        <f>IFERROR(__xludf.DUMMYFUNCTION("""COMPUTED_VALUE"""),"Field")</f>
        <v>Field</v>
      </c>
    </row>
    <row r="82" ht="15.75" customHeight="1">
      <c r="A82" s="5" t="str">
        <f>IFERROR(__xludf.DUMMYFUNCTION("""COMPUTED_VALUE"""),"SCOPUS-000066")</f>
        <v>SCOPUS-000066</v>
      </c>
      <c r="B82" s="5" t="str">
        <f>IFERROR(__xludf.DUMMYFUNCTION("""COMPUTED_VALUE"""),"Segmentation")</f>
        <v>Segmentation</v>
      </c>
      <c r="C82" s="5" t="str">
        <f>IFERROR(__xludf.DUMMYFUNCTION("""COMPUTED_VALUE"""),"Sugarcane")</f>
        <v>Sugarcane</v>
      </c>
      <c r="D82" s="5" t="str">
        <f>IFERROR(__xludf.DUMMYFUNCTION("""COMPUTED_VALUE"""),"Field")</f>
        <v>Field</v>
      </c>
    </row>
    <row r="83" ht="15.75" customHeight="1">
      <c r="A83" s="5" t="str">
        <f>IFERROR(__xludf.DUMMYFUNCTION("""COMPUTED_VALUE"""),"SCOPUS-000015")</f>
        <v>SCOPUS-000015</v>
      </c>
      <c r="B83" s="5" t="str">
        <f>IFERROR(__xludf.DUMMYFUNCTION("""COMPUTED_VALUE"""),"Segmentation")</f>
        <v>Segmentation</v>
      </c>
      <c r="C83" s="5" t="str">
        <f>IFERROR(__xludf.DUMMYFUNCTION("""COMPUTED_VALUE"""),"Sugar beet")</f>
        <v>Sugar beet</v>
      </c>
      <c r="D83" s="5" t="str">
        <f>IFERROR(__xludf.DUMMYFUNCTION("""COMPUTED_VALUE"""),"UAV aerial")</f>
        <v>UAV aerial</v>
      </c>
    </row>
    <row r="84" ht="15.75" customHeight="1">
      <c r="A84" s="5" t="str">
        <f>IFERROR(__xludf.DUMMYFUNCTION("""COMPUTED_VALUE"""),"SCOPUS-000180")</f>
        <v>SCOPUS-000180</v>
      </c>
      <c r="B84" s="5" t="str">
        <f>IFERROR(__xludf.DUMMYFUNCTION("""COMPUTED_VALUE"""),"Detection")</f>
        <v>Detection</v>
      </c>
      <c r="C84" s="5" t="str">
        <f>IFERROR(__xludf.DUMMYFUNCTION("""COMPUTED_VALUE"""),"Sesame")</f>
        <v>Sesame</v>
      </c>
      <c r="D84" s="5" t="str">
        <f>IFERROR(__xludf.DUMMYFUNCTION("""COMPUTED_VALUE"""),"Field")</f>
        <v>Field</v>
      </c>
    </row>
    <row r="85" ht="15.75" customHeight="1">
      <c r="A85" s="5" t="str">
        <f>IFERROR(__xludf.DUMMYFUNCTION("""COMPUTED_VALUE"""),"SCOPUS-000065")</f>
        <v>SCOPUS-000065</v>
      </c>
      <c r="B85" s="5" t="str">
        <f>IFERROR(__xludf.DUMMYFUNCTION("""COMPUTED_VALUE"""),"Segmentation")</f>
        <v>Segmentation</v>
      </c>
      <c r="C85" s="5" t="str">
        <f>IFERROR(__xludf.DUMMYFUNCTION("""COMPUTED_VALUE"""),"Tobacco")</f>
        <v>Tobacco</v>
      </c>
      <c r="D85" s="5" t="str">
        <f>IFERROR(__xludf.DUMMYFUNCTION("""COMPUTED_VALUE"""),"UAV aerial")</f>
        <v>UAV aerial</v>
      </c>
    </row>
    <row r="86" ht="15.75" customHeight="1">
      <c r="A86" s="5" t="str">
        <f>IFERROR(__xludf.DUMMYFUNCTION("""COMPUTED_VALUE"""),"SCOPUS-000030")</f>
        <v>SCOPUS-000030</v>
      </c>
      <c r="B86" s="5" t="str">
        <f>IFERROR(__xludf.DUMMYFUNCTION("""COMPUTED_VALUE"""),"Segmentation")</f>
        <v>Segmentation</v>
      </c>
      <c r="C86" s="5" t="str">
        <f>IFERROR(__xludf.DUMMYFUNCTION("""COMPUTED_VALUE"""),"Mixed")</f>
        <v>Mixed</v>
      </c>
      <c r="D86" s="5" t="str">
        <f>IFERROR(__xludf.DUMMYFUNCTION("""COMPUTED_VALUE"""),"Field")</f>
        <v>Field</v>
      </c>
    </row>
    <row r="87" ht="15.75" customHeight="1">
      <c r="A87" s="5" t="str">
        <f>IFERROR(__xludf.DUMMYFUNCTION("""COMPUTED_VALUE"""),"WEBSCI-000402")</f>
        <v>WEBSCI-000402</v>
      </c>
      <c r="B87" s="5" t="str">
        <f>IFERROR(__xludf.DUMMYFUNCTION("""COMPUTED_VALUE"""),"Classification")</f>
        <v>Classification</v>
      </c>
      <c r="C87" s="5" t="str">
        <f>IFERROR(__xludf.DUMMYFUNCTION("""COMPUTED_VALUE"""),"Wheat")</f>
        <v>Wheat</v>
      </c>
      <c r="D87" s="5" t="str">
        <f>IFERROR(__xludf.DUMMYFUNCTION("""COMPUTED_VALUE"""),"Field")</f>
        <v>Field</v>
      </c>
    </row>
    <row r="88" ht="15.75" customHeight="1">
      <c r="A88" s="5" t="str">
        <f>IFERROR(__xludf.DUMMYFUNCTION("""COMPUTED_VALUE"""),"SCOPUS-000312")</f>
        <v>SCOPUS-000312</v>
      </c>
      <c r="B88" s="5" t="str">
        <f>IFERROR(__xludf.DUMMYFUNCTION("""COMPUTED_VALUE"""),"Detection")</f>
        <v>Detection</v>
      </c>
      <c r="C88" s="5" t="str">
        <f>IFERROR(__xludf.DUMMYFUNCTION("""COMPUTED_VALUE"""),"Sesame")</f>
        <v>Sesame</v>
      </c>
      <c r="D88" s="5" t="str">
        <f>IFERROR(__xludf.DUMMYFUNCTION("""COMPUTED_VALUE"""),"Field")</f>
        <v>Field</v>
      </c>
    </row>
    <row r="89" ht="15.75" customHeight="1">
      <c r="A89" s="5" t="str">
        <f>IFERROR(__xludf.DUMMYFUNCTION("""COMPUTED_VALUE"""),"SCOPUS-000300")</f>
        <v>SCOPUS-000300</v>
      </c>
      <c r="B89" s="5" t="str">
        <f>IFERROR(__xludf.DUMMYFUNCTION("""COMPUTED_VALUE"""),"Detection")</f>
        <v>Detection</v>
      </c>
      <c r="C89" s="5" t="str">
        <f>IFERROR(__xludf.DUMMYFUNCTION("""COMPUTED_VALUE"""),"Sugar beet")</f>
        <v>Sugar beet</v>
      </c>
      <c r="D89" s="5" t="str">
        <f>IFERROR(__xludf.DUMMYFUNCTION("""COMPUTED_VALUE"""),"Field")</f>
        <v>Field</v>
      </c>
    </row>
    <row r="90" ht="15.75" customHeight="1">
      <c r="A90" s="5" t="str">
        <f>IFERROR(__xludf.DUMMYFUNCTION("""COMPUTED_VALUE"""),"SCOPUS-000099")</f>
        <v>SCOPUS-000099</v>
      </c>
      <c r="B90" s="5" t="str">
        <f>IFERROR(__xludf.DUMMYFUNCTION("""COMPUTED_VALUE"""),"Detection")</f>
        <v>Detection</v>
      </c>
      <c r="C90" s="5" t="str">
        <f>IFERROR(__xludf.DUMMYFUNCTION("""COMPUTED_VALUE"""),"Maize")</f>
        <v>Maize</v>
      </c>
      <c r="D90" s="5" t="str">
        <f>IFERROR(__xludf.DUMMYFUNCTION("""COMPUTED_VALUE"""),"Field")</f>
        <v>Field</v>
      </c>
    </row>
    <row r="91" ht="15.75" customHeight="1">
      <c r="A91" s="5" t="str">
        <f>IFERROR(__xludf.DUMMYFUNCTION("""COMPUTED_VALUE"""),"SCOPUS-000287")</f>
        <v>SCOPUS-000287</v>
      </c>
      <c r="B91" s="5" t="str">
        <f>IFERROR(__xludf.DUMMYFUNCTION("""COMPUTED_VALUE"""),"Detection")</f>
        <v>Detection</v>
      </c>
      <c r="C91" s="5" t="str">
        <f>IFERROR(__xludf.DUMMYFUNCTION("""COMPUTED_VALUE"""),"Mixed")</f>
        <v>Mixed</v>
      </c>
      <c r="D91" s="5" t="str">
        <f>IFERROR(__xludf.DUMMYFUNCTION("""COMPUTED_VALUE"""),"UAV aerial")</f>
        <v>UAV aerial</v>
      </c>
    </row>
    <row r="92" ht="15.75" customHeight="1">
      <c r="A92" s="5" t="str">
        <f>IFERROR(__xludf.DUMMYFUNCTION("""COMPUTED_VALUE"""),"SCOPUS-000172")</f>
        <v>SCOPUS-000172</v>
      </c>
      <c r="B92" s="5" t="str">
        <f>IFERROR(__xludf.DUMMYFUNCTION("""COMPUTED_VALUE"""),"Segmentation")</f>
        <v>Segmentation</v>
      </c>
      <c r="C92" s="5" t="str">
        <f>IFERROR(__xludf.DUMMYFUNCTION("""COMPUTED_VALUE"""),"Winter wheat")</f>
        <v>Winter wheat</v>
      </c>
      <c r="D92" s="5" t="str">
        <f>IFERROR(__xludf.DUMMYFUNCTION("""COMPUTED_VALUE"""),"Field + UAV aerial")</f>
        <v>Field + UAV aerial</v>
      </c>
    </row>
    <row r="93" ht="15.75" customHeight="1">
      <c r="A93" s="5" t="str">
        <f>IFERROR(__xludf.DUMMYFUNCTION("""COMPUTED_VALUE"""),"SCOPUS-000290")</f>
        <v>SCOPUS-000290</v>
      </c>
      <c r="B93" s="5" t="str">
        <f>IFERROR(__xludf.DUMMYFUNCTION("""COMPUTED_VALUE"""),"Detection")</f>
        <v>Detection</v>
      </c>
      <c r="C93" s="5" t="str">
        <f>IFERROR(__xludf.DUMMYFUNCTION("""COMPUTED_VALUE"""),"Soybean")</f>
        <v>Soybean</v>
      </c>
      <c r="D93" s="5" t="str">
        <f>IFERROR(__xludf.DUMMYFUNCTION("""COMPUTED_VALUE"""),"Field")</f>
        <v>Field</v>
      </c>
    </row>
    <row r="94" ht="15.75" customHeight="1">
      <c r="A94" s="5" t="str">
        <f>IFERROR(__xludf.DUMMYFUNCTION("""COMPUTED_VALUE"""),"SCOPUS-000274")</f>
        <v>SCOPUS-000274</v>
      </c>
      <c r="B94" s="5" t="str">
        <f>IFERROR(__xludf.DUMMYFUNCTION("""COMPUTED_VALUE"""),"Classification")</f>
        <v>Classification</v>
      </c>
      <c r="C94" s="5" t="str">
        <f>IFERROR(__xludf.DUMMYFUNCTION("""COMPUTED_VALUE"""),"Mixed")</f>
        <v>Mixed</v>
      </c>
      <c r="D94" s="5" t="str">
        <f>IFERROR(__xludf.DUMMYFUNCTION("""COMPUTED_VALUE"""),"Field")</f>
        <v>Field</v>
      </c>
    </row>
    <row r="95" ht="15.75" customHeight="1">
      <c r="A95" s="5" t="str">
        <f>IFERROR(__xludf.DUMMYFUNCTION("""COMPUTED_VALUE"""),"SCOPUS-000084")</f>
        <v>SCOPUS-000084</v>
      </c>
      <c r="B95" s="5" t="str">
        <f>IFERROR(__xludf.DUMMYFUNCTION("""COMPUTED_VALUE"""),"Detection")</f>
        <v>Detection</v>
      </c>
      <c r="C95" s="5" t="str">
        <f>IFERROR(__xludf.DUMMYFUNCTION("""COMPUTED_VALUE"""),"None")</f>
        <v>None</v>
      </c>
      <c r="D95" s="5" t="str">
        <f>IFERROR(__xludf.DUMMYFUNCTION("""COMPUTED_VALUE"""),"Urban")</f>
        <v>Urban</v>
      </c>
    </row>
    <row r="96" ht="15.75" customHeight="1">
      <c r="A96" s="5" t="str">
        <f>IFERROR(__xludf.DUMMYFUNCTION("""COMPUTED_VALUE"""),"SCOPUS-000131")</f>
        <v>SCOPUS-000131</v>
      </c>
      <c r="B96" s="5" t="str">
        <f>IFERROR(__xludf.DUMMYFUNCTION("""COMPUTED_VALUE"""),"Detection")</f>
        <v>Detection</v>
      </c>
      <c r="C96" s="5" t="str">
        <f>IFERROR(__xludf.DUMMYFUNCTION("""COMPUTED_VALUE"""),"Maize")</f>
        <v>Maize</v>
      </c>
      <c r="D96" s="5" t="str">
        <f>IFERROR(__xludf.DUMMYFUNCTION("""COMPUTED_VALUE"""),"UAV aerial")</f>
        <v>UAV aerial</v>
      </c>
    </row>
    <row r="97" ht="15.75" customHeight="1">
      <c r="A97" s="5" t="str">
        <f>IFERROR(__xludf.DUMMYFUNCTION("""COMPUTED_VALUE"""),"SCOPUS-000001")</f>
        <v>SCOPUS-000001</v>
      </c>
      <c r="B97" s="5" t="str">
        <f>IFERROR(__xludf.DUMMYFUNCTION("""COMPUTED_VALUE"""),"Detection")</f>
        <v>Detection</v>
      </c>
      <c r="C97" s="5" t="str">
        <f>IFERROR(__xludf.DUMMYFUNCTION("""COMPUTED_VALUE"""),"Maize, Soybean")</f>
        <v>Maize, Soybean</v>
      </c>
      <c r="D97" s="5" t="str">
        <f>IFERROR(__xludf.DUMMYFUNCTION("""COMPUTED_VALUE"""),"Field")</f>
        <v>Field</v>
      </c>
    </row>
    <row r="98" ht="15.75" customHeight="1">
      <c r="A98" s="5" t="str">
        <f>IFERROR(__xludf.DUMMYFUNCTION("""COMPUTED_VALUE"""),"SCOPUS-000012")</f>
        <v>SCOPUS-000012</v>
      </c>
      <c r="B98" s="5" t="str">
        <f>IFERROR(__xludf.DUMMYFUNCTION("""COMPUTED_VALUE"""),"Classification")</f>
        <v>Classification</v>
      </c>
      <c r="C98" s="5" t="str">
        <f>IFERROR(__xludf.DUMMYFUNCTION("""COMPUTED_VALUE"""),"None")</f>
        <v>None</v>
      </c>
      <c r="D98" s="5" t="str">
        <f>IFERROR(__xludf.DUMMYFUNCTION("""COMPUTED_VALUE"""),"Lab")</f>
        <v>Lab</v>
      </c>
    </row>
    <row r="99" ht="15.75" customHeight="1">
      <c r="A99" s="5" t="str">
        <f>IFERROR(__xludf.DUMMYFUNCTION("""COMPUTED_VALUE"""),"SCOPUS-000027")</f>
        <v>SCOPUS-000027</v>
      </c>
      <c r="B99" s="5" t="str">
        <f>IFERROR(__xludf.DUMMYFUNCTION("""COMPUTED_VALUE"""),"Detection")</f>
        <v>Detection</v>
      </c>
      <c r="C99" s="5" t="str">
        <f>IFERROR(__xludf.DUMMYFUNCTION("""COMPUTED_VALUE"""),"Soybean")</f>
        <v>Soybean</v>
      </c>
      <c r="D99" s="5" t="str">
        <f>IFERROR(__xludf.DUMMYFUNCTION("""COMPUTED_VALUE"""),"UAV aerial")</f>
        <v>UAV aerial</v>
      </c>
    </row>
    <row r="100" ht="15.75" customHeight="1">
      <c r="A100" s="5" t="str">
        <f>IFERROR(__xludf.DUMMYFUNCTION("""COMPUTED_VALUE"""),"SCOPUS-000047")</f>
        <v>SCOPUS-000047</v>
      </c>
      <c r="B100" s="5" t="str">
        <f>IFERROR(__xludf.DUMMYFUNCTION("""COMPUTED_VALUE"""),"Detection")</f>
        <v>Detection</v>
      </c>
      <c r="C100" s="5" t="str">
        <f>IFERROR(__xludf.DUMMYFUNCTION("""COMPUTED_VALUE"""),"Soybean")</f>
        <v>Soybean</v>
      </c>
      <c r="D100" s="5" t="str">
        <f>IFERROR(__xludf.DUMMYFUNCTION("""COMPUTED_VALUE"""),"Lab")</f>
        <v>Lab</v>
      </c>
    </row>
    <row r="101" ht="15.75" customHeight="1">
      <c r="A101" s="5" t="str">
        <f>IFERROR(__xludf.DUMMYFUNCTION("""COMPUTED_VALUE"""),"SCOPUS-000049")</f>
        <v>SCOPUS-000049</v>
      </c>
      <c r="B101" s="5" t="str">
        <f>IFERROR(__xludf.DUMMYFUNCTION("""COMPUTED_VALUE"""),"Classification")</f>
        <v>Classification</v>
      </c>
      <c r="C101" s="5" t="str">
        <f>IFERROR(__xludf.DUMMYFUNCTION("""COMPUTED_VALUE"""),"None")</f>
        <v>None</v>
      </c>
      <c r="D101" s="5" t="str">
        <f>IFERROR(__xludf.DUMMYFUNCTION("""COMPUTED_VALUE"""),"Field")</f>
        <v>Field</v>
      </c>
    </row>
    <row r="102" ht="15.75" customHeight="1">
      <c r="A102" s="5" t="str">
        <f>IFERROR(__xludf.DUMMYFUNCTION("""COMPUTED_VALUE"""),"SCOPUS-000059")</f>
        <v>SCOPUS-000059</v>
      </c>
      <c r="B102" s="5" t="str">
        <f>IFERROR(__xludf.DUMMYFUNCTION("""COMPUTED_VALUE"""),"Classification")</f>
        <v>Classification</v>
      </c>
      <c r="C102" s="5" t="str">
        <f>IFERROR(__xludf.DUMMYFUNCTION("""COMPUTED_VALUE"""),"Groundnut")</f>
        <v>Groundnut</v>
      </c>
      <c r="D102" s="5" t="str">
        <f>IFERROR(__xludf.DUMMYFUNCTION("""COMPUTED_VALUE"""),"Field")</f>
        <v>Field</v>
      </c>
    </row>
    <row r="103" ht="15.75" customHeight="1">
      <c r="A103" s="5" t="str">
        <f>IFERROR(__xludf.DUMMYFUNCTION("""COMPUTED_VALUE"""),"SCOPUS-000067")</f>
        <v>SCOPUS-000067</v>
      </c>
      <c r="B103" s="5" t="str">
        <f>IFERROR(__xludf.DUMMYFUNCTION("""COMPUTED_VALUE"""),"Classification")</f>
        <v>Classification</v>
      </c>
      <c r="C103" s="5" t="str">
        <f>IFERROR(__xludf.DUMMYFUNCTION("""COMPUTED_VALUE"""),"Peanut")</f>
        <v>Peanut</v>
      </c>
      <c r="D103" s="5" t="str">
        <f>IFERROR(__xludf.DUMMYFUNCTION("""COMPUTED_VALUE"""),"Field + Lab")</f>
        <v>Field + Lab</v>
      </c>
    </row>
    <row r="104" ht="15.75" customHeight="1">
      <c r="A104" s="5" t="str">
        <f>IFERROR(__xludf.DUMMYFUNCTION("""COMPUTED_VALUE"""),"SCOPUS-000076")</f>
        <v>SCOPUS-000076</v>
      </c>
      <c r="B104" s="5" t="str">
        <f>IFERROR(__xludf.DUMMYFUNCTION("""COMPUTED_VALUE"""),"Detection")</f>
        <v>Detection</v>
      </c>
      <c r="C104" s="5" t="str">
        <f>IFERROR(__xludf.DUMMYFUNCTION("""COMPUTED_VALUE"""),"Maize, Soybean, Wheat")</f>
        <v>Maize, Soybean, Wheat</v>
      </c>
      <c r="D104" s="5" t="str">
        <f>IFERROR(__xludf.DUMMYFUNCTION("""COMPUTED_VALUE"""),"Field")</f>
        <v>Field</v>
      </c>
    </row>
    <row r="105" ht="15.75" customHeight="1">
      <c r="A105" s="5" t="str">
        <f>IFERROR(__xludf.DUMMYFUNCTION("""COMPUTED_VALUE"""),"SCOPUS-000087")</f>
        <v>SCOPUS-000087</v>
      </c>
      <c r="B105" s="5" t="str">
        <f>IFERROR(__xludf.DUMMYFUNCTION("""COMPUTED_VALUE"""),"Classification")</f>
        <v>Classification</v>
      </c>
      <c r="C105" s="5" t="str">
        <f>IFERROR(__xludf.DUMMYFUNCTION("""COMPUTED_VALUE"""),"Chili")</f>
        <v>Chili</v>
      </c>
      <c r="D105" s="5" t="str">
        <f>IFERROR(__xludf.DUMMYFUNCTION("""COMPUTED_VALUE"""),"Field")</f>
        <v>Field</v>
      </c>
    </row>
    <row r="106" ht="15.75" customHeight="1">
      <c r="A106" s="5" t="str">
        <f>IFERROR(__xludf.DUMMYFUNCTION("""COMPUTED_VALUE"""),"SCOPUS-000089")</f>
        <v>SCOPUS-000089</v>
      </c>
      <c r="B106" s="5" t="str">
        <f>IFERROR(__xludf.DUMMYFUNCTION("""COMPUTED_VALUE"""),"Classification")</f>
        <v>Classification</v>
      </c>
      <c r="C106" s="5" t="str">
        <f>IFERROR(__xludf.DUMMYFUNCTION("""COMPUTED_VALUE"""),"Maize, Sugar beet")</f>
        <v>Maize, Sugar beet</v>
      </c>
      <c r="D106" s="5" t="str">
        <f>IFERROR(__xludf.DUMMYFUNCTION("""COMPUTED_VALUE"""),"Field")</f>
        <v>Field</v>
      </c>
    </row>
    <row r="107" ht="15.75" customHeight="1">
      <c r="A107" s="5" t="str">
        <f>IFERROR(__xludf.DUMMYFUNCTION("""COMPUTED_VALUE"""),"SCOPUS-000140")</f>
        <v>SCOPUS-000140</v>
      </c>
      <c r="B107" s="5" t="str">
        <f>IFERROR(__xludf.DUMMYFUNCTION("""COMPUTED_VALUE"""),"Segmentation")</f>
        <v>Segmentation</v>
      </c>
      <c r="C107" s="5" t="str">
        <f>IFERROR(__xludf.DUMMYFUNCTION("""COMPUTED_VALUE"""),"Maize")</f>
        <v>Maize</v>
      </c>
      <c r="D107" s="5" t="str">
        <f>IFERROR(__xludf.DUMMYFUNCTION("""COMPUTED_VALUE"""),"Field")</f>
        <v>Field</v>
      </c>
    </row>
    <row r="108" ht="15.75" customHeight="1">
      <c r="A108" s="5" t="str">
        <f>IFERROR(__xludf.DUMMYFUNCTION("""COMPUTED_VALUE"""),"SCOPUS-000148")</f>
        <v>SCOPUS-000148</v>
      </c>
      <c r="B108" s="5" t="str">
        <f>IFERROR(__xludf.DUMMYFUNCTION("""COMPUTED_VALUE"""),"Detection")</f>
        <v>Detection</v>
      </c>
      <c r="C108" s="5" t="str">
        <f>IFERROR(__xludf.DUMMYFUNCTION("""COMPUTED_VALUE"""),"Cotton")</f>
        <v>Cotton</v>
      </c>
      <c r="D108" s="5" t="str">
        <f>IFERROR(__xludf.DUMMYFUNCTION("""COMPUTED_VALUE"""),"Field")</f>
        <v>Field</v>
      </c>
    </row>
    <row r="109" ht="15.75" customHeight="1">
      <c r="A109" s="5" t="str">
        <f>IFERROR(__xludf.DUMMYFUNCTION("""COMPUTED_VALUE"""),"SCOPUS-000156")</f>
        <v>SCOPUS-000156</v>
      </c>
      <c r="B109" s="5" t="str">
        <f>IFERROR(__xludf.DUMMYFUNCTION("""COMPUTED_VALUE"""),"Detection")</f>
        <v>Detection</v>
      </c>
      <c r="C109" s="5" t="str">
        <f>IFERROR(__xludf.DUMMYFUNCTION("""COMPUTED_VALUE"""),"None")</f>
        <v>None</v>
      </c>
      <c r="D109" s="5" t="str">
        <f>IFERROR(__xludf.DUMMYFUNCTION("""COMPUTED_VALUE"""),"Field")</f>
        <v>Field</v>
      </c>
    </row>
    <row r="110" ht="15.75" customHeight="1">
      <c r="A110" s="5" t="str">
        <f>IFERROR(__xludf.DUMMYFUNCTION("""COMPUTED_VALUE"""),"SCOPUS-000166")</f>
        <v>SCOPUS-000166</v>
      </c>
      <c r="B110" s="5" t="str">
        <f>IFERROR(__xludf.DUMMYFUNCTION("""COMPUTED_VALUE"""),"Detection")</f>
        <v>Detection</v>
      </c>
      <c r="C110" s="5" t="str">
        <f>IFERROR(__xludf.DUMMYFUNCTION("""COMPUTED_VALUE"""),"Rice")</f>
        <v>Rice</v>
      </c>
      <c r="D110" s="5" t="str">
        <f>IFERROR(__xludf.DUMMYFUNCTION("""COMPUTED_VALUE"""),"UAV aerial")</f>
        <v>UAV aerial</v>
      </c>
    </row>
    <row r="111" ht="15.75" customHeight="1">
      <c r="A111" s="5" t="str">
        <f>IFERROR(__xludf.DUMMYFUNCTION("""COMPUTED_VALUE"""),"SCOPUS-000184")</f>
        <v>SCOPUS-000184</v>
      </c>
      <c r="B111" s="5" t="str">
        <f>IFERROR(__xludf.DUMMYFUNCTION("""COMPUTED_VALUE"""),"Detection")</f>
        <v>Detection</v>
      </c>
      <c r="C111" s="5" t="str">
        <f>IFERROR(__xludf.DUMMYFUNCTION("""COMPUTED_VALUE"""),"Maize")</f>
        <v>Maize</v>
      </c>
      <c r="D111" s="5" t="str">
        <f>IFERROR(__xludf.DUMMYFUNCTION("""COMPUTED_VALUE"""),"Field")</f>
        <v>Field</v>
      </c>
    </row>
    <row r="112" ht="15.75" customHeight="1">
      <c r="A112" s="5" t="str">
        <f>IFERROR(__xludf.DUMMYFUNCTION("""COMPUTED_VALUE"""),"SCOPUS-000192")</f>
        <v>SCOPUS-000192</v>
      </c>
      <c r="B112" s="5" t="str">
        <f>IFERROR(__xludf.DUMMYFUNCTION("""COMPUTED_VALUE"""),"Segmentation")</f>
        <v>Segmentation</v>
      </c>
      <c r="C112" s="5" t="str">
        <f>IFERROR(__xludf.DUMMYFUNCTION("""COMPUTED_VALUE"""),"Sugar beet")</f>
        <v>Sugar beet</v>
      </c>
      <c r="D112" s="5" t="str">
        <f>IFERROR(__xludf.DUMMYFUNCTION("""COMPUTED_VALUE"""),"UAV aerial")</f>
        <v>UAV aerial</v>
      </c>
    </row>
    <row r="113" ht="15.75" customHeight="1">
      <c r="A113" s="5" t="str">
        <f>IFERROR(__xludf.DUMMYFUNCTION("""COMPUTED_VALUE"""),"SCOPUS-000221")</f>
        <v>SCOPUS-000221</v>
      </c>
      <c r="B113" s="5" t="str">
        <f>IFERROR(__xludf.DUMMYFUNCTION("""COMPUTED_VALUE"""),"Classification")</f>
        <v>Classification</v>
      </c>
      <c r="C113" s="5" t="str">
        <f>IFERROR(__xludf.DUMMYFUNCTION("""COMPUTED_VALUE"""),"None")</f>
        <v>None</v>
      </c>
      <c r="D113" s="5" t="str">
        <f>IFERROR(__xludf.DUMMYFUNCTION("""COMPUTED_VALUE"""),"Field")</f>
        <v>Field</v>
      </c>
    </row>
    <row r="114" ht="15.75" customHeight="1">
      <c r="A114" s="5" t="str">
        <f>IFERROR(__xludf.DUMMYFUNCTION("""COMPUTED_VALUE"""),"SCOPUS-000224")</f>
        <v>SCOPUS-000224</v>
      </c>
      <c r="B114" s="5" t="str">
        <f>IFERROR(__xludf.DUMMYFUNCTION("""COMPUTED_VALUE"""),"Detection")</f>
        <v>Detection</v>
      </c>
      <c r="C114" s="5" t="str">
        <f>IFERROR(__xludf.DUMMYFUNCTION("""COMPUTED_VALUE"""),"Cotton")</f>
        <v>Cotton</v>
      </c>
      <c r="D114" s="5" t="str">
        <f>IFERROR(__xludf.DUMMYFUNCTION("""COMPUTED_VALUE"""),"Field")</f>
        <v>Field</v>
      </c>
    </row>
    <row r="115" ht="15.75" customHeight="1">
      <c r="A115" s="5" t="str">
        <f>IFERROR(__xludf.DUMMYFUNCTION("""COMPUTED_VALUE"""),"SCOPUS-000227")</f>
        <v>SCOPUS-000227</v>
      </c>
      <c r="B115" s="5" t="str">
        <f>IFERROR(__xludf.DUMMYFUNCTION("""COMPUTED_VALUE"""),"Detection")</f>
        <v>Detection</v>
      </c>
      <c r="C115" s="5" t="str">
        <f>IFERROR(__xludf.DUMMYFUNCTION("""COMPUTED_VALUE"""),"Cotton")</f>
        <v>Cotton</v>
      </c>
      <c r="D115" s="5" t="str">
        <f>IFERROR(__xludf.DUMMYFUNCTION("""COMPUTED_VALUE"""),"Field")</f>
        <v>Field</v>
      </c>
    </row>
    <row r="116" ht="15.75" customHeight="1">
      <c r="A116" s="5" t="str">
        <f>IFERROR(__xludf.DUMMYFUNCTION("""COMPUTED_VALUE"""),"SCOPUS-000238")</f>
        <v>SCOPUS-000238</v>
      </c>
      <c r="B116" s="5" t="str">
        <f>IFERROR(__xludf.DUMMYFUNCTION("""COMPUTED_VALUE"""),"Detection")</f>
        <v>Detection</v>
      </c>
      <c r="C116" s="5" t="str">
        <f>IFERROR(__xludf.DUMMYFUNCTION("""COMPUTED_VALUE"""),"Tomato")</f>
        <v>Tomato</v>
      </c>
      <c r="D116" s="5" t="str">
        <f>IFERROR(__xludf.DUMMYFUNCTION("""COMPUTED_VALUE"""),"Field")</f>
        <v>Field</v>
      </c>
    </row>
    <row r="117" ht="15.75" customHeight="1">
      <c r="A117" s="5" t="str">
        <f>IFERROR(__xludf.DUMMYFUNCTION("""COMPUTED_VALUE"""),"SCOPUS-000251")</f>
        <v>SCOPUS-000251</v>
      </c>
      <c r="B117" s="5" t="str">
        <f>IFERROR(__xludf.DUMMYFUNCTION("""COMPUTED_VALUE"""),"Detection")</f>
        <v>Detection</v>
      </c>
      <c r="C117" s="5" t="str">
        <f>IFERROR(__xludf.DUMMYFUNCTION("""COMPUTED_VALUE"""),"Cabbage")</f>
        <v>Cabbage</v>
      </c>
      <c r="D117" s="5" t="str">
        <f>IFERROR(__xludf.DUMMYFUNCTION("""COMPUTED_VALUE"""),"Field")</f>
        <v>Field</v>
      </c>
    </row>
    <row r="118" ht="15.75" customHeight="1">
      <c r="A118" s="5" t="str">
        <f>IFERROR(__xludf.DUMMYFUNCTION("""COMPUTED_VALUE"""),"SCOPUS-000257")</f>
        <v>SCOPUS-000257</v>
      </c>
      <c r="B118" s="5" t="str">
        <f>IFERROR(__xludf.DUMMYFUNCTION("""COMPUTED_VALUE"""),"Detection")</f>
        <v>Detection</v>
      </c>
      <c r="C118" s="5" t="str">
        <f>IFERROR(__xludf.DUMMYFUNCTION("""COMPUTED_VALUE"""),"Maize")</f>
        <v>Maize</v>
      </c>
      <c r="D118" s="5" t="str">
        <f>IFERROR(__xludf.DUMMYFUNCTION("""COMPUTED_VALUE"""),"Field")</f>
        <v>Field</v>
      </c>
    </row>
    <row r="119" ht="15.75" customHeight="1">
      <c r="A119" s="5" t="str">
        <f>IFERROR(__xludf.DUMMYFUNCTION("""COMPUTED_VALUE"""),"SCOPUS-000258")</f>
        <v>SCOPUS-000258</v>
      </c>
      <c r="B119" s="5" t="str">
        <f>IFERROR(__xludf.DUMMYFUNCTION("""COMPUTED_VALUE"""),"Detection")</f>
        <v>Detection</v>
      </c>
      <c r="C119" s="5" t="str">
        <f>IFERROR(__xludf.DUMMYFUNCTION("""COMPUTED_VALUE"""),"Vegetable")</f>
        <v>Vegetable</v>
      </c>
      <c r="D119" s="5" t="str">
        <f>IFERROR(__xludf.DUMMYFUNCTION("""COMPUTED_VALUE"""),"Field + Lab")</f>
        <v>Field + Lab</v>
      </c>
    </row>
    <row r="120" ht="15.75" customHeight="1">
      <c r="A120" s="5" t="str">
        <f>IFERROR(__xludf.DUMMYFUNCTION("""COMPUTED_VALUE"""),"SCOPUS-000262")</f>
        <v>SCOPUS-000262</v>
      </c>
      <c r="B120" s="5" t="str">
        <f>IFERROR(__xludf.DUMMYFUNCTION("""COMPUTED_VALUE"""),"Detection")</f>
        <v>Detection</v>
      </c>
      <c r="C120" s="5" t="str">
        <f>IFERROR(__xludf.DUMMYFUNCTION("""COMPUTED_VALUE"""),"Soybean")</f>
        <v>Soybean</v>
      </c>
      <c r="D120" s="5" t="str">
        <f>IFERROR(__xludf.DUMMYFUNCTION("""COMPUTED_VALUE"""),"UAV aerial")</f>
        <v>UAV aerial</v>
      </c>
    </row>
    <row r="121" ht="15.75" customHeight="1">
      <c r="A121" s="5" t="str">
        <f>IFERROR(__xludf.DUMMYFUNCTION("""COMPUTED_VALUE"""),"SCOPUS-000281")</f>
        <v>SCOPUS-000281</v>
      </c>
      <c r="B121" s="5" t="str">
        <f>IFERROR(__xludf.DUMMYFUNCTION("""COMPUTED_VALUE"""),"Segmentation")</f>
        <v>Segmentation</v>
      </c>
      <c r="C121" s="5" t="str">
        <f>IFERROR(__xludf.DUMMYFUNCTION("""COMPUTED_VALUE"""),"Tobacco")</f>
        <v>Tobacco</v>
      </c>
      <c r="D121" s="5" t="str">
        <f>IFERROR(__xludf.DUMMYFUNCTION("""COMPUTED_VALUE"""),"UAV aerial")</f>
        <v>UAV aerial</v>
      </c>
    </row>
    <row r="122" ht="15.75" customHeight="1">
      <c r="A122" s="5" t="str">
        <f>IFERROR(__xludf.DUMMYFUNCTION("""COMPUTED_VALUE"""),"SCOPUS-000288")</f>
        <v>SCOPUS-000288</v>
      </c>
      <c r="B122" s="5" t="str">
        <f>IFERROR(__xludf.DUMMYFUNCTION("""COMPUTED_VALUE"""),"Classification")</f>
        <v>Classification</v>
      </c>
      <c r="C122" s="5" t="str">
        <f>IFERROR(__xludf.DUMMYFUNCTION("""COMPUTED_VALUE"""),"Food crops")</f>
        <v>Food crops</v>
      </c>
      <c r="D122" s="5" t="str">
        <f>IFERROR(__xludf.DUMMYFUNCTION("""COMPUTED_VALUE"""),"Field")</f>
        <v>Field</v>
      </c>
    </row>
    <row r="123" ht="15.75" customHeight="1">
      <c r="A123" s="5" t="str">
        <f>IFERROR(__xludf.DUMMYFUNCTION("""COMPUTED_VALUE"""),"SCOPUS-000289")</f>
        <v>SCOPUS-000289</v>
      </c>
      <c r="B123" s="5" t="str">
        <f>IFERROR(__xludf.DUMMYFUNCTION("""COMPUTED_VALUE"""),"Detection")</f>
        <v>Detection</v>
      </c>
      <c r="C123" s="5" t="str">
        <f>IFERROR(__xludf.DUMMYFUNCTION("""COMPUTED_VALUE"""),"Dry Bean, Canola, Maize, Field Pea, Flax, Lentil, Soybean, Sugar Beet")</f>
        <v>Dry Bean, Canola, Maize, Field Pea, Flax, Lentil, Soybean, Sugar Beet</v>
      </c>
      <c r="D123" s="5" t="str">
        <f>IFERROR(__xludf.DUMMYFUNCTION("""COMPUTED_VALUE"""),"Field")</f>
        <v>Field</v>
      </c>
    </row>
    <row r="124" ht="15.75" customHeight="1">
      <c r="A124" s="5" t="str">
        <f>IFERROR(__xludf.DUMMYFUNCTION("""COMPUTED_VALUE"""),"SCOPUS-000306")</f>
        <v>SCOPUS-000306</v>
      </c>
      <c r="B124" s="5" t="str">
        <f>IFERROR(__xludf.DUMMYFUNCTION("""COMPUTED_VALUE"""),"Segmentation")</f>
        <v>Segmentation</v>
      </c>
      <c r="C124" s="5" t="str">
        <f>IFERROR(__xludf.DUMMYFUNCTION("""COMPUTED_VALUE"""),"Potato")</f>
        <v>Potato</v>
      </c>
      <c r="D124" s="5" t="str">
        <f>IFERROR(__xludf.DUMMYFUNCTION("""COMPUTED_VALUE"""),"UAV aerial")</f>
        <v>UAV aerial</v>
      </c>
    </row>
    <row r="125" ht="15.75" customHeight="1">
      <c r="A125" s="5" t="str">
        <f>IFERROR(__xludf.DUMMYFUNCTION("""COMPUTED_VALUE"""),"SCOPUS-000319")</f>
        <v>SCOPUS-000319</v>
      </c>
      <c r="B125" s="5" t="str">
        <f>IFERROR(__xludf.DUMMYFUNCTION("""COMPUTED_VALUE"""),"Classification")</f>
        <v>Classification</v>
      </c>
      <c r="C125" s="5" t="str">
        <f>IFERROR(__xludf.DUMMYFUNCTION("""COMPUTED_VALUE"""),"Rice")</f>
        <v>Rice</v>
      </c>
      <c r="D125" s="5" t="str">
        <f>IFERROR(__xludf.DUMMYFUNCTION("""COMPUTED_VALUE"""),"Field")</f>
        <v>Field</v>
      </c>
    </row>
    <row r="126" ht="15.75" customHeight="1">
      <c r="A126" s="5" t="str">
        <f>IFERROR(__xludf.DUMMYFUNCTION("""COMPUTED_VALUE"""),"SCOPUS-000344")</f>
        <v>SCOPUS-000344</v>
      </c>
      <c r="B126" s="5" t="str">
        <f>IFERROR(__xludf.DUMMYFUNCTION("""COMPUTED_VALUE"""),"Classification")</f>
        <v>Classification</v>
      </c>
      <c r="C126" s="5" t="str">
        <f>IFERROR(__xludf.DUMMYFUNCTION("""COMPUTED_VALUE"""),"None")</f>
        <v>None</v>
      </c>
      <c r="D126" s="5" t="str">
        <f>IFERROR(__xludf.DUMMYFUNCTION("""COMPUTED_VALUE"""),"Field")</f>
        <v>Field</v>
      </c>
    </row>
    <row r="127" ht="15.75" customHeight="1">
      <c r="A127" s="5" t="str">
        <f>IFERROR(__xludf.DUMMYFUNCTION("""COMPUTED_VALUE"""),"SCOPUS-000364")</f>
        <v>SCOPUS-000364</v>
      </c>
      <c r="B127" s="5" t="str">
        <f>IFERROR(__xludf.DUMMYFUNCTION("""COMPUTED_VALUE"""),"Detection")</f>
        <v>Detection</v>
      </c>
      <c r="C127" s="5" t="str">
        <f>IFERROR(__xludf.DUMMYFUNCTION("""COMPUTED_VALUE"""),"Cotton")</f>
        <v>Cotton</v>
      </c>
      <c r="D127" s="5" t="str">
        <f>IFERROR(__xludf.DUMMYFUNCTION("""COMPUTED_VALUE"""),"Field")</f>
        <v>Field</v>
      </c>
    </row>
    <row r="128" ht="15.75" customHeight="1">
      <c r="A128" s="5" t="str">
        <f>IFERROR(__xludf.DUMMYFUNCTION("""COMPUTED_VALUE"""),"SCOPUS-000372")</f>
        <v>SCOPUS-000372</v>
      </c>
      <c r="B128" s="5" t="str">
        <f>IFERROR(__xludf.DUMMYFUNCTION("""COMPUTED_VALUE"""),"Classification")</f>
        <v>Classification</v>
      </c>
      <c r="C128" s="5" t="str">
        <f>IFERROR(__xludf.DUMMYFUNCTION("""COMPUTED_VALUE"""),"Sorghum")</f>
        <v>Sorghum</v>
      </c>
      <c r="D128" s="5" t="str">
        <f>IFERROR(__xludf.DUMMYFUNCTION("""COMPUTED_VALUE"""),"Field")</f>
        <v>Field</v>
      </c>
    </row>
    <row r="129" ht="15.75" customHeight="1">
      <c r="A129" s="5" t="str">
        <f>IFERROR(__xludf.DUMMYFUNCTION("""COMPUTED_VALUE"""),"SCOPUS-000379")</f>
        <v>SCOPUS-000379</v>
      </c>
      <c r="B129" s="5" t="str">
        <f>IFERROR(__xludf.DUMMYFUNCTION("""COMPUTED_VALUE"""),"Classification")</f>
        <v>Classification</v>
      </c>
      <c r="C129" s="5" t="str">
        <f>IFERROR(__xludf.DUMMYFUNCTION("""COMPUTED_VALUE"""),"Maize")</f>
        <v>Maize</v>
      </c>
      <c r="D129" s="5" t="str">
        <f>IFERROR(__xludf.DUMMYFUNCTION("""COMPUTED_VALUE"""),"Field")</f>
        <v>Field</v>
      </c>
    </row>
    <row r="130" ht="15.75" customHeight="1">
      <c r="A130" s="5" t="str">
        <f>IFERROR(__xludf.DUMMYFUNCTION("""COMPUTED_VALUE"""),"SCOPUS-000383")</f>
        <v>SCOPUS-000383</v>
      </c>
      <c r="B130" s="5" t="str">
        <f>IFERROR(__xludf.DUMMYFUNCTION("""COMPUTED_VALUE"""),"Detection")</f>
        <v>Detection</v>
      </c>
      <c r="C130" s="5" t="str">
        <f>IFERROR(__xludf.DUMMYFUNCTION("""COMPUTED_VALUE"""),"Maize, Soybean")</f>
        <v>Maize, Soybean</v>
      </c>
      <c r="D130" s="5" t="str">
        <f>IFERROR(__xludf.DUMMYFUNCTION("""COMPUTED_VALUE"""),"UAV aerial")</f>
        <v>UAV aerial</v>
      </c>
    </row>
    <row r="131" ht="15.75" customHeight="1">
      <c r="A131" s="5" t="str">
        <f>IFERROR(__xludf.DUMMYFUNCTION("""COMPUTED_VALUE"""),"SCOPUS-000402")</f>
        <v>SCOPUS-000402</v>
      </c>
      <c r="B131" s="5" t="str">
        <f>IFERROR(__xludf.DUMMYFUNCTION("""COMPUTED_VALUE"""),"Detection")</f>
        <v>Detection</v>
      </c>
      <c r="C131" s="5" t="str">
        <f>IFERROR(__xludf.DUMMYFUNCTION("""COMPUTED_VALUE"""),"Maize")</f>
        <v>Maize</v>
      </c>
      <c r="D131" s="5" t="str">
        <f>IFERROR(__xludf.DUMMYFUNCTION("""COMPUTED_VALUE"""),"Field")</f>
        <v>Field</v>
      </c>
    </row>
    <row r="132" ht="15.75" customHeight="1">
      <c r="A132" s="5" t="str">
        <f>IFERROR(__xludf.DUMMYFUNCTION("""COMPUTED_VALUE"""),"SCOPUS-000415")</f>
        <v>SCOPUS-000415</v>
      </c>
      <c r="B132" s="5" t="str">
        <f>IFERROR(__xludf.DUMMYFUNCTION("""COMPUTED_VALUE"""),"Segmentation")</f>
        <v>Segmentation</v>
      </c>
      <c r="C132" s="5" t="str">
        <f>IFERROR(__xludf.DUMMYFUNCTION("""COMPUTED_VALUE"""),"Cotton, Soybean")</f>
        <v>Cotton, Soybean</v>
      </c>
      <c r="D132" s="5" t="str">
        <f>IFERROR(__xludf.DUMMYFUNCTION("""COMPUTED_VALUE"""),"UAV aerial")</f>
        <v>UAV aerial</v>
      </c>
    </row>
    <row r="133" ht="15.75" customHeight="1">
      <c r="A133" s="5" t="str">
        <f>IFERROR(__xludf.DUMMYFUNCTION("""COMPUTED_VALUE"""),"SCOPUS-000421")</f>
        <v>SCOPUS-000421</v>
      </c>
      <c r="B133" s="5" t="str">
        <f>IFERROR(__xludf.DUMMYFUNCTION("""COMPUTED_VALUE"""),"Detection")</f>
        <v>Detection</v>
      </c>
      <c r="C133" s="5" t="str">
        <f>IFERROR(__xludf.DUMMYFUNCTION("""COMPUTED_VALUE"""),"Not reported")</f>
        <v>Not reported</v>
      </c>
      <c r="D133" s="5" t="str">
        <f>IFERROR(__xludf.DUMMYFUNCTION("""COMPUTED_VALUE"""),"Field")</f>
        <v>Field</v>
      </c>
    </row>
    <row r="134" ht="15.75" customHeight="1">
      <c r="A134" s="5" t="str">
        <f>IFERROR(__xludf.DUMMYFUNCTION("""COMPUTED_VALUE"""),"SCOPUS-000429")</f>
        <v>SCOPUS-000429</v>
      </c>
      <c r="B134" s="5" t="str">
        <f>IFERROR(__xludf.DUMMYFUNCTION("""COMPUTED_VALUE"""),"Detection")</f>
        <v>Detection</v>
      </c>
      <c r="C134" s="5" t="str">
        <f>IFERROR(__xludf.DUMMYFUNCTION("""COMPUTED_VALUE"""),"None")</f>
        <v>None</v>
      </c>
      <c r="D134" s="5" t="str">
        <f>IFERROR(__xludf.DUMMYFUNCTION("""COMPUTED_VALUE"""),"Greenhouse + Field")</f>
        <v>Greenhouse + Field</v>
      </c>
    </row>
    <row r="135" ht="15.75" customHeight="1">
      <c r="A135" s="5" t="str">
        <f>IFERROR(__xludf.DUMMYFUNCTION("""COMPUTED_VALUE"""),"SCOPUS-000441")</f>
        <v>SCOPUS-000441</v>
      </c>
      <c r="B135" s="5" t="str">
        <f>IFERROR(__xludf.DUMMYFUNCTION("""COMPUTED_VALUE"""),"Segmentation")</f>
        <v>Segmentation</v>
      </c>
      <c r="C135" s="5" t="str">
        <f>IFERROR(__xludf.DUMMYFUNCTION("""COMPUTED_VALUE"""),"Rice")</f>
        <v>Rice</v>
      </c>
      <c r="D135" s="5" t="str">
        <f>IFERROR(__xludf.DUMMYFUNCTION("""COMPUTED_VALUE"""),"UAV aerial")</f>
        <v>UAV aerial</v>
      </c>
    </row>
    <row r="136" ht="15.75" customHeight="1">
      <c r="A136" s="5" t="str">
        <f>IFERROR(__xludf.DUMMYFUNCTION("""COMPUTED_VALUE"""),"SCOPUS-000454")</f>
        <v>SCOPUS-000454</v>
      </c>
      <c r="B136" s="5" t="str">
        <f>IFERROR(__xludf.DUMMYFUNCTION("""COMPUTED_VALUE"""),"Classification")</f>
        <v>Classification</v>
      </c>
      <c r="C136" s="5" t="str">
        <f>IFERROR(__xludf.DUMMYFUNCTION("""COMPUTED_VALUE"""),"Cotton")</f>
        <v>Cotton</v>
      </c>
      <c r="D136" s="5" t="str">
        <f>IFERROR(__xludf.DUMMYFUNCTION("""COMPUTED_VALUE"""),"Field")</f>
        <v>Field</v>
      </c>
    </row>
    <row r="137" ht="15.75" customHeight="1">
      <c r="A137" s="5" t="str">
        <f>IFERROR(__xludf.DUMMYFUNCTION("""COMPUTED_VALUE"""),"SCOPUS-000459")</f>
        <v>SCOPUS-000459</v>
      </c>
      <c r="B137" s="5" t="str">
        <f>IFERROR(__xludf.DUMMYFUNCTION("""COMPUTED_VALUE"""),"Classification")</f>
        <v>Classification</v>
      </c>
      <c r="C137" s="5" t="str">
        <f>IFERROR(__xludf.DUMMYFUNCTION("""COMPUTED_VALUE"""),"Cereal, Vegetable")</f>
        <v>Cereal, Vegetable</v>
      </c>
      <c r="D137" s="5" t="str">
        <f>IFERROR(__xludf.DUMMYFUNCTION("""COMPUTED_VALUE"""),"Field")</f>
        <v>Field</v>
      </c>
    </row>
    <row r="138" ht="15.75" customHeight="1">
      <c r="A138" s="5" t="str">
        <f>IFERROR(__xludf.DUMMYFUNCTION("""COMPUTED_VALUE"""),"SCOPUS-000471")</f>
        <v>SCOPUS-000471</v>
      </c>
      <c r="B138" s="5" t="str">
        <f>IFERROR(__xludf.DUMMYFUNCTION("""COMPUTED_VALUE"""),"Classification")</f>
        <v>Classification</v>
      </c>
      <c r="C138" s="5" t="str">
        <f>IFERROR(__xludf.DUMMYFUNCTION("""COMPUTED_VALUE"""),"None")</f>
        <v>None</v>
      </c>
      <c r="D138" s="5" t="str">
        <f>IFERROR(__xludf.DUMMYFUNCTION("""COMPUTED_VALUE"""),"Field")</f>
        <v>Field</v>
      </c>
    </row>
    <row r="139" ht="15.75" customHeight="1">
      <c r="A139" s="5" t="str">
        <f>IFERROR(__xludf.DUMMYFUNCTION("""COMPUTED_VALUE"""),"SCOPUS-000480")</f>
        <v>SCOPUS-000480</v>
      </c>
      <c r="B139" s="5" t="str">
        <f>IFERROR(__xludf.DUMMYFUNCTION("""COMPUTED_VALUE"""),"Classification")</f>
        <v>Classification</v>
      </c>
      <c r="C139" s="5" t="str">
        <f>IFERROR(__xludf.DUMMYFUNCTION("""COMPUTED_VALUE"""),"Soybean, Cotton, Tomato, Maize")</f>
        <v>Soybean, Cotton, Tomato, Maize</v>
      </c>
      <c r="D139" s="5" t="str">
        <f>IFERROR(__xludf.DUMMYFUNCTION("""COMPUTED_VALUE"""),"Field + UAV aerial")</f>
        <v>Field + UAV aerial</v>
      </c>
    </row>
    <row r="140" ht="15.75" customHeight="1">
      <c r="A140" s="5" t="str">
        <f>IFERROR(__xludf.DUMMYFUNCTION("""COMPUTED_VALUE"""),"SCOPUS-000492")</f>
        <v>SCOPUS-000492</v>
      </c>
      <c r="B140" s="5" t="str">
        <f>IFERROR(__xludf.DUMMYFUNCTION("""COMPUTED_VALUE"""),"Classification")</f>
        <v>Classification</v>
      </c>
      <c r="C140" s="5" t="str">
        <f>IFERROR(__xludf.DUMMYFUNCTION("""COMPUTED_VALUE"""),"Maize")</f>
        <v>Maize</v>
      </c>
      <c r="D140" s="5" t="str">
        <f>IFERROR(__xludf.DUMMYFUNCTION("""COMPUTED_VALUE"""),"Lab")</f>
        <v>Lab</v>
      </c>
    </row>
    <row r="141" ht="15.75" customHeight="1">
      <c r="A141" s="5" t="str">
        <f>IFERROR(__xludf.DUMMYFUNCTION("""COMPUTED_VALUE"""),"SCOPUS-000493")</f>
        <v>SCOPUS-000493</v>
      </c>
      <c r="B141" s="5" t="str">
        <f>IFERROR(__xludf.DUMMYFUNCTION("""COMPUTED_VALUE"""),"Classification")</f>
        <v>Classification</v>
      </c>
      <c r="C141" s="5" t="str">
        <f>IFERROR(__xludf.DUMMYFUNCTION("""COMPUTED_VALUE"""),"Wheat")</f>
        <v>Wheat</v>
      </c>
      <c r="D141" s="5" t="str">
        <f>IFERROR(__xludf.DUMMYFUNCTION("""COMPUTED_VALUE"""),"UAV aerial")</f>
        <v>UAV aerial</v>
      </c>
    </row>
    <row r="142" ht="15.75" customHeight="1">
      <c r="A142" s="5" t="str">
        <f>IFERROR(__xludf.DUMMYFUNCTION("""COMPUTED_VALUE"""),"SCOPUS-000505")</f>
        <v>SCOPUS-000505</v>
      </c>
      <c r="B142" s="5" t="str">
        <f>IFERROR(__xludf.DUMMYFUNCTION("""COMPUTED_VALUE"""),"Classification")</f>
        <v>Classification</v>
      </c>
      <c r="C142" s="5" t="str">
        <f>IFERROR(__xludf.DUMMYFUNCTION("""COMPUTED_VALUE"""),"Wheat")</f>
        <v>Wheat</v>
      </c>
      <c r="D142" s="5" t="str">
        <f>IFERROR(__xludf.DUMMYFUNCTION("""COMPUTED_VALUE"""),"UAV aerial")</f>
        <v>UAV aerial</v>
      </c>
    </row>
    <row r="143" ht="15.75" customHeight="1">
      <c r="A143" s="5" t="str">
        <f>IFERROR(__xludf.DUMMYFUNCTION("""COMPUTED_VALUE"""),"SCOPUS-000532")</f>
        <v>SCOPUS-000532</v>
      </c>
      <c r="B143" s="5" t="str">
        <f>IFERROR(__xludf.DUMMYFUNCTION("""COMPUTED_VALUE"""),"Detection")</f>
        <v>Detection</v>
      </c>
      <c r="C143" s="5" t="str">
        <f>IFERROR(__xludf.DUMMYFUNCTION("""COMPUTED_VALUE"""),"Sugar beet, Maize")</f>
        <v>Sugar beet, Maize</v>
      </c>
      <c r="D143" s="5" t="str">
        <f>IFERROR(__xludf.DUMMYFUNCTION("""COMPUTED_VALUE"""),"Field")</f>
        <v>Field</v>
      </c>
    </row>
    <row r="144" ht="15.75" customHeight="1">
      <c r="A144" s="5" t="str">
        <f>IFERROR(__xludf.DUMMYFUNCTION("""COMPUTED_VALUE"""),"SCOPUS-000542")</f>
        <v>SCOPUS-000542</v>
      </c>
      <c r="B144" s="5" t="str">
        <f>IFERROR(__xludf.DUMMYFUNCTION("""COMPUTED_VALUE"""),"Detection")</f>
        <v>Detection</v>
      </c>
      <c r="C144" s="5" t="str">
        <f>IFERROR(__xludf.DUMMYFUNCTION("""COMPUTED_VALUE"""),"Sugar beet")</f>
        <v>Sugar beet</v>
      </c>
      <c r="D144" s="5" t="str">
        <f>IFERROR(__xludf.DUMMYFUNCTION("""COMPUTED_VALUE"""),"Field")</f>
        <v>Field</v>
      </c>
    </row>
    <row r="145" ht="15.75" customHeight="1">
      <c r="A145" s="5" t="str">
        <f>IFERROR(__xludf.DUMMYFUNCTION("""COMPUTED_VALUE"""),"SCOPUS-000545")</f>
        <v>SCOPUS-000545</v>
      </c>
      <c r="B145" s="5" t="str">
        <f>IFERROR(__xludf.DUMMYFUNCTION("""COMPUTED_VALUE"""),"Segmentation")</f>
        <v>Segmentation</v>
      </c>
      <c r="C145" s="5" t="str">
        <f>IFERROR(__xludf.DUMMYFUNCTION("""COMPUTED_VALUE"""),"Soybean")</f>
        <v>Soybean</v>
      </c>
      <c r="D145" s="5" t="str">
        <f>IFERROR(__xludf.DUMMYFUNCTION("""COMPUTED_VALUE"""),"Field")</f>
        <v>Field</v>
      </c>
    </row>
    <row r="146" ht="15.75" customHeight="1">
      <c r="A146" s="5" t="str">
        <f>IFERROR(__xludf.DUMMYFUNCTION("""COMPUTED_VALUE"""),"SCOPUS-000552")</f>
        <v>SCOPUS-000552</v>
      </c>
      <c r="B146" s="5" t="str">
        <f>IFERROR(__xludf.DUMMYFUNCTION("""COMPUTED_VALUE"""),"Detection")</f>
        <v>Detection</v>
      </c>
      <c r="C146" s="5" t="str">
        <f>IFERROR(__xludf.DUMMYFUNCTION("""COMPUTED_VALUE"""),"Cotton, Peanut")</f>
        <v>Cotton, Peanut</v>
      </c>
      <c r="D146" s="5" t="str">
        <f>IFERROR(__xludf.DUMMYFUNCTION("""COMPUTED_VALUE"""),"Field")</f>
        <v>Field</v>
      </c>
    </row>
    <row r="147" ht="15.75" customHeight="1">
      <c r="A147" s="5" t="str">
        <f>IFERROR(__xludf.DUMMYFUNCTION("""COMPUTED_VALUE"""),"SCOPUS-000582")</f>
        <v>SCOPUS-000582</v>
      </c>
      <c r="B147" s="5" t="str">
        <f>IFERROR(__xludf.DUMMYFUNCTION("""COMPUTED_VALUE"""),"Classification")</f>
        <v>Classification</v>
      </c>
      <c r="C147" s="5" t="str">
        <f>IFERROR(__xludf.DUMMYFUNCTION("""COMPUTED_VALUE"""),"Soybean")</f>
        <v>Soybean</v>
      </c>
      <c r="D147" s="5" t="str">
        <f>IFERROR(__xludf.DUMMYFUNCTION("""COMPUTED_VALUE"""),"UAV aerial")</f>
        <v>UAV aerial</v>
      </c>
    </row>
    <row r="148" ht="15.75" customHeight="1">
      <c r="A148" s="5" t="str">
        <f>IFERROR(__xludf.DUMMYFUNCTION("""COMPUTED_VALUE"""),"SCOPUS-000600")</f>
        <v>SCOPUS-000600</v>
      </c>
      <c r="B148" s="5" t="str">
        <f>IFERROR(__xludf.DUMMYFUNCTION("""COMPUTED_VALUE"""),"Classification")</f>
        <v>Classification</v>
      </c>
      <c r="C148" s="5" t="str">
        <f>IFERROR(__xludf.DUMMYFUNCTION("""COMPUTED_VALUE"""),"Grapevine")</f>
        <v>Grapevine</v>
      </c>
      <c r="D148" s="5" t="str">
        <f>IFERROR(__xludf.DUMMYFUNCTION("""COMPUTED_VALUE"""),"Field")</f>
        <v>Field</v>
      </c>
    </row>
    <row r="149" ht="15.75" customHeight="1">
      <c r="A149" s="5" t="str">
        <f>IFERROR(__xludf.DUMMYFUNCTION("""COMPUTED_VALUE"""),"SCOPUS-000620")</f>
        <v>SCOPUS-000620</v>
      </c>
      <c r="B149" s="5" t="str">
        <f>IFERROR(__xludf.DUMMYFUNCTION("""COMPUTED_VALUE"""),"Classification")</f>
        <v>Classification</v>
      </c>
      <c r="C149" s="5" t="str">
        <f>IFERROR(__xludf.DUMMYFUNCTION("""COMPUTED_VALUE"""),"Tomato")</f>
        <v>Tomato</v>
      </c>
      <c r="D149" s="5" t="str">
        <f>IFERROR(__xludf.DUMMYFUNCTION("""COMPUTED_VALUE"""),"UAV aerial")</f>
        <v>UAV aerial</v>
      </c>
    </row>
    <row r="150" ht="15.75" customHeight="1">
      <c r="A150" s="5" t="str">
        <f>IFERROR(__xludf.DUMMYFUNCTION("""COMPUTED_VALUE"""),"SCOPUS-000623")</f>
        <v>SCOPUS-000623</v>
      </c>
      <c r="B150" s="5" t="str">
        <f>IFERROR(__xludf.DUMMYFUNCTION("""COMPUTED_VALUE"""),"Classification")</f>
        <v>Classification</v>
      </c>
      <c r="C150" s="5" t="str">
        <f>IFERROR(__xludf.DUMMYFUNCTION("""COMPUTED_VALUE"""),"Rice")</f>
        <v>Rice</v>
      </c>
      <c r="D150" s="5" t="str">
        <f>IFERROR(__xludf.DUMMYFUNCTION("""COMPUTED_VALUE"""),"Field")</f>
        <v>Field</v>
      </c>
    </row>
    <row r="151" ht="15.75" customHeight="1">
      <c r="A151" s="5" t="str">
        <f>IFERROR(__xludf.DUMMYFUNCTION("""COMPUTED_VALUE"""),"SCOPUS-000626")</f>
        <v>SCOPUS-000626</v>
      </c>
      <c r="B151" s="5" t="str">
        <f>IFERROR(__xludf.DUMMYFUNCTION("""COMPUTED_VALUE"""),"Classification")</f>
        <v>Classification</v>
      </c>
      <c r="C151" s="5" t="str">
        <f>IFERROR(__xludf.DUMMYFUNCTION("""COMPUTED_VALUE"""),"None")</f>
        <v>None</v>
      </c>
      <c r="D151" s="5" t="str">
        <f>IFERROR(__xludf.DUMMYFUNCTION("""COMPUTED_VALUE"""),"Field")</f>
        <v>Field</v>
      </c>
    </row>
    <row r="152" ht="15.75" customHeight="1">
      <c r="A152" s="5" t="str">
        <f>IFERROR(__xludf.DUMMYFUNCTION("""COMPUTED_VALUE"""),"SCOPUS-000628")</f>
        <v>SCOPUS-000628</v>
      </c>
      <c r="B152" s="5" t="str">
        <f>IFERROR(__xludf.DUMMYFUNCTION("""COMPUTED_VALUE"""),"Detection")</f>
        <v>Detection</v>
      </c>
      <c r="C152" s="5" t="str">
        <f>IFERROR(__xludf.DUMMYFUNCTION("""COMPUTED_VALUE"""),"None")</f>
        <v>None</v>
      </c>
      <c r="D152" s="5" t="str">
        <f>IFERROR(__xludf.DUMMYFUNCTION("""COMPUTED_VALUE"""),"Greenhouse + Field")</f>
        <v>Greenhouse + Field</v>
      </c>
    </row>
    <row r="153" ht="15.75" customHeight="1">
      <c r="A153" s="5" t="str">
        <f>IFERROR(__xludf.DUMMYFUNCTION("""COMPUTED_VALUE"""),"SCOPUS-000676")</f>
        <v>SCOPUS-000676</v>
      </c>
      <c r="B153" s="5" t="str">
        <f>IFERROR(__xludf.DUMMYFUNCTION("""COMPUTED_VALUE"""),"Classification")</f>
        <v>Classification</v>
      </c>
      <c r="C153" s="5" t="str">
        <f>IFERROR(__xludf.DUMMYFUNCTION("""COMPUTED_VALUE"""),"None")</f>
        <v>None</v>
      </c>
      <c r="D153" s="5" t="str">
        <f>IFERROR(__xludf.DUMMYFUNCTION("""COMPUTED_VALUE"""),"Field")</f>
        <v>Field</v>
      </c>
    </row>
    <row r="154" ht="15.75" customHeight="1">
      <c r="A154" s="5" t="str">
        <f>IFERROR(__xludf.DUMMYFUNCTION("""COMPUTED_VALUE"""),"SCOPUS-000753")</f>
        <v>SCOPUS-000753</v>
      </c>
      <c r="B154" s="5" t="str">
        <f>IFERROR(__xludf.DUMMYFUNCTION("""COMPUTED_VALUE"""),"Segmentation")</f>
        <v>Segmentation</v>
      </c>
      <c r="C154" s="5" t="str">
        <f>IFERROR(__xludf.DUMMYFUNCTION("""COMPUTED_VALUE"""),"Canola")</f>
        <v>Canola</v>
      </c>
      <c r="D154" s="5" t="str">
        <f>IFERROR(__xludf.DUMMYFUNCTION("""COMPUTED_VALUE"""),"Field")</f>
        <v>Field</v>
      </c>
    </row>
    <row r="155" ht="15.75" customHeight="1">
      <c r="A155" s="5" t="str">
        <f>IFERROR(__xludf.DUMMYFUNCTION("""COMPUTED_VALUE"""),"WEBSCI-000421")</f>
        <v>WEBSCI-000421</v>
      </c>
      <c r="B155" s="5" t="str">
        <f>IFERROR(__xludf.DUMMYFUNCTION("""COMPUTED_VALUE"""),"Classification")</f>
        <v>Classification</v>
      </c>
      <c r="C155" s="5" t="str">
        <f>IFERROR(__xludf.DUMMYFUNCTION("""COMPUTED_VALUE"""),"Soybean")</f>
        <v>Soybean</v>
      </c>
      <c r="D155" s="5" t="str">
        <f>IFERROR(__xludf.DUMMYFUNCTION("""COMPUTED_VALUE"""),"Field")</f>
        <v>Field</v>
      </c>
    </row>
    <row r="156" ht="15.75" customHeight="1">
      <c r="A156" s="5" t="str">
        <f>IFERROR(__xludf.DUMMYFUNCTION("""COMPUTED_VALUE"""),"WEBSCI-000559")</f>
        <v>WEBSCI-000559</v>
      </c>
      <c r="B156" s="5" t="str">
        <f>IFERROR(__xludf.DUMMYFUNCTION("""COMPUTED_VALUE"""),"Classification")</f>
        <v>Classification</v>
      </c>
      <c r="C156" s="5" t="str">
        <f>IFERROR(__xludf.DUMMYFUNCTION("""COMPUTED_VALUE"""),"Maize")</f>
        <v>Maize</v>
      </c>
      <c r="D156" s="5" t="str">
        <f>IFERROR(__xludf.DUMMYFUNCTION("""COMPUTED_VALUE"""),"Field")</f>
        <v>Field</v>
      </c>
    </row>
  </sheetData>
  <conditionalFormatting sqref="A3:D156">
    <cfRule type="expression" dxfId="0" priority="1" stopIfTrue="1">
      <formula>ISEVEN(ROW())</formula>
    </cfRule>
  </conditionalFormatting>
  <conditionalFormatting sqref="A3:D156">
    <cfRule type="expression" dxfId="1" priority="2" stopIfTrue="1">
      <formula>ISODD(ROW())</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5"/>
    <col customWidth="1" min="2" max="2" width="45.13"/>
    <col customWidth="1" min="3" max="3" width="15.13"/>
    <col customWidth="1" min="4" max="4" width="13.88"/>
    <col customWidth="1" min="5" max="5" width="17.0"/>
  </cols>
  <sheetData>
    <row r="1" ht="22.5" customHeight="1">
      <c r="A1" s="3" t="str">
        <f>IFERROR(__xludf.DUMMYFUNCTION("VSTACK(IMPORTRANGE(""https://docs.google.com/spreadsheets/d/1IG-NLlNbWxgmur-Ok920jusl5qwxm6_N-HtBuRIcbS0/edit"",""'4-Dataset Characteristics'!A1:E96""),QUERY(IMPORTRANGE(""https://docs.google.com/spreadsheets/d/1o-YvsM1EXkN6ZzOgu4zM9Uz7mmya31G7zJCOonMGAME"&amp;"/edit"",""'4-Dataset Characteristics'!A1:E62""),""select * offset 2"",0))"),"Dataset Characteristics")</f>
        <v>Dataset Characteristics</v>
      </c>
      <c r="B1" s="3"/>
      <c r="C1" s="3"/>
      <c r="D1" s="3"/>
      <c r="E1" s="3"/>
    </row>
    <row r="2" ht="19.5" customHeight="1">
      <c r="A2" s="3" t="str">
        <f>IFERROR(__xludf.DUMMYFUNCTION("""COMPUTED_VALUE"""),"Study ID")</f>
        <v>Study ID</v>
      </c>
      <c r="B2" s="3" t="str">
        <f>IFERROR(__xludf.DUMMYFUNCTION("""COMPUTED_VALUE"""),"Dataset")</f>
        <v>Dataset</v>
      </c>
      <c r="C2" s="3" t="str">
        <f>IFERROR(__xludf.DUMMYFUNCTION("""COMPUTED_VALUE"""),"Dataset Availability")</f>
        <v>Dataset Availability</v>
      </c>
      <c r="D2" s="3" t="str">
        <f>IFERROR(__xludf.DUMMYFUNCTION("""COMPUTED_VALUE"""),"Dataset Size")</f>
        <v>Dataset Size</v>
      </c>
      <c r="E2" s="3" t="str">
        <f>IFERROR(__xludf.DUMMYFUNCTION("""COMPUTED_VALUE"""),"Country")</f>
        <v>Country</v>
      </c>
    </row>
    <row r="3" ht="15.75" customHeight="1">
      <c r="A3" s="5" t="str">
        <f>IFERROR(__xludf.DUMMYFUNCTION("""COMPUTED_VALUE"""),"SCOPUS-000349")</f>
        <v>SCOPUS-000349</v>
      </c>
      <c r="B3" s="6"/>
      <c r="C3" s="5" t="str">
        <f>IFERROR(__xludf.DUMMYFUNCTION("""COMPUTED_VALUE"""),"Public")</f>
        <v>Public</v>
      </c>
      <c r="D3" s="5">
        <f>IFERROR(__xludf.DUMMYFUNCTION("""COMPUTED_VALUE"""),20000.0)</f>
        <v>20000</v>
      </c>
      <c r="E3" s="5"/>
    </row>
    <row r="4" ht="15.75" customHeight="1">
      <c r="A4" s="5" t="str">
        <f>IFERROR(__xludf.DUMMYFUNCTION("""COMPUTED_VALUE"""),"SCOPUS-000473")</f>
        <v>SCOPUS-000473</v>
      </c>
      <c r="B4" s="6" t="str">
        <f>IFERROR(__xludf.DUMMYFUNCTION("""COMPUTED_VALUE"""),"DeepWeeds, 4-Weeds dataset, and CIFAR-10")</f>
        <v>DeepWeeds, 4-Weeds dataset, and CIFAR-10</v>
      </c>
      <c r="C4" s="5" t="str">
        <f>IFERROR(__xludf.DUMMYFUNCTION("""COMPUTED_VALUE"""),"Public")</f>
        <v>Public</v>
      </c>
      <c r="D4" s="5">
        <f>IFERROR(__xludf.DUMMYFUNCTION("""COMPUTED_VALUE"""),17509.0)</f>
        <v>17509</v>
      </c>
      <c r="E4" s="5" t="str">
        <f>IFERROR(__xludf.DUMMYFUNCTION("""COMPUTED_VALUE"""),"Australia")</f>
        <v>Australia</v>
      </c>
    </row>
    <row r="5" ht="15.75" customHeight="1">
      <c r="A5" s="5" t="str">
        <f>IFERROR(__xludf.DUMMYFUNCTION("""COMPUTED_VALUE"""),"SCOPUS-000722")</f>
        <v>SCOPUS-000722</v>
      </c>
      <c r="B5" s="6" t="str">
        <f>IFERROR(__xludf.DUMMYFUNCTION("""COMPUTED_VALUE"""),"Canola field image dataset")</f>
        <v>Canola field image dataset</v>
      </c>
      <c r="C5" s="5" t="str">
        <f>IFERROR(__xludf.DUMMYFUNCTION("""COMPUTED_VALUE"""),"Private")</f>
        <v>Private</v>
      </c>
      <c r="D5" s="5">
        <f>IFERROR(__xludf.DUMMYFUNCTION("""COMPUTED_VALUE"""),384.0)</f>
        <v>384</v>
      </c>
      <c r="E5" s="5" t="str">
        <f>IFERROR(__xludf.DUMMYFUNCTION("""COMPUTED_VALUE"""),"Canada")</f>
        <v>Canada</v>
      </c>
    </row>
    <row r="6" ht="15.75" customHeight="1">
      <c r="A6" s="5" t="str">
        <f>IFERROR(__xludf.DUMMYFUNCTION("""COMPUTED_VALUE"""),"SCOPUS-000153")</f>
        <v>SCOPUS-000153</v>
      </c>
      <c r="B6" s="6" t="str">
        <f>IFERROR(__xludf.DUMMYFUNCTION("""COMPUTED_VALUE"""),"Pigeon Pea dataset")</f>
        <v>Pigeon Pea dataset</v>
      </c>
      <c r="C6" s="5"/>
      <c r="D6" s="5">
        <f>IFERROR(__xludf.DUMMYFUNCTION("""COMPUTED_VALUE"""),1727.0)</f>
        <v>1727</v>
      </c>
      <c r="E6" s="5" t="str">
        <f>IFERROR(__xludf.DUMMYFUNCTION("""COMPUTED_VALUE"""),"India")</f>
        <v>India</v>
      </c>
    </row>
    <row r="7" ht="15.75" customHeight="1">
      <c r="A7" s="5" t="str">
        <f>IFERROR(__xludf.DUMMYFUNCTION("""COMPUTED_VALUE"""),"SCOPUS-000522")</f>
        <v>SCOPUS-000522</v>
      </c>
      <c r="B7" s="6"/>
      <c r="C7" s="5" t="str">
        <f>IFERROR(__xludf.DUMMYFUNCTION("""COMPUTED_VALUE"""),"Private")</f>
        <v>Private</v>
      </c>
      <c r="D7" s="5">
        <f>IFERROR(__xludf.DUMMYFUNCTION("""COMPUTED_VALUE"""),1713.0)</f>
        <v>1713</v>
      </c>
      <c r="E7" s="5" t="str">
        <f>IFERROR(__xludf.DUMMYFUNCTION("""COMPUTED_VALUE"""),"Spain")</f>
        <v>Spain</v>
      </c>
    </row>
    <row r="8" ht="15.75" customHeight="1">
      <c r="A8" s="5" t="str">
        <f>IFERROR(__xludf.DUMMYFUNCTION("""COMPUTED_VALUE"""),"SCOPUS-000487")</f>
        <v>SCOPUS-000487</v>
      </c>
      <c r="B8" s="6" t="str">
        <f>IFERROR(__xludf.DUMMYFUNCTION("""COMPUTED_VALUE"""),"Bonn dataset")</f>
        <v>Bonn dataset</v>
      </c>
      <c r="C8" s="5" t="str">
        <f>IFERROR(__xludf.DUMMYFUNCTION("""COMPUTED_VALUE"""),"Public")</f>
        <v>Public</v>
      </c>
      <c r="D8" s="5">
        <f>IFERROR(__xludf.DUMMYFUNCTION("""COMPUTED_VALUE"""),2100.0)</f>
        <v>2100</v>
      </c>
      <c r="E8" s="5" t="str">
        <f>IFERROR(__xludf.DUMMYFUNCTION("""COMPUTED_VALUE"""),"Germany")</f>
        <v>Germany</v>
      </c>
    </row>
    <row r="9" ht="15.75" customHeight="1">
      <c r="A9" s="5" t="str">
        <f>IFERROR(__xludf.DUMMYFUNCTION("""COMPUTED_VALUE"""),"SCOPUS-000328")</f>
        <v>SCOPUS-000328</v>
      </c>
      <c r="B9" s="6" t="str">
        <f>IFERROR(__xludf.DUMMYFUNCTION("""COMPUTED_VALUE"""),"BoniRob, CWFID, and Rice seedling datasets")</f>
        <v>BoniRob, CWFID, and Rice seedling datasets</v>
      </c>
      <c r="C9" s="5"/>
      <c r="D9" s="5">
        <f>IFERROR(__xludf.DUMMYFUNCTION("""COMPUTED_VALUE"""),776.0)</f>
        <v>776</v>
      </c>
      <c r="E9" s="5"/>
    </row>
    <row r="10" ht="15.75" customHeight="1">
      <c r="A10" s="5" t="str">
        <f>IFERROR(__xludf.DUMMYFUNCTION("""COMPUTED_VALUE"""),"SCOPUS-000256")</f>
        <v>SCOPUS-000256</v>
      </c>
      <c r="B10" s="6" t="str">
        <f>IFERROR(__xludf.DUMMYFUNCTION("""COMPUTED_VALUE"""),"Dictamnus dasycarpus Weed Dataset")</f>
        <v>Dictamnus dasycarpus Weed Dataset</v>
      </c>
      <c r="C10" s="5" t="str">
        <f>IFERROR(__xludf.DUMMYFUNCTION("""COMPUTED_VALUE"""),"On Request")</f>
        <v>On Request</v>
      </c>
      <c r="D10" s="5">
        <f>IFERROR(__xludf.DUMMYFUNCTION("""COMPUTED_VALUE"""),3048.0)</f>
        <v>3048</v>
      </c>
      <c r="E10" s="5" t="str">
        <f>IFERROR(__xludf.DUMMYFUNCTION("""COMPUTED_VALUE"""),"China")</f>
        <v>China</v>
      </c>
    </row>
    <row r="11" ht="15.75" customHeight="1">
      <c r="A11" s="5" t="str">
        <f>IFERROR(__xludf.DUMMYFUNCTION("""COMPUTED_VALUE"""),"SCOPUS-000234")</f>
        <v>SCOPUS-000234</v>
      </c>
      <c r="B11" s="6" t="str">
        <f>IFERROR(__xludf.DUMMYFUNCTION("""COMPUTED_VALUE"""),"Wheat Weed Dataset")</f>
        <v>Wheat Weed Dataset</v>
      </c>
      <c r="C11" s="5" t="str">
        <f>IFERROR(__xludf.DUMMYFUNCTION("""COMPUTED_VALUE"""),"Private")</f>
        <v>Private</v>
      </c>
      <c r="D11" s="5">
        <f>IFERROR(__xludf.DUMMYFUNCTION("""COMPUTED_VALUE"""),4536.0)</f>
        <v>4536</v>
      </c>
      <c r="E11" s="5" t="str">
        <f>IFERROR(__xludf.DUMMYFUNCTION("""COMPUTED_VALUE"""),"China")</f>
        <v>China</v>
      </c>
    </row>
    <row r="12" ht="15.75" customHeight="1">
      <c r="A12" s="5" t="str">
        <f>IFERROR(__xludf.DUMMYFUNCTION("""COMPUTED_VALUE"""),"SCOPUS-000220")</f>
        <v>SCOPUS-000220</v>
      </c>
      <c r="B12" s="6" t="str">
        <f>IFERROR(__xludf.DUMMYFUNCTION("""COMPUTED_VALUE"""),"Soybean weed dataset")</f>
        <v>Soybean weed dataset</v>
      </c>
      <c r="C12" s="5" t="str">
        <f>IFERROR(__xludf.DUMMYFUNCTION("""COMPUTED_VALUE"""),"Public")</f>
        <v>Public</v>
      </c>
      <c r="D12" s="5">
        <f>IFERROR(__xludf.DUMMYFUNCTION("""COMPUTED_VALUE"""),1095.0)</f>
        <v>1095</v>
      </c>
      <c r="E12" s="5" t="str">
        <f>IFERROR(__xludf.DUMMYFUNCTION("""COMPUTED_VALUE"""),"China")</f>
        <v>China</v>
      </c>
    </row>
    <row r="13" ht="15.75" customHeight="1">
      <c r="A13" s="5" t="str">
        <f>IFERROR(__xludf.DUMMYFUNCTION("""COMPUTED_VALUE"""),"SCOPUS-000211")</f>
        <v>SCOPUS-000211</v>
      </c>
      <c r="B13" s="6" t="str">
        <f>IFERROR(__xludf.DUMMYFUNCTION("""COMPUTED_VALUE"""),"National Precision Agriculture Research and Demonstration Base dataset")</f>
        <v>National Precision Agriculture Research and Demonstration Base dataset</v>
      </c>
      <c r="C13" s="5" t="str">
        <f>IFERROR(__xludf.DUMMYFUNCTION("""COMPUTED_VALUE"""),"On Request")</f>
        <v>On Request</v>
      </c>
      <c r="D13" s="5">
        <f>IFERROR(__xludf.DUMMYFUNCTION("""COMPUTED_VALUE"""),1982.0)</f>
        <v>1982</v>
      </c>
      <c r="E13" s="5" t="str">
        <f>IFERROR(__xludf.DUMMYFUNCTION("""COMPUTED_VALUE"""),"China")</f>
        <v>China</v>
      </c>
    </row>
    <row r="14" ht="15.75" customHeight="1">
      <c r="A14" s="5" t="str">
        <f>IFERROR(__xludf.DUMMYFUNCTION("""COMPUTED_VALUE"""),"SCOPUS-000195")</f>
        <v>SCOPUS-000195</v>
      </c>
      <c r="B14" s="6" t="str">
        <f>IFERROR(__xludf.DUMMYFUNCTION("""COMPUTED_VALUE"""),"Saffron weed dataset")</f>
        <v>Saffron weed dataset</v>
      </c>
      <c r="C14" s="5" t="str">
        <f>IFERROR(__xludf.DUMMYFUNCTION("""COMPUTED_VALUE"""),"On Request")</f>
        <v>On Request</v>
      </c>
      <c r="D14" s="5">
        <f>IFERROR(__xludf.DUMMYFUNCTION("""COMPUTED_VALUE"""),504.0)</f>
        <v>504</v>
      </c>
      <c r="E14" s="5" t="str">
        <f>IFERROR(__xludf.DUMMYFUNCTION("""COMPUTED_VALUE"""),"Iran")</f>
        <v>Iran</v>
      </c>
    </row>
    <row r="15" ht="15.75" customHeight="1">
      <c r="A15" s="5" t="str">
        <f>IFERROR(__xludf.DUMMYFUNCTION("""COMPUTED_VALUE"""),"SCOPUS-000139")</f>
        <v>SCOPUS-000139</v>
      </c>
      <c r="B15" s="6" t="str">
        <f>IFERROR(__xludf.DUMMYFUNCTION("""COMPUTED_VALUE"""),"Sugar beet dataset")</f>
        <v>Sugar beet dataset</v>
      </c>
      <c r="C15" s="5" t="str">
        <f>IFERROR(__xludf.DUMMYFUNCTION("""COMPUTED_VALUE"""),"Public")</f>
        <v>Public</v>
      </c>
      <c r="D15" s="5">
        <f>IFERROR(__xludf.DUMMYFUNCTION("""COMPUTED_VALUE"""),2074.0)</f>
        <v>2074</v>
      </c>
      <c r="E15" s="5" t="str">
        <f>IFERROR(__xludf.DUMMYFUNCTION("""COMPUTED_VALUE"""),"Germany")</f>
        <v>Germany</v>
      </c>
    </row>
    <row r="16" ht="15.75" customHeight="1">
      <c r="A16" s="5" t="str">
        <f>IFERROR(__xludf.DUMMYFUNCTION("""COMPUTED_VALUE"""),"SCOPUS-000045")</f>
        <v>SCOPUS-000045</v>
      </c>
      <c r="B16" s="6" t="str">
        <f>IFERROR(__xludf.DUMMYFUNCTION("""COMPUTED_VALUE"""),"Bonn sugar beet dataset")</f>
        <v>Bonn sugar beet dataset</v>
      </c>
      <c r="C16" s="5" t="str">
        <f>IFERROR(__xludf.DUMMYFUNCTION("""COMPUTED_VALUE"""),"Public")</f>
        <v>Public</v>
      </c>
      <c r="D16" s="5">
        <f>IFERROR(__xludf.DUMMYFUNCTION("""COMPUTED_VALUE"""),1600.0)</f>
        <v>1600</v>
      </c>
      <c r="E16" s="5" t="str">
        <f>IFERROR(__xludf.DUMMYFUNCTION("""COMPUTED_VALUE"""),"Germany")</f>
        <v>Germany</v>
      </c>
    </row>
    <row r="17" ht="15.75" customHeight="1">
      <c r="A17" s="5" t="str">
        <f>IFERROR(__xludf.DUMMYFUNCTION("""COMPUTED_VALUE"""),"SCOPUS-000031")</f>
        <v>SCOPUS-000031</v>
      </c>
      <c r="B17" s="6" t="str">
        <f>IFERROR(__xludf.DUMMYFUNCTION("""COMPUTED_VALUE"""),"CropAndWeed Dataset and SB20 Dataset")</f>
        <v>CropAndWeed Dataset and SB20 Dataset</v>
      </c>
      <c r="C17" s="5" t="str">
        <f>IFERROR(__xludf.DUMMYFUNCTION("""COMPUTED_VALUE"""),"Public")</f>
        <v>Public</v>
      </c>
      <c r="D17" s="5">
        <f>IFERROR(__xludf.DUMMYFUNCTION("""COMPUTED_VALUE"""),7795.0)</f>
        <v>7795</v>
      </c>
      <c r="E17" s="5" t="str">
        <f>IFERROR(__xludf.DUMMYFUNCTION("""COMPUTED_VALUE"""),"Germany")</f>
        <v>Germany</v>
      </c>
    </row>
    <row r="18" ht="15.75" customHeight="1">
      <c r="A18" s="5" t="str">
        <f>IFERROR(__xludf.DUMMYFUNCTION("""COMPUTED_VALUE"""),"SCOPUS-000014")</f>
        <v>SCOPUS-000014</v>
      </c>
      <c r="B18" s="6" t="str">
        <f>IFERROR(__xludf.DUMMYFUNCTION("""COMPUTED_VALUE"""),"CropAndWeed Dataset")</f>
        <v>CropAndWeed Dataset</v>
      </c>
      <c r="C18" s="5" t="str">
        <f>IFERROR(__xludf.DUMMYFUNCTION("""COMPUTED_VALUE"""),"Public")</f>
        <v>Public</v>
      </c>
      <c r="D18" s="5">
        <f>IFERROR(__xludf.DUMMYFUNCTION("""COMPUTED_VALUE"""),7705.0)</f>
        <v>7705</v>
      </c>
      <c r="E18" s="5" t="str">
        <f>IFERROR(__xludf.DUMMYFUNCTION("""COMPUTED_VALUE"""),"Austria")</f>
        <v>Austria</v>
      </c>
    </row>
    <row r="19" ht="15.75" customHeight="1">
      <c r="A19" s="5" t="str">
        <f>IFERROR(__xludf.DUMMYFUNCTION("""COMPUTED_VALUE"""),"SCOPUS-000544")</f>
        <v>SCOPUS-000544</v>
      </c>
      <c r="B19" s="6" t="str">
        <f>IFERROR(__xludf.DUMMYFUNCTION("""COMPUTED_VALUE"""),"Maize weed dataset")</f>
        <v>Maize weed dataset</v>
      </c>
      <c r="C19" s="5" t="str">
        <f>IFERROR(__xludf.DUMMYFUNCTION("""COMPUTED_VALUE"""),"Private")</f>
        <v>Private</v>
      </c>
      <c r="D19" s="5">
        <f>IFERROR(__xludf.DUMMYFUNCTION("""COMPUTED_VALUE"""),5856.0)</f>
        <v>5856</v>
      </c>
      <c r="E19" s="5" t="str">
        <f>IFERROR(__xludf.DUMMYFUNCTION("""COMPUTED_VALUE"""),"China")</f>
        <v>China</v>
      </c>
    </row>
    <row r="20" ht="15.75" customHeight="1">
      <c r="A20" s="5" t="str">
        <f>IFERROR(__xludf.DUMMYFUNCTION("""COMPUTED_VALUE"""),"SCOPUS-000151")</f>
        <v>SCOPUS-000151</v>
      </c>
      <c r="B20" s="6"/>
      <c r="C20" s="5" t="str">
        <f>IFERROR(__xludf.DUMMYFUNCTION("""COMPUTED_VALUE"""),"On Request")</f>
        <v>On Request</v>
      </c>
      <c r="D20" s="5">
        <f>IFERROR(__xludf.DUMMYFUNCTION("""COMPUTED_VALUE"""),8000.0)</f>
        <v>8000</v>
      </c>
      <c r="E20" s="5" t="str">
        <f>IFERROR(__xludf.DUMMYFUNCTION("""COMPUTED_VALUE"""),"China")</f>
        <v>China</v>
      </c>
    </row>
    <row r="21" ht="15.75" customHeight="1">
      <c r="A21" s="5" t="str">
        <f>IFERROR(__xludf.DUMMYFUNCTION("""COMPUTED_VALUE"""),"SCOPUS-000592")</f>
        <v>SCOPUS-000592</v>
      </c>
      <c r="B21" s="6"/>
      <c r="C21" s="5" t="str">
        <f>IFERROR(__xludf.DUMMYFUNCTION("""COMPUTED_VALUE"""),"On Request")</f>
        <v>On Request</v>
      </c>
      <c r="D21" s="5">
        <f>IFERROR(__xludf.DUMMYFUNCTION("""COMPUTED_VALUE"""),300.0)</f>
        <v>300</v>
      </c>
      <c r="E21" s="5" t="str">
        <f>IFERROR(__xludf.DUMMYFUNCTION("""COMPUTED_VALUE"""),"China")</f>
        <v>China</v>
      </c>
    </row>
    <row r="22" ht="15.75" customHeight="1">
      <c r="A22" s="5" t="str">
        <f>IFERROR(__xludf.DUMMYFUNCTION("""COMPUTED_VALUE"""),"SCOPUS-000629")</f>
        <v>SCOPUS-000629</v>
      </c>
      <c r="B22" s="6"/>
      <c r="C22" s="5" t="str">
        <f>IFERROR(__xludf.DUMMYFUNCTION("""COMPUTED_VALUE"""),"On Request")</f>
        <v>On Request</v>
      </c>
      <c r="D22" s="5">
        <f>IFERROR(__xludf.DUMMYFUNCTION("""COMPUTED_VALUE"""),884.0)</f>
        <v>884</v>
      </c>
      <c r="E22" s="5" t="str">
        <f>IFERROR(__xludf.DUMMYFUNCTION("""COMPUTED_VALUE"""),"Spain")</f>
        <v>Spain</v>
      </c>
    </row>
    <row r="23" ht="15.75" customHeight="1">
      <c r="A23" s="5" t="str">
        <f>IFERROR(__xludf.DUMMYFUNCTION("""COMPUTED_VALUE"""),"SCOPUS-000475")</f>
        <v>SCOPUS-000475</v>
      </c>
      <c r="B23" s="6" t="str">
        <f>IFERROR(__xludf.DUMMYFUNCTION("""COMPUTED_VALUE"""),"Sugarbeets2016 and Flourish Sapienza Datasets")</f>
        <v>Sugarbeets2016 and Flourish Sapienza Datasets</v>
      </c>
      <c r="C23" s="5" t="str">
        <f>IFERROR(__xludf.DUMMYFUNCTION("""COMPUTED_VALUE"""),"Public")</f>
        <v>Public</v>
      </c>
      <c r="D23" s="5">
        <f>IFERROR(__xludf.DUMMYFUNCTION("""COMPUTED_VALUE"""),465.0)</f>
        <v>465</v>
      </c>
      <c r="E23" s="5" t="str">
        <f>IFERROR(__xludf.DUMMYFUNCTION("""COMPUTED_VALUE"""),"Germany, Italy")</f>
        <v>Germany, Italy</v>
      </c>
    </row>
    <row r="24" ht="15.75" customHeight="1">
      <c r="A24" s="5" t="str">
        <f>IFERROR(__xludf.DUMMYFUNCTION("""COMPUTED_VALUE"""),"SCOPUS-000399")</f>
        <v>SCOPUS-000399</v>
      </c>
      <c r="B24" s="6" t="str">
        <f>IFERROR(__xludf.DUMMYFUNCTION("""COMPUTED_VALUE"""),"sPSD and ISAS (Institute for Sustainable Agro-ecosystem Services) dataset")</f>
        <v>sPSD and ISAS (Institute for Sustainable Agro-ecosystem Services) dataset</v>
      </c>
      <c r="C24" s="5" t="str">
        <f>IFERROR(__xludf.DUMMYFUNCTION("""COMPUTED_VALUE"""),"Public")</f>
        <v>Public</v>
      </c>
      <c r="D24" s="5">
        <f>IFERROR(__xludf.DUMMYFUNCTION("""COMPUTED_VALUE"""),6094.0)</f>
        <v>6094</v>
      </c>
      <c r="E24" s="5" t="str">
        <f>IFERROR(__xludf.DUMMYFUNCTION("""COMPUTED_VALUE"""),"Denmark, Japan")</f>
        <v>Denmark, Japan</v>
      </c>
    </row>
    <row r="25" ht="15.75" customHeight="1">
      <c r="A25" s="5" t="str">
        <f>IFERROR(__xludf.DUMMYFUNCTION("""COMPUTED_VALUE"""),"SCOPUS-000323")</f>
        <v>SCOPUS-000323</v>
      </c>
      <c r="B25" s="6" t="str">
        <f>IFERROR(__xludf.DUMMYFUNCTION("""COMPUTED_VALUE"""),"SorghumWeedDataset_Classification")</f>
        <v>SorghumWeedDataset_Classification</v>
      </c>
      <c r="C25" s="5" t="str">
        <f>IFERROR(__xludf.DUMMYFUNCTION("""COMPUTED_VALUE"""),"Public")</f>
        <v>Public</v>
      </c>
      <c r="D25" s="5">
        <f>IFERROR(__xludf.DUMMYFUNCTION("""COMPUTED_VALUE"""),4312.0)</f>
        <v>4312</v>
      </c>
      <c r="E25" s="5"/>
    </row>
    <row r="26" ht="15.75" customHeight="1">
      <c r="A26" s="5" t="str">
        <f>IFERROR(__xludf.DUMMYFUNCTION("""COMPUTED_VALUE"""),"SCOPUS-000295")</f>
        <v>SCOPUS-000295</v>
      </c>
      <c r="B26" s="6"/>
      <c r="C26" s="5" t="str">
        <f>IFERROR(__xludf.DUMMYFUNCTION("""COMPUTED_VALUE"""),"Private")</f>
        <v>Private</v>
      </c>
      <c r="D26" s="5">
        <f>IFERROR(__xludf.DUMMYFUNCTION("""COMPUTED_VALUE"""),1500.0)</f>
        <v>1500</v>
      </c>
      <c r="E26" s="5" t="str">
        <f>IFERROR(__xludf.DUMMYFUNCTION("""COMPUTED_VALUE"""),"China")</f>
        <v>China</v>
      </c>
    </row>
    <row r="27" ht="15.75" customHeight="1">
      <c r="A27" s="5" t="str">
        <f>IFERROR(__xludf.DUMMYFUNCTION("""COMPUTED_VALUE"""),"SCOPUS-000611")</f>
        <v>SCOPUS-000611</v>
      </c>
      <c r="B27" s="6" t="str">
        <f>IFERROR(__xludf.DUMMYFUNCTION("""COMPUTED_VALUE"""),"Combined dataset")</f>
        <v>Combined dataset</v>
      </c>
      <c r="C27" s="5" t="str">
        <f>IFERROR(__xludf.DUMMYFUNCTION("""COMPUTED_VALUE"""),"Public")</f>
        <v>Public</v>
      </c>
      <c r="D27" s="5">
        <f>IFERROR(__xludf.DUMMYFUNCTION("""COMPUTED_VALUE"""),13177.0)</f>
        <v>13177</v>
      </c>
      <c r="E27" s="5" t="str">
        <f>IFERROR(__xludf.DUMMYFUNCTION("""COMPUTED_VALUE"""),"China")</f>
        <v>China</v>
      </c>
    </row>
    <row r="28" ht="15.75" customHeight="1">
      <c r="A28" s="5" t="str">
        <f>IFERROR(__xludf.DUMMYFUNCTION("""COMPUTED_VALUE"""),"SCOPUS-000738")</f>
        <v>SCOPUS-000738</v>
      </c>
      <c r="B28" s="6" t="str">
        <f>IFERROR(__xludf.DUMMYFUNCTION("""COMPUTED_VALUE"""),"Agrocam, Red Edge, and Parrot Sequoia datasets")</f>
        <v>Agrocam, Red Edge, and Parrot Sequoia datasets</v>
      </c>
      <c r="C28" s="5" t="str">
        <f>IFERROR(__xludf.DUMMYFUNCTION("""COMPUTED_VALUE"""),"Public")</f>
        <v>Public</v>
      </c>
      <c r="D28" s="5">
        <f>IFERROR(__xludf.DUMMYFUNCTION("""COMPUTED_VALUE"""),679.0)</f>
        <v>679</v>
      </c>
      <c r="E28" s="5" t="str">
        <f>IFERROR(__xludf.DUMMYFUNCTION("""COMPUTED_VALUE"""),"Pakistan, Switzerland, Germany")</f>
        <v>Pakistan, Switzerland, Germany</v>
      </c>
    </row>
    <row r="29" ht="15.75" customHeight="1">
      <c r="A29" s="5" t="str">
        <f>IFERROR(__xludf.DUMMYFUNCTION("""COMPUTED_VALUE"""),"SCOPUS-000114")</f>
        <v>SCOPUS-000114</v>
      </c>
      <c r="B29" s="6" t="str">
        <f>IFERROR(__xludf.DUMMYFUNCTION("""COMPUTED_VALUE"""),"Custom image dataset")</f>
        <v>Custom image dataset</v>
      </c>
      <c r="C29" s="5" t="str">
        <f>IFERROR(__xludf.DUMMYFUNCTION("""COMPUTED_VALUE"""),"Public")</f>
        <v>Public</v>
      </c>
      <c r="D29" s="5">
        <f>IFERROR(__xludf.DUMMYFUNCTION("""COMPUTED_VALUE"""),11500.0)</f>
        <v>11500</v>
      </c>
      <c r="E29" s="5"/>
    </row>
    <row r="30" ht="15.75" customHeight="1">
      <c r="A30" s="5" t="str">
        <f>IFERROR(__xludf.DUMMYFUNCTION("""COMPUTED_VALUE"""),"SCOPUS-000366")</f>
        <v>SCOPUS-000366</v>
      </c>
      <c r="B30" s="6" t="str">
        <f>IFERROR(__xludf.DUMMYFUNCTION("""COMPUTED_VALUE"""),"Kaggle Potato Weed Plants Classification")</f>
        <v>Kaggle Potato Weed Plants Classification</v>
      </c>
      <c r="C30" s="5" t="str">
        <f>IFERROR(__xludf.DUMMYFUNCTION("""COMPUTED_VALUE"""),"Public")</f>
        <v>Public</v>
      </c>
      <c r="D30" s="5">
        <f>IFERROR(__xludf.DUMMYFUNCTION("""COMPUTED_VALUE"""),411.0)</f>
        <v>411</v>
      </c>
      <c r="E30" s="5"/>
    </row>
    <row r="31" ht="15.75" customHeight="1">
      <c r="A31" s="5" t="str">
        <f>IFERROR(__xludf.DUMMYFUNCTION("""COMPUTED_VALUE"""),"SCOPUS-000286")</f>
        <v>SCOPUS-000286</v>
      </c>
      <c r="B31" s="6" t="str">
        <f>IFERROR(__xludf.DUMMYFUNCTION("""COMPUTED_VALUE"""),"Lily field image dataset")</f>
        <v>Lily field image dataset</v>
      </c>
      <c r="C31" s="5" t="str">
        <f>IFERROR(__xludf.DUMMYFUNCTION("""COMPUTED_VALUE"""),"On Request")</f>
        <v>On Request</v>
      </c>
      <c r="D31" s="5">
        <f>IFERROR(__xludf.DUMMYFUNCTION("""COMPUTED_VALUE"""),1200.0)</f>
        <v>1200</v>
      </c>
      <c r="E31" s="5" t="str">
        <f>IFERROR(__xludf.DUMMYFUNCTION("""COMPUTED_VALUE"""),"China")</f>
        <v>China</v>
      </c>
    </row>
    <row r="32" ht="15.75" customHeight="1">
      <c r="A32" s="5" t="str">
        <f>IFERROR(__xludf.DUMMYFUNCTION("""COMPUTED_VALUE"""),"SCOPUS-000283")</f>
        <v>SCOPUS-000283</v>
      </c>
      <c r="B32" s="6" t="str">
        <f>IFERROR(__xludf.DUMMYFUNCTION("""COMPUTED_VALUE"""),"Maize and weed dataset")</f>
        <v>Maize and weed dataset</v>
      </c>
      <c r="C32" s="5" t="str">
        <f>IFERROR(__xludf.DUMMYFUNCTION("""COMPUTED_VALUE"""),"On Request")</f>
        <v>On Request</v>
      </c>
      <c r="D32" s="5">
        <f>IFERROR(__xludf.DUMMYFUNCTION("""COMPUTED_VALUE"""),4465.0)</f>
        <v>4465</v>
      </c>
      <c r="E32" s="5" t="str">
        <f>IFERROR(__xludf.DUMMYFUNCTION("""COMPUTED_VALUE"""),"China")</f>
        <v>China</v>
      </c>
    </row>
    <row r="33" ht="15.75" customHeight="1">
      <c r="A33" s="5" t="str">
        <f>IFERROR(__xludf.DUMMYFUNCTION("""COMPUTED_VALUE"""),"SCOPUS-000276")</f>
        <v>SCOPUS-000276</v>
      </c>
      <c r="B33" s="6" t="str">
        <f>IFERROR(__xludf.DUMMYFUNCTION("""COMPUTED_VALUE"""),"DeepWeeds")</f>
        <v>DeepWeeds</v>
      </c>
      <c r="C33" s="5" t="str">
        <f>IFERROR(__xludf.DUMMYFUNCTION("""COMPUTED_VALUE"""),"Public")</f>
        <v>Public</v>
      </c>
      <c r="D33" s="5">
        <f>IFERROR(__xludf.DUMMYFUNCTION("""COMPUTED_VALUE"""),17509.0)</f>
        <v>17509</v>
      </c>
      <c r="E33" s="5"/>
    </row>
    <row r="34" ht="15.75" customHeight="1">
      <c r="A34" s="5" t="str">
        <f>IFERROR(__xludf.DUMMYFUNCTION("""COMPUTED_VALUE"""),"SCOPUS-000246")</f>
        <v>SCOPUS-000246</v>
      </c>
      <c r="B34" s="6" t="str">
        <f>IFERROR(__xludf.DUMMYFUNCTION("""COMPUTED_VALUE"""),"Custom paddy weed dataset (laboratory and field subsets)")</f>
        <v>Custom paddy weed dataset (laboratory and field subsets)</v>
      </c>
      <c r="C34" s="5"/>
      <c r="D34" s="5">
        <f>IFERROR(__xludf.DUMMYFUNCTION("""COMPUTED_VALUE"""),3800.0)</f>
        <v>3800</v>
      </c>
      <c r="E34" s="5" t="str">
        <f>IFERROR(__xludf.DUMMYFUNCTION("""COMPUTED_VALUE"""),"China")</f>
        <v>China</v>
      </c>
    </row>
    <row r="35" ht="15.75" customHeight="1">
      <c r="A35" s="5" t="str">
        <f>IFERROR(__xludf.DUMMYFUNCTION("""COMPUTED_VALUE"""),"SCOPUS-000599")</f>
        <v>SCOPUS-000599</v>
      </c>
      <c r="B35" s="6" t="str">
        <f>IFERROR(__xludf.DUMMYFUNCTION("""COMPUTED_VALUE"""),"Oil palm plantation weed dataset")</f>
        <v>Oil palm plantation weed dataset</v>
      </c>
      <c r="C35" s="5"/>
      <c r="D35" s="5">
        <f>IFERROR(__xludf.DUMMYFUNCTION("""COMPUTED_VALUE"""),2377.0)</f>
        <v>2377</v>
      </c>
      <c r="E35" s="5" t="str">
        <f>IFERROR(__xludf.DUMMYFUNCTION("""COMPUTED_VALUE"""),"Malaysia")</f>
        <v>Malaysia</v>
      </c>
    </row>
    <row r="36" ht="15.75" customHeight="1">
      <c r="A36" s="5" t="str">
        <f>IFERROR(__xludf.DUMMYFUNCTION("""COMPUTED_VALUE"""),"SCOPUS-000280")</f>
        <v>SCOPUS-000280</v>
      </c>
      <c r="B36" s="6" t="str">
        <f>IFERROR(__xludf.DUMMYFUNCTION("""COMPUTED_VALUE"""),"Sesame dataset and Crop and Weed Detection Data with Bounding Boxes")</f>
        <v>Sesame dataset and Crop and Weed Detection Data with Bounding Boxes</v>
      </c>
      <c r="C36" s="5" t="str">
        <f>IFERROR(__xludf.DUMMYFUNCTION("""COMPUTED_VALUE"""),"Public")</f>
        <v>Public</v>
      </c>
      <c r="D36" s="5">
        <f>IFERROR(__xludf.DUMMYFUNCTION("""COMPUTED_VALUE"""),4122.0)</f>
        <v>4122</v>
      </c>
      <c r="E36" s="5"/>
    </row>
    <row r="37" ht="15.75" customHeight="1">
      <c r="A37" s="5" t="str">
        <f>IFERROR(__xludf.DUMMYFUNCTION("""COMPUTED_VALUE"""),"SCOPUS-000063")</f>
        <v>SCOPUS-000063</v>
      </c>
      <c r="B37" s="6"/>
      <c r="C37" s="5" t="str">
        <f>IFERROR(__xludf.DUMMYFUNCTION("""COMPUTED_VALUE"""),"On Request")</f>
        <v>On Request</v>
      </c>
      <c r="D37" s="5">
        <f>IFERROR(__xludf.DUMMYFUNCTION("""COMPUTED_VALUE"""),7662.0)</f>
        <v>7662</v>
      </c>
      <c r="E37" s="5" t="str">
        <f>IFERROR(__xludf.DUMMYFUNCTION("""COMPUTED_VALUE"""),"China")</f>
        <v>China</v>
      </c>
    </row>
    <row r="38" ht="15.75" customHeight="1">
      <c r="A38" s="5" t="str">
        <f>IFERROR(__xludf.DUMMYFUNCTION("""COMPUTED_VALUE"""),"SCOPUS-000017")</f>
        <v>SCOPUS-000017</v>
      </c>
      <c r="B38" s="6" t="str">
        <f>IFERROR(__xludf.DUMMYFUNCTION("""COMPUTED_VALUE"""),"CoFly-WeedDB and Sorghum Fields")</f>
        <v>CoFly-WeedDB and Sorghum Fields</v>
      </c>
      <c r="C38" s="5" t="str">
        <f>IFERROR(__xludf.DUMMYFUNCTION("""COMPUTED_VALUE"""),"Public")</f>
        <v>Public</v>
      </c>
      <c r="D38" s="5">
        <f>IFERROR(__xludf.DUMMYFUNCTION("""COMPUTED_VALUE"""),7086.0)</f>
        <v>7086</v>
      </c>
      <c r="E38" s="5" t="str">
        <f>IFERROR(__xludf.DUMMYFUNCTION("""COMPUTED_VALUE"""),"Greece, Germany")</f>
        <v>Greece, Germany</v>
      </c>
    </row>
    <row r="39" ht="15.75" customHeight="1">
      <c r="A39" s="5" t="str">
        <f>IFERROR(__xludf.DUMMYFUNCTION("""COMPUTED_VALUE"""),"SCOPUS-000244")</f>
        <v>SCOPUS-000244</v>
      </c>
      <c r="B39" s="6" t="str">
        <f>IFERROR(__xludf.DUMMYFUNCTION("""COMPUTED_VALUE"""),"DeepWeeds and CottonWeedID15")</f>
        <v>DeepWeeds and CottonWeedID15</v>
      </c>
      <c r="C39" s="5" t="str">
        <f>IFERROR(__xludf.DUMMYFUNCTION("""COMPUTED_VALUE"""),"Public")</f>
        <v>Public</v>
      </c>
      <c r="D39" s="5">
        <f>IFERROR(__xludf.DUMMYFUNCTION("""COMPUTED_VALUE"""),22696.0)</f>
        <v>22696</v>
      </c>
      <c r="E39" s="5" t="str">
        <f>IFERROR(__xludf.DUMMYFUNCTION("""COMPUTED_VALUE"""),"USA, Australia")</f>
        <v>USA, Australia</v>
      </c>
    </row>
    <row r="40" ht="15.75" customHeight="1">
      <c r="A40" s="5" t="str">
        <f>IFERROR(__xludf.DUMMYFUNCTION("""COMPUTED_VALUE"""),"SCOPUS-000064")</f>
        <v>SCOPUS-000064</v>
      </c>
      <c r="B40" s="6"/>
      <c r="C40" s="5" t="str">
        <f>IFERROR(__xludf.DUMMYFUNCTION("""COMPUTED_VALUE"""),"On Request")</f>
        <v>On Request</v>
      </c>
      <c r="D40" s="5">
        <f>IFERROR(__xludf.DUMMYFUNCTION("""COMPUTED_VALUE"""),1308.0)</f>
        <v>1308</v>
      </c>
      <c r="E40" s="5" t="str">
        <f>IFERROR(__xludf.DUMMYFUNCTION("""COMPUTED_VALUE"""),"Ethiopia")</f>
        <v>Ethiopia</v>
      </c>
    </row>
    <row r="41" ht="15.75" customHeight="1">
      <c r="A41" s="5" t="str">
        <f>IFERROR(__xludf.DUMMYFUNCTION("""COMPUTED_VALUE"""),"SCOPUS-000320")</f>
        <v>SCOPUS-000320</v>
      </c>
      <c r="B41" s="6" t="str">
        <f>IFERROR(__xludf.DUMMYFUNCTION("""COMPUTED_VALUE"""),"Cotton weed dataset")</f>
        <v>Cotton weed dataset</v>
      </c>
      <c r="C41" s="5" t="str">
        <f>IFERROR(__xludf.DUMMYFUNCTION("""COMPUTED_VALUE"""),"Public")</f>
        <v>Public</v>
      </c>
      <c r="D41" s="5">
        <f>IFERROR(__xludf.DUMMYFUNCTION("""COMPUTED_VALUE"""),9249.0)</f>
        <v>9249</v>
      </c>
      <c r="E41" s="5" t="str">
        <f>IFERROR(__xludf.DUMMYFUNCTION("""COMPUTED_VALUE"""),"USA")</f>
        <v>USA</v>
      </c>
    </row>
    <row r="42" ht="15.75" customHeight="1">
      <c r="A42" s="5" t="str">
        <f>IFERROR(__xludf.DUMMYFUNCTION("""COMPUTED_VALUE"""),"SCOPUS-000086")</f>
        <v>SCOPUS-000086</v>
      </c>
      <c r="B42" s="6" t="str">
        <f>IFERROR(__xludf.DUMMYFUNCTION("""COMPUTED_VALUE"""),"MS-COCO, CottonWeedDet12, CropAndWeed, Palmer Amaranth, RadishWheat, and RoboWeedMap")</f>
        <v>MS-COCO, CottonWeedDet12, CropAndWeed, Palmer Amaranth, RadishWheat, and RoboWeedMap</v>
      </c>
      <c r="C42" s="5" t="str">
        <f>IFERROR(__xludf.DUMMYFUNCTION("""COMPUTED_VALUE"""),"Public")</f>
        <v>Public</v>
      </c>
      <c r="D42" s="5"/>
      <c r="E42" s="5"/>
    </row>
    <row r="43" ht="15.75" customHeight="1">
      <c r="A43" s="5" t="str">
        <f>IFERROR(__xludf.DUMMYFUNCTION("""COMPUTED_VALUE"""),"SCOPUS-000652")</f>
        <v>SCOPUS-000652</v>
      </c>
      <c r="B43" s="6" t="str">
        <f>IFERROR(__xludf.DUMMYFUNCTION("""COMPUTED_VALUE"""),"Bathurst burr, horehound, thistle, and tussock datasets")</f>
        <v>Bathurst burr, horehound, thistle, and tussock datasets</v>
      </c>
      <c r="C43" s="5" t="str">
        <f>IFERROR(__xludf.DUMMYFUNCTION("""COMPUTED_VALUE"""),"Private")</f>
        <v>Private</v>
      </c>
      <c r="D43" s="5"/>
      <c r="E43" s="5" t="str">
        <f>IFERROR(__xludf.DUMMYFUNCTION("""COMPUTED_VALUE"""),"Australia")</f>
        <v>Australia</v>
      </c>
    </row>
    <row r="44" ht="15.75" customHeight="1">
      <c r="A44" s="5" t="str">
        <f>IFERROR(__xludf.DUMMYFUNCTION("""COMPUTED_VALUE"""),"SCOPUS-000146")</f>
        <v>SCOPUS-000146</v>
      </c>
      <c r="B44" s="6" t="str">
        <f>IFERROR(__xludf.DUMMYFUNCTION("""COMPUTED_VALUE"""),"Weedcube")</f>
        <v>Weedcube</v>
      </c>
      <c r="C44" s="5" t="str">
        <f>IFERROR(__xludf.DUMMYFUNCTION("""COMPUTED_VALUE"""),"Public")</f>
        <v>Public</v>
      </c>
      <c r="D44" s="5">
        <f>IFERROR(__xludf.DUMMYFUNCTION("""COMPUTED_VALUE"""),1072.0)</f>
        <v>1072</v>
      </c>
      <c r="E44" s="5" t="str">
        <f>IFERROR(__xludf.DUMMYFUNCTION("""COMPUTED_VALUE"""),"USA")</f>
        <v>USA</v>
      </c>
    </row>
    <row r="45" ht="15.75" customHeight="1">
      <c r="A45" s="5" t="str">
        <f>IFERROR(__xludf.DUMMYFUNCTION("""COMPUTED_VALUE"""),"SCOPUS-000407")</f>
        <v>SCOPUS-000407</v>
      </c>
      <c r="B45" s="6" t="str">
        <f>IFERROR(__xludf.DUMMYFUNCTION("""COMPUTED_VALUE"""),"Custom weed dataset")</f>
        <v>Custom weed dataset</v>
      </c>
      <c r="C45" s="5" t="str">
        <f>IFERROR(__xludf.DUMMYFUNCTION("""COMPUTED_VALUE"""),"Private")</f>
        <v>Private</v>
      </c>
      <c r="D45" s="5">
        <f>IFERROR(__xludf.DUMMYFUNCTION("""COMPUTED_VALUE"""),3170.0)</f>
        <v>3170</v>
      </c>
      <c r="E45" s="5" t="str">
        <f>IFERROR(__xludf.DUMMYFUNCTION("""COMPUTED_VALUE"""),"China")</f>
        <v>China</v>
      </c>
    </row>
    <row r="46" ht="15.75" customHeight="1">
      <c r="A46" s="5" t="str">
        <f>IFERROR(__xludf.DUMMYFUNCTION("""COMPUTED_VALUE"""),"SCOPUS-000352")</f>
        <v>SCOPUS-000352</v>
      </c>
      <c r="B46" s="6" t="str">
        <f>IFERROR(__xludf.DUMMYFUNCTION("""COMPUTED_VALUE"""),"Corn weed datasets")</f>
        <v>Corn weed datasets</v>
      </c>
      <c r="C46" s="5" t="str">
        <f>IFERROR(__xludf.DUMMYFUNCTION("""COMPUTED_VALUE"""),"Public")</f>
        <v>Public</v>
      </c>
      <c r="D46" s="5">
        <f>IFERROR(__xludf.DUMMYFUNCTION("""COMPUTED_VALUE"""),1024.0)</f>
        <v>1024</v>
      </c>
      <c r="E46" s="5" t="str">
        <f>IFERROR(__xludf.DUMMYFUNCTION("""COMPUTED_VALUE"""),"China")</f>
        <v>China</v>
      </c>
    </row>
    <row r="47" ht="15.75" customHeight="1">
      <c r="A47" s="5" t="str">
        <f>IFERROR(__xludf.DUMMYFUNCTION("""COMPUTED_VALUE"""),"SCOPUS-000175")</f>
        <v>SCOPUS-000175</v>
      </c>
      <c r="B47" s="6" t="str">
        <f>IFERROR(__xludf.DUMMYFUNCTION("""COMPUTED_VALUE"""),"CottonWeedDet12 and Lincoln beet")</f>
        <v>CottonWeedDet12 and Lincoln beet</v>
      </c>
      <c r="C47" s="5" t="str">
        <f>IFERROR(__xludf.DUMMYFUNCTION("""COMPUTED_VALUE"""),"Public")</f>
        <v>Public</v>
      </c>
      <c r="D47" s="5">
        <f>IFERROR(__xludf.DUMMYFUNCTION("""COMPUTED_VALUE"""),10053.0)</f>
        <v>10053</v>
      </c>
      <c r="E47" s="5" t="str">
        <f>IFERROR(__xludf.DUMMYFUNCTION("""COMPUTED_VALUE"""),"USA, United Kingdom")</f>
        <v>USA, United Kingdom</v>
      </c>
    </row>
    <row r="48" ht="15.75" customHeight="1">
      <c r="A48" s="5" t="str">
        <f>IFERROR(__xludf.DUMMYFUNCTION("""COMPUTED_VALUE"""),"SCOPUS-000574")</f>
        <v>SCOPUS-000574</v>
      </c>
      <c r="B48" s="6" t="str">
        <f>IFERROR(__xludf.DUMMYFUNCTION("""COMPUTED_VALUE"""),"Bean field dataset")</f>
        <v>Bean field dataset</v>
      </c>
      <c r="C48" s="5" t="str">
        <f>IFERROR(__xludf.DUMMYFUNCTION("""COMPUTED_VALUE"""),"Public")</f>
        <v>Public</v>
      </c>
      <c r="D48" s="5">
        <f>IFERROR(__xludf.DUMMYFUNCTION("""COMPUTED_VALUE"""),2530.0)</f>
        <v>2530</v>
      </c>
      <c r="E48" s="5" t="str">
        <f>IFERROR(__xludf.DUMMYFUNCTION("""COMPUTED_VALUE"""),"South Korea")</f>
        <v>South Korea</v>
      </c>
    </row>
    <row r="49" ht="15.75" customHeight="1">
      <c r="A49" s="5" t="str">
        <f>IFERROR(__xludf.DUMMYFUNCTION("""COMPUTED_VALUE"""),"SCOPUS-000358")</f>
        <v>SCOPUS-000358</v>
      </c>
      <c r="B49" s="6" t="str">
        <f>IFERROR(__xludf.DUMMYFUNCTION("""COMPUTED_VALUE"""),"Rice seedling/weed dataset and BoniRob dataset")</f>
        <v>Rice seedling/weed dataset and BoniRob dataset</v>
      </c>
      <c r="C49" s="5" t="str">
        <f>IFERROR(__xludf.DUMMYFUNCTION("""COMPUTED_VALUE"""),"On Request")</f>
        <v>On Request</v>
      </c>
      <c r="D49" s="5">
        <f>IFERROR(__xludf.DUMMYFUNCTION("""COMPUTED_VALUE"""),1700.0)</f>
        <v>1700</v>
      </c>
      <c r="E49" s="5" t="str">
        <f>IFERROR(__xludf.DUMMYFUNCTION("""COMPUTED_VALUE"""),"China")</f>
        <v>China</v>
      </c>
    </row>
    <row r="50" ht="15.75" customHeight="1">
      <c r="A50" s="5" t="str">
        <f>IFERROR(__xludf.DUMMYFUNCTION("""COMPUTED_VALUE"""),"SCOPUS-000265")</f>
        <v>SCOPUS-000265</v>
      </c>
      <c r="B50" s="6" t="str">
        <f>IFERROR(__xludf.DUMMYFUNCTION("""COMPUTED_VALUE"""),"Rapeseed weed dataset")</f>
        <v>Rapeseed weed dataset</v>
      </c>
      <c r="C50" s="5" t="str">
        <f>IFERROR(__xludf.DUMMYFUNCTION("""COMPUTED_VALUE"""),"On Request")</f>
        <v>On Request</v>
      </c>
      <c r="D50" s="5">
        <f>IFERROR(__xludf.DUMMYFUNCTION("""COMPUTED_VALUE"""),5000.0)</f>
        <v>5000</v>
      </c>
      <c r="E50" s="5" t="str">
        <f>IFERROR(__xludf.DUMMYFUNCTION("""COMPUTED_VALUE"""),"China")</f>
        <v>China</v>
      </c>
    </row>
    <row r="51" ht="15.75" customHeight="1">
      <c r="A51" s="5" t="str">
        <f>IFERROR(__xludf.DUMMYFUNCTION("""COMPUTED_VALUE"""),"SCOPUS-000563")</f>
        <v>SCOPUS-000563</v>
      </c>
      <c r="B51" s="6" t="str">
        <f>IFERROR(__xludf.DUMMYFUNCTION("""COMPUTED_VALUE"""),"Pakistani weed dataset")</f>
        <v>Pakistani weed dataset</v>
      </c>
      <c r="C51" s="5" t="str">
        <f>IFERROR(__xludf.DUMMYFUNCTION("""COMPUTED_VALUE"""),"Public")</f>
        <v>Public</v>
      </c>
      <c r="D51" s="5">
        <f>IFERROR(__xludf.DUMMYFUNCTION("""COMPUTED_VALUE"""),9000.0)</f>
        <v>9000</v>
      </c>
      <c r="E51" s="5" t="str">
        <f>IFERROR(__xludf.DUMMYFUNCTION("""COMPUTED_VALUE"""),"Pakistan")</f>
        <v>Pakistan</v>
      </c>
    </row>
    <row r="52" ht="15.75" customHeight="1">
      <c r="A52" s="5" t="str">
        <f>IFERROR(__xludf.DUMMYFUNCTION("""COMPUTED_VALUE"""),"SCOPUS-000433")</f>
        <v>SCOPUS-000433</v>
      </c>
      <c r="B52" s="6" t="str">
        <f>IFERROR(__xludf.DUMMYFUNCTION("""COMPUTED_VALUE"""),"Original dataset")</f>
        <v>Original dataset</v>
      </c>
      <c r="C52" s="5" t="str">
        <f>IFERROR(__xludf.DUMMYFUNCTION("""COMPUTED_VALUE"""),"On Request")</f>
        <v>On Request</v>
      </c>
      <c r="D52" s="5">
        <f>IFERROR(__xludf.DUMMYFUNCTION("""COMPUTED_VALUE"""),542.0)</f>
        <v>542</v>
      </c>
      <c r="E52" s="5" t="str">
        <f>IFERROR(__xludf.DUMMYFUNCTION("""COMPUTED_VALUE"""),"China")</f>
        <v>China</v>
      </c>
    </row>
    <row r="53" ht="15.75" customHeight="1">
      <c r="A53" s="5" t="str">
        <f>IFERROR(__xludf.DUMMYFUNCTION("""COMPUTED_VALUE"""),"SCOPUS-000333")</f>
        <v>SCOPUS-000333</v>
      </c>
      <c r="B53" s="6" t="str">
        <f>IFERROR(__xludf.DUMMYFUNCTION("""COMPUTED_VALUE"""),"High-resolution digital images")</f>
        <v>High-resolution digital images</v>
      </c>
      <c r="C53" s="5" t="str">
        <f>IFERROR(__xludf.DUMMYFUNCTION("""COMPUTED_VALUE"""),"On Request")</f>
        <v>On Request</v>
      </c>
      <c r="D53" s="5">
        <f>IFERROR(__xludf.DUMMYFUNCTION("""COMPUTED_VALUE"""),660.0)</f>
        <v>660</v>
      </c>
      <c r="E53" s="5" t="str">
        <f>IFERROR(__xludf.DUMMYFUNCTION("""COMPUTED_VALUE"""),"USA")</f>
        <v>USA</v>
      </c>
    </row>
    <row r="54" ht="15.75" customHeight="1">
      <c r="A54" s="5" t="str">
        <f>IFERROR(__xludf.DUMMYFUNCTION("""COMPUTED_VALUE"""),"SCOPUS-000391")</f>
        <v>SCOPUS-000391</v>
      </c>
      <c r="B54" s="6" t="str">
        <f>IFERROR(__xludf.DUMMYFUNCTION("""COMPUTED_VALUE"""),"Quadcopter dataset")</f>
        <v>Quadcopter dataset</v>
      </c>
      <c r="C54" s="5" t="str">
        <f>IFERROR(__xludf.DUMMYFUNCTION("""COMPUTED_VALUE"""),"Public")</f>
        <v>Public</v>
      </c>
      <c r="D54" s="5">
        <f>IFERROR(__xludf.DUMMYFUNCTION("""COMPUTED_VALUE"""),2700.0)</f>
        <v>2700</v>
      </c>
      <c r="E54" s="5" t="str">
        <f>IFERROR(__xludf.DUMMYFUNCTION("""COMPUTED_VALUE"""),"Pakistan")</f>
        <v>Pakistan</v>
      </c>
    </row>
    <row r="55" ht="15.75" customHeight="1">
      <c r="A55" s="5" t="str">
        <f>IFERROR(__xludf.DUMMYFUNCTION("""COMPUTED_VALUE"""),"SCOPUS-000637")</f>
        <v>SCOPUS-000637</v>
      </c>
      <c r="B55" s="6" t="str">
        <f>IFERROR(__xludf.DUMMYFUNCTION("""COMPUTED_VALUE"""),"Agricultural robot dataset")</f>
        <v>Agricultural robot dataset</v>
      </c>
      <c r="C55" s="5" t="str">
        <f>IFERROR(__xludf.DUMMYFUNCTION("""COMPUTED_VALUE"""),"Public")</f>
        <v>Public</v>
      </c>
      <c r="D55" s="5">
        <f>IFERROR(__xludf.DUMMYFUNCTION("""COMPUTED_VALUE"""),4500.0)</f>
        <v>4500</v>
      </c>
      <c r="E55" s="5" t="str">
        <f>IFERROR(__xludf.DUMMYFUNCTION("""COMPUTED_VALUE"""),"Germany")</f>
        <v>Germany</v>
      </c>
    </row>
    <row r="56" ht="15.75" customHeight="1">
      <c r="A56" s="5" t="str">
        <f>IFERROR(__xludf.DUMMYFUNCTION("""COMPUTED_VALUE"""),"SCOPUS-000700")</f>
        <v>SCOPUS-000700</v>
      </c>
      <c r="B56" s="6" t="str">
        <f>IFERROR(__xludf.DUMMYFUNCTION("""COMPUTED_VALUE"""),"CWFID and Sugar Beets dataset")</f>
        <v>CWFID and Sugar Beets dataset</v>
      </c>
      <c r="C56" s="5" t="str">
        <f>IFERROR(__xludf.DUMMYFUNCTION("""COMPUTED_VALUE"""),"Public")</f>
        <v>Public</v>
      </c>
      <c r="D56" s="5">
        <f>IFERROR(__xludf.DUMMYFUNCTION("""COMPUTED_VALUE"""),560.0)</f>
        <v>560</v>
      </c>
      <c r="E56" s="5" t="str">
        <f>IFERROR(__xludf.DUMMYFUNCTION("""COMPUTED_VALUE"""),"Germany")</f>
        <v>Germany</v>
      </c>
    </row>
    <row r="57" ht="15.75" customHeight="1">
      <c r="A57" s="5" t="str">
        <f>IFERROR(__xludf.DUMMYFUNCTION("""COMPUTED_VALUE"""),"SCOPUS-000719")</f>
        <v>SCOPUS-000719</v>
      </c>
      <c r="B57" s="6" t="str">
        <f>IFERROR(__xludf.DUMMYFUNCTION("""COMPUTED_VALUE"""),"Bonn and Stuttgart datasets")</f>
        <v>Bonn and Stuttgart datasets</v>
      </c>
      <c r="C57" s="5" t="str">
        <f>IFERROR(__xludf.DUMMYFUNCTION("""COMPUTED_VALUE"""),"Public")</f>
        <v>Public</v>
      </c>
      <c r="D57" s="5">
        <f>IFERROR(__xludf.DUMMYFUNCTION("""COMPUTED_VALUE"""),11654.0)</f>
        <v>11654</v>
      </c>
      <c r="E57" s="5" t="str">
        <f>IFERROR(__xludf.DUMMYFUNCTION("""COMPUTED_VALUE"""),"Germany")</f>
        <v>Germany</v>
      </c>
    </row>
    <row r="58" ht="15.75" customHeight="1">
      <c r="A58" s="5" t="str">
        <f>IFERROR(__xludf.DUMMYFUNCTION("""COMPUTED_VALUE"""),"SCOPUS-000713")</f>
        <v>SCOPUS-000713</v>
      </c>
      <c r="B58" s="6" t="str">
        <f>IFERROR(__xludf.DUMMYFUNCTION("""COMPUTED_VALUE"""),"Sugar beet and Oilseed datasets")</f>
        <v>Sugar beet and Oilseed datasets</v>
      </c>
      <c r="C58" s="5" t="str">
        <f>IFERROR(__xludf.DUMMYFUNCTION("""COMPUTED_VALUE"""),"Public")</f>
        <v>Public</v>
      </c>
      <c r="D58" s="5">
        <f>IFERROR(__xludf.DUMMYFUNCTION("""COMPUTED_VALUE"""),351.0)</f>
        <v>351</v>
      </c>
      <c r="E58" s="5" t="str">
        <f>IFERROR(__xludf.DUMMYFUNCTION("""COMPUTED_VALUE"""),"Germany, China")</f>
        <v>Germany, China</v>
      </c>
    </row>
    <row r="59" ht="15.75" customHeight="1">
      <c r="A59" s="5" t="str">
        <f>IFERROR(__xludf.DUMMYFUNCTION("""COMPUTED_VALUE"""),"SCOPUS-000448")</f>
        <v>SCOPUS-000448</v>
      </c>
      <c r="B59" s="6" t="str">
        <f>IFERROR(__xludf.DUMMYFUNCTION("""COMPUTED_VALUE"""),"Multi-class weed dataset")</f>
        <v>Multi-class weed dataset</v>
      </c>
      <c r="C59" s="5" t="str">
        <f>IFERROR(__xludf.DUMMYFUNCTION("""COMPUTED_VALUE"""),"Public")</f>
        <v>Public</v>
      </c>
      <c r="D59" s="5">
        <f>IFERROR(__xludf.DUMMYFUNCTION("""COMPUTED_VALUE"""),400.0)</f>
        <v>400</v>
      </c>
      <c r="E59" s="5"/>
    </row>
    <row r="60" ht="15.75" customHeight="1">
      <c r="A60" s="5" t="str">
        <f>IFERROR(__xludf.DUMMYFUNCTION("""COMPUTED_VALUE"""),"SCOPUS-000375")</f>
        <v>SCOPUS-000375</v>
      </c>
      <c r="B60" s="6" t="str">
        <f>IFERROR(__xludf.DUMMYFUNCTION("""COMPUTED_VALUE"""),"Custom wheat weed dataset")</f>
        <v>Custom wheat weed dataset</v>
      </c>
      <c r="C60" s="5" t="str">
        <f>IFERROR(__xludf.DUMMYFUNCTION("""COMPUTED_VALUE"""),"On Request")</f>
        <v>On Request</v>
      </c>
      <c r="D60" s="5">
        <f>IFERROR(__xludf.DUMMYFUNCTION("""COMPUTED_VALUE"""),2614.0)</f>
        <v>2614</v>
      </c>
      <c r="E60" s="5" t="str">
        <f>IFERROR(__xludf.DUMMYFUNCTION("""COMPUTED_VALUE"""),"China")</f>
        <v>China</v>
      </c>
    </row>
    <row r="61" ht="15.75" customHeight="1">
      <c r="A61" s="5" t="str">
        <f>IFERROR(__xludf.DUMMYFUNCTION("""COMPUTED_VALUE"""),"SCOPUS-000261")</f>
        <v>SCOPUS-000261</v>
      </c>
      <c r="B61" s="6" t="str">
        <f>IFERROR(__xludf.DUMMYFUNCTION("""COMPUTED_VALUE"""),"DeepWeeds")</f>
        <v>DeepWeeds</v>
      </c>
      <c r="C61" s="5" t="str">
        <f>IFERROR(__xludf.DUMMYFUNCTION("""COMPUTED_VALUE"""),"Public")</f>
        <v>Public</v>
      </c>
      <c r="D61" s="5">
        <f>IFERROR(__xludf.DUMMYFUNCTION("""COMPUTED_VALUE"""),17509.0)</f>
        <v>17509</v>
      </c>
      <c r="E61" s="5" t="str">
        <f>IFERROR(__xludf.DUMMYFUNCTION("""COMPUTED_VALUE"""),"Australia")</f>
        <v>Australia</v>
      </c>
    </row>
    <row r="62" ht="15.75" customHeight="1">
      <c r="A62" s="5" t="str">
        <f>IFERROR(__xludf.DUMMYFUNCTION("""COMPUTED_VALUE"""),"SCOPUS-000584")</f>
        <v>SCOPUS-000584</v>
      </c>
      <c r="B62" s="6" t="str">
        <f>IFERROR(__xludf.DUMMYFUNCTION("""COMPUTED_VALUE"""),"Custom maize weed dataset")</f>
        <v>Custom maize weed dataset</v>
      </c>
      <c r="C62" s="5" t="str">
        <f>IFERROR(__xludf.DUMMYFUNCTION("""COMPUTED_VALUE"""),"Private")</f>
        <v>Private</v>
      </c>
      <c r="D62" s="5">
        <f>IFERROR(__xludf.DUMMYFUNCTION("""COMPUTED_VALUE"""),1000.0)</f>
        <v>1000</v>
      </c>
      <c r="E62" s="5" t="str">
        <f>IFERROR(__xludf.DUMMYFUNCTION("""COMPUTED_VALUE"""),"China")</f>
        <v>China</v>
      </c>
    </row>
    <row r="63" ht="15.75" customHeight="1">
      <c r="A63" s="5" t="str">
        <f>IFERROR(__xludf.DUMMYFUNCTION("""COMPUTED_VALUE"""),"WEBSCI-000524")</f>
        <v>WEBSCI-000524</v>
      </c>
      <c r="B63" s="6" t="str">
        <f>IFERROR(__xludf.DUMMYFUNCTION("""COMPUTED_VALUE"""),"CWFID and Weeds dataset")</f>
        <v>CWFID and Weeds dataset</v>
      </c>
      <c r="C63" s="5" t="str">
        <f>IFERROR(__xludf.DUMMYFUNCTION("""COMPUTED_VALUE"""),"Public")</f>
        <v>Public</v>
      </c>
      <c r="D63" s="5">
        <f>IFERROR(__xludf.DUMMYFUNCTION("""COMPUTED_VALUE"""),72.0)</f>
        <v>72</v>
      </c>
      <c r="E63" s="5"/>
    </row>
    <row r="64" ht="15.75" customHeight="1">
      <c r="A64" s="5" t="str">
        <f>IFERROR(__xludf.DUMMYFUNCTION("""COMPUTED_VALUE"""),"SCOPUS-000370")</f>
        <v>SCOPUS-000370</v>
      </c>
      <c r="B64" s="6" t="str">
        <f>IFERROR(__xludf.DUMMYFUNCTION("""COMPUTED_VALUE"""),"DeepWeeds, Cotton weed, Corn weed, Cotton Tomato weed")</f>
        <v>DeepWeeds, Cotton weed, Corn weed, Cotton Tomato weed</v>
      </c>
      <c r="C64" s="5" t="str">
        <f>IFERROR(__xludf.DUMMYFUNCTION("""COMPUTED_VALUE"""),"Public")</f>
        <v>Public</v>
      </c>
      <c r="D64" s="5">
        <f>IFERROR(__xludf.DUMMYFUNCTION("""COMPUTED_VALUE"""),29204.0)</f>
        <v>29204</v>
      </c>
      <c r="E64" s="5" t="str">
        <f>IFERROR(__xludf.DUMMYFUNCTION("""COMPUTED_VALUE"""),"Australia, USA, Greece")</f>
        <v>Australia, USA, Greece</v>
      </c>
    </row>
    <row r="65" ht="15.75" customHeight="1">
      <c r="A65" s="5" t="str">
        <f>IFERROR(__xludf.DUMMYFUNCTION("""COMPUTED_VALUE"""),"SCOPUS-000706")</f>
        <v>SCOPUS-000706</v>
      </c>
      <c r="B65" s="6" t="str">
        <f>IFERROR(__xludf.DUMMYFUNCTION("""COMPUTED_VALUE"""),"Custom UAV imagery dataset")</f>
        <v>Custom UAV imagery dataset</v>
      </c>
      <c r="C65" s="5" t="str">
        <f>IFERROR(__xludf.DUMMYFUNCTION("""COMPUTED_VALUE"""),"Private")</f>
        <v>Private</v>
      </c>
      <c r="D65" s="5">
        <f>IFERROR(__xludf.DUMMYFUNCTION("""COMPUTED_VALUE"""),1092.0)</f>
        <v>1092</v>
      </c>
      <c r="E65" s="5" t="str">
        <f>IFERROR(__xludf.DUMMYFUNCTION("""COMPUTED_VALUE"""),"China")</f>
        <v>China</v>
      </c>
    </row>
    <row r="66" ht="15.75" customHeight="1">
      <c r="A66" s="5" t="str">
        <f>IFERROR(__xludf.DUMMYFUNCTION("""COMPUTED_VALUE"""),"SCOPUS-000013")</f>
        <v>SCOPUS-000013</v>
      </c>
      <c r="B66" s="6" t="str">
        <f>IFERROR(__xludf.DUMMYFUNCTION("""COMPUTED_VALUE"""),"Ronin_OPEN_DB, Data1 (Self-collected), and Data2 (Self-collected)")</f>
        <v>Ronin_OPEN_DB, Data1 (Self-collected), and Data2 (Self-collected)</v>
      </c>
      <c r="C66" s="5" t="str">
        <f>IFERROR(__xludf.DUMMYFUNCTION("""COMPUTED_VALUE"""),"Public")</f>
        <v>Public</v>
      </c>
      <c r="D66" s="5">
        <f>IFERROR(__xludf.DUMMYFUNCTION("""COMPUTED_VALUE"""),1950.0)</f>
        <v>1950</v>
      </c>
      <c r="E66" s="5" t="str">
        <f>IFERROR(__xludf.DUMMYFUNCTION("""COMPUTED_VALUE"""),"China")</f>
        <v>China</v>
      </c>
    </row>
    <row r="67" ht="15.75" customHeight="1">
      <c r="A67" s="5" t="str">
        <f>IFERROR(__xludf.DUMMYFUNCTION("""COMPUTED_VALUE"""),"SCOPUS-000642")</f>
        <v>SCOPUS-000642</v>
      </c>
      <c r="B67" s="6" t="str">
        <f>IFERROR(__xludf.DUMMYFUNCTION("""COMPUTED_VALUE"""),"Weed25")</f>
        <v>Weed25</v>
      </c>
      <c r="C67" s="5" t="str">
        <f>IFERROR(__xludf.DUMMYFUNCTION("""COMPUTED_VALUE"""),"Public")</f>
        <v>Public</v>
      </c>
      <c r="D67" s="5"/>
      <c r="E67" s="5"/>
    </row>
    <row r="68" ht="15.75" customHeight="1">
      <c r="A68" s="5" t="str">
        <f>IFERROR(__xludf.DUMMYFUNCTION("""COMPUTED_VALUE"""),"SCOPUS-000132")</f>
        <v>SCOPUS-000132</v>
      </c>
      <c r="B68" s="6"/>
      <c r="C68" s="5" t="str">
        <f>IFERROR(__xludf.DUMMYFUNCTION("""COMPUTED_VALUE"""),"Private")</f>
        <v>Private</v>
      </c>
      <c r="D68" s="5">
        <f>IFERROR(__xludf.DUMMYFUNCTION("""COMPUTED_VALUE"""),4828.0)</f>
        <v>4828</v>
      </c>
      <c r="E68" s="5" t="str">
        <f>IFERROR(__xludf.DUMMYFUNCTION("""COMPUTED_VALUE"""),"USA")</f>
        <v>USA</v>
      </c>
    </row>
    <row r="69" ht="15.75" customHeight="1">
      <c r="A69" s="5" t="str">
        <f>IFERROR(__xludf.DUMMYFUNCTION("""COMPUTED_VALUE"""),"SCOPUS-000121")</f>
        <v>SCOPUS-000121</v>
      </c>
      <c r="B69" s="6" t="str">
        <f>IFERROR(__xludf.DUMMYFUNCTION("""COMPUTED_VALUE"""),"GZWeed")</f>
        <v>GZWeed</v>
      </c>
      <c r="C69" s="5" t="str">
        <f>IFERROR(__xludf.DUMMYFUNCTION("""COMPUTED_VALUE"""),"Public")</f>
        <v>Public</v>
      </c>
      <c r="D69" s="5">
        <f>IFERROR(__xludf.DUMMYFUNCTION("""COMPUTED_VALUE"""),108.0)</f>
        <v>108</v>
      </c>
      <c r="E69" s="5" t="str">
        <f>IFERROR(__xludf.DUMMYFUNCTION("""COMPUTED_VALUE"""),"China")</f>
        <v>China</v>
      </c>
    </row>
    <row r="70" ht="15.75" customHeight="1">
      <c r="A70" s="5" t="str">
        <f>IFERROR(__xludf.DUMMYFUNCTION("""COMPUTED_VALUE"""),"SCOPUS-000267")</f>
        <v>SCOPUS-000267</v>
      </c>
      <c r="B70" s="6" t="str">
        <f>IFERROR(__xludf.DUMMYFUNCTION("""COMPUTED_VALUE"""),"Ground field and UAV maize datasets")</f>
        <v>Ground field and UAV maize datasets</v>
      </c>
      <c r="C70" s="5" t="str">
        <f>IFERROR(__xludf.DUMMYFUNCTION("""COMPUTED_VALUE"""),"On Request")</f>
        <v>On Request</v>
      </c>
      <c r="D70" s="5">
        <f>IFERROR(__xludf.DUMMYFUNCTION("""COMPUTED_VALUE"""),10000.0)</f>
        <v>10000</v>
      </c>
      <c r="E70" s="5" t="str">
        <f>IFERROR(__xludf.DUMMYFUNCTION("""COMPUTED_VALUE"""),"Belgium")</f>
        <v>Belgium</v>
      </c>
    </row>
    <row r="71" ht="15.75" customHeight="1">
      <c r="A71" s="5" t="str">
        <f>IFERROR(__xludf.DUMMYFUNCTION("""COMPUTED_VALUE"""),"SCOPUS-000074")</f>
        <v>SCOPUS-000074</v>
      </c>
      <c r="B71" s="6" t="str">
        <f>IFERROR(__xludf.DUMMYFUNCTION("""COMPUTED_VALUE"""),"CWFID, Sugar Beet, Sunflower")</f>
        <v>CWFID, Sugar Beet, Sunflower</v>
      </c>
      <c r="C71" s="5" t="str">
        <f>IFERROR(__xludf.DUMMYFUNCTION("""COMPUTED_VALUE"""),"Public")</f>
        <v>Public</v>
      </c>
      <c r="D71" s="5">
        <f>IFERROR(__xludf.DUMMYFUNCTION("""COMPUTED_VALUE"""),2006.0)</f>
        <v>2006</v>
      </c>
      <c r="E71" s="5"/>
    </row>
    <row r="72" ht="15.75" customHeight="1">
      <c r="A72" s="5" t="str">
        <f>IFERROR(__xludf.DUMMYFUNCTION("""COMPUTED_VALUE"""),"SCOPUS-000107")</f>
        <v>SCOPUS-000107</v>
      </c>
      <c r="B72" s="6" t="str">
        <f>IFERROR(__xludf.DUMMYFUNCTION("""COMPUTED_VALUE"""),"CWFID")</f>
        <v>CWFID</v>
      </c>
      <c r="C72" s="5" t="str">
        <f>IFERROR(__xludf.DUMMYFUNCTION("""COMPUTED_VALUE"""),"Public")</f>
        <v>Public</v>
      </c>
      <c r="D72" s="5">
        <f>IFERROR(__xludf.DUMMYFUNCTION("""COMPUTED_VALUE"""),60.0)</f>
        <v>60</v>
      </c>
      <c r="E72" s="5"/>
    </row>
    <row r="73" ht="15.75" customHeight="1">
      <c r="A73" s="5" t="str">
        <f>IFERROR(__xludf.DUMMYFUNCTION("""COMPUTED_VALUE"""),"SCOPUS-000142")</f>
        <v>SCOPUS-000142</v>
      </c>
      <c r="B73" s="6" t="str">
        <f>IFERROR(__xludf.DUMMYFUNCTION("""COMPUTED_VALUE"""),"Paddy field weed dataset")</f>
        <v>Paddy field weed dataset</v>
      </c>
      <c r="C73" s="5" t="str">
        <f>IFERROR(__xludf.DUMMYFUNCTION("""COMPUTED_VALUE"""),"On Request")</f>
        <v>On Request</v>
      </c>
      <c r="D73" s="5">
        <f>IFERROR(__xludf.DUMMYFUNCTION("""COMPUTED_VALUE"""),1979.0)</f>
        <v>1979</v>
      </c>
      <c r="E73" s="5" t="str">
        <f>IFERROR(__xludf.DUMMYFUNCTION("""COMPUTED_VALUE"""),"China")</f>
        <v>China</v>
      </c>
    </row>
    <row r="74" ht="15.75" customHeight="1">
      <c r="A74" s="5" t="str">
        <f>IFERROR(__xludf.DUMMYFUNCTION("""COMPUTED_VALUE"""),"SCOPUS-000193")</f>
        <v>SCOPUS-000193</v>
      </c>
      <c r="B74" s="6" t="str">
        <f>IFERROR(__xludf.DUMMYFUNCTION("""COMPUTED_VALUE"""),"Weed-Crop dataset")</f>
        <v>Weed-Crop dataset</v>
      </c>
      <c r="C74" s="5" t="str">
        <f>IFERROR(__xludf.DUMMYFUNCTION("""COMPUTED_VALUE"""),"Public")</f>
        <v>Public</v>
      </c>
      <c r="D74" s="5">
        <f>IFERROR(__xludf.DUMMYFUNCTION("""COMPUTED_VALUE"""),1120.0)</f>
        <v>1120</v>
      </c>
      <c r="E74" s="5" t="str">
        <f>IFERROR(__xludf.DUMMYFUNCTION("""COMPUTED_VALUE"""),"USA")</f>
        <v>USA</v>
      </c>
    </row>
    <row r="75" ht="15.75" customHeight="1">
      <c r="A75" s="5" t="str">
        <f>IFERROR(__xludf.DUMMYFUNCTION("""COMPUTED_VALUE"""),"SCOPUS-000092")</f>
        <v>SCOPUS-000092</v>
      </c>
      <c r="B75" s="6" t="str">
        <f>IFERROR(__xludf.DUMMYFUNCTION("""COMPUTED_VALUE"""),"Custom sugarcane–Guinea Grass dataset and CropAndWeed benchmark")</f>
        <v>Custom sugarcane–Guinea Grass dataset and CropAndWeed benchmark</v>
      </c>
      <c r="C75" s="5" t="str">
        <f>IFERROR(__xludf.DUMMYFUNCTION("""COMPUTED_VALUE"""),"Private")</f>
        <v>Private</v>
      </c>
      <c r="D75" s="5">
        <f>IFERROR(__xludf.DUMMYFUNCTION("""COMPUTED_VALUE"""),10975.0)</f>
        <v>10975</v>
      </c>
      <c r="E75" s="5" t="str">
        <f>IFERROR(__xludf.DUMMYFUNCTION("""COMPUTED_VALUE"""),"Australia")</f>
        <v>Australia</v>
      </c>
    </row>
    <row r="76" ht="15.75" customHeight="1">
      <c r="A76" s="5" t="str">
        <f>IFERROR(__xludf.DUMMYFUNCTION("""COMPUTED_VALUE"""),"SCOPUS-000296")</f>
        <v>SCOPUS-000296</v>
      </c>
      <c r="B76" s="6" t="str">
        <f>IFERROR(__xludf.DUMMYFUNCTION("""COMPUTED_VALUE"""),"Bok Choy Seedling Dataset")</f>
        <v>Bok Choy Seedling Dataset</v>
      </c>
      <c r="C76" s="5" t="str">
        <f>IFERROR(__xludf.DUMMYFUNCTION("""COMPUTED_VALUE"""),"On Request")</f>
        <v>On Request</v>
      </c>
      <c r="D76" s="5">
        <f>IFERROR(__xludf.DUMMYFUNCTION("""COMPUTED_VALUE"""),1050.0)</f>
        <v>1050</v>
      </c>
      <c r="E76" s="5" t="str">
        <f>IFERROR(__xludf.DUMMYFUNCTION("""COMPUTED_VALUE"""),"China")</f>
        <v>China</v>
      </c>
    </row>
    <row r="77" ht="15.75" customHeight="1">
      <c r="A77" s="5" t="str">
        <f>IFERROR(__xludf.DUMMYFUNCTION("""COMPUTED_VALUE"""),"SCOPUS-000255")</f>
        <v>SCOPUS-000255</v>
      </c>
      <c r="B77" s="6" t="str">
        <f>IFERROR(__xludf.DUMMYFUNCTION("""COMPUTED_VALUE"""),"Corn Seedling Dataset")</f>
        <v>Corn Seedling Dataset</v>
      </c>
      <c r="C77" s="5" t="str">
        <f>IFERROR(__xludf.DUMMYFUNCTION("""COMPUTED_VALUE"""),"On Request")</f>
        <v>On Request</v>
      </c>
      <c r="D77" s="5">
        <f>IFERROR(__xludf.DUMMYFUNCTION("""COMPUTED_VALUE"""),80.0)</f>
        <v>80</v>
      </c>
      <c r="E77" s="5" t="str">
        <f>IFERROR(__xludf.DUMMYFUNCTION("""COMPUTED_VALUE"""),"China")</f>
        <v>China</v>
      </c>
    </row>
    <row r="78" ht="15.75" customHeight="1">
      <c r="A78" s="5" t="str">
        <f>IFERROR(__xludf.DUMMYFUNCTION("""COMPUTED_VALUE"""),"SCOPUS-000223")</f>
        <v>SCOPUS-000223</v>
      </c>
      <c r="B78" s="6" t="str">
        <f>IFERROR(__xludf.DUMMYFUNCTION("""COMPUTED_VALUE"""),"CornWeed12 and custom six-weeds dataset")</f>
        <v>CornWeed12 and custom six-weeds dataset</v>
      </c>
      <c r="C78" s="5" t="str">
        <f>IFERROR(__xludf.DUMMYFUNCTION("""COMPUTED_VALUE"""),"On Request")</f>
        <v>On Request</v>
      </c>
      <c r="D78" s="5">
        <f>IFERROR(__xludf.DUMMYFUNCTION("""COMPUTED_VALUE"""),2085.0)</f>
        <v>2085</v>
      </c>
      <c r="E78" s="5" t="str">
        <f>IFERROR(__xludf.DUMMYFUNCTION("""COMPUTED_VALUE"""),"USA, China")</f>
        <v>USA, China</v>
      </c>
    </row>
    <row r="79" ht="15.75" customHeight="1">
      <c r="A79" s="5" t="str">
        <f>IFERROR(__xludf.DUMMYFUNCTION("""COMPUTED_VALUE"""),"SCOPUS-000216")</f>
        <v>SCOPUS-000216</v>
      </c>
      <c r="B79" s="6" t="str">
        <f>IFERROR(__xludf.DUMMYFUNCTION("""COMPUTED_VALUE"""),"Horseradish and weed dataset")</f>
        <v>Horseradish and weed dataset</v>
      </c>
      <c r="C79" s="5" t="str">
        <f>IFERROR(__xludf.DUMMYFUNCTION("""COMPUTED_VALUE"""),"On Request")</f>
        <v>On Request</v>
      </c>
      <c r="D79" s="5">
        <f>IFERROR(__xludf.DUMMYFUNCTION("""COMPUTED_VALUE"""),2696.0)</f>
        <v>2696</v>
      </c>
      <c r="E79" s="5" t="str">
        <f>IFERROR(__xludf.DUMMYFUNCTION("""COMPUTED_VALUE"""),"USA")</f>
        <v>USA</v>
      </c>
    </row>
    <row r="80" ht="15.75" customHeight="1">
      <c r="A80" s="5" t="str">
        <f>IFERROR(__xludf.DUMMYFUNCTION("""COMPUTED_VALUE"""),"SCOPUS-000168")</f>
        <v>SCOPUS-000168</v>
      </c>
      <c r="B80" s="6" t="str">
        <f>IFERROR(__xludf.DUMMYFUNCTION("""COMPUTED_VALUE"""),"Hyperspectral image dataset")</f>
        <v>Hyperspectral image dataset</v>
      </c>
      <c r="C80" s="5" t="str">
        <f>IFERROR(__xludf.DUMMYFUNCTION("""COMPUTED_VALUE"""),"On Request")</f>
        <v>On Request</v>
      </c>
      <c r="D80" s="5">
        <f>IFERROR(__xludf.DUMMYFUNCTION("""COMPUTED_VALUE"""),225.0)</f>
        <v>225</v>
      </c>
      <c r="E80" s="5" t="str">
        <f>IFERROR(__xludf.DUMMYFUNCTION("""COMPUTED_VALUE"""),"Kazakhstan")</f>
        <v>Kazakhstan</v>
      </c>
    </row>
    <row r="81" ht="15.75" customHeight="1">
      <c r="A81" s="5" t="str">
        <f>IFERROR(__xludf.DUMMYFUNCTION("""COMPUTED_VALUE"""),"SCOPUS-000143")</f>
        <v>SCOPUS-000143</v>
      </c>
      <c r="B81" s="6" t="str">
        <f>IFERROR(__xludf.DUMMYFUNCTION("""COMPUTED_VALUE"""),"Tobacco field dataset")</f>
        <v>Tobacco field dataset</v>
      </c>
      <c r="C81" s="5" t="str">
        <f>IFERROR(__xludf.DUMMYFUNCTION("""COMPUTED_VALUE"""),"Private")</f>
        <v>Private</v>
      </c>
      <c r="D81" s="5">
        <f>IFERROR(__xludf.DUMMYFUNCTION("""COMPUTED_VALUE"""),307.0)</f>
        <v>307</v>
      </c>
      <c r="E81" s="5" t="str">
        <f>IFERROR(__xludf.DUMMYFUNCTION("""COMPUTED_VALUE"""),"Türkiye")</f>
        <v>Türkiye</v>
      </c>
    </row>
    <row r="82" ht="15.75" customHeight="1">
      <c r="A82" s="5" t="str">
        <f>IFERROR(__xludf.DUMMYFUNCTION("""COMPUTED_VALUE"""),"SCOPUS-000066")</f>
        <v>SCOPUS-000066</v>
      </c>
      <c r="B82" s="6" t="str">
        <f>IFERROR(__xludf.DUMMYFUNCTION("""COMPUTED_VALUE"""),"Sugarcane-weed dataset")</f>
        <v>Sugarcane-weed dataset</v>
      </c>
      <c r="C82" s="5" t="str">
        <f>IFERROR(__xludf.DUMMYFUNCTION("""COMPUTED_VALUE"""),"Public")</f>
        <v>Public</v>
      </c>
      <c r="D82" s="5">
        <f>IFERROR(__xludf.DUMMYFUNCTION("""COMPUTED_VALUE"""),23100.0)</f>
        <v>23100</v>
      </c>
      <c r="E82" s="5" t="str">
        <f>IFERROR(__xludf.DUMMYFUNCTION("""COMPUTED_VALUE"""),"China")</f>
        <v>China</v>
      </c>
    </row>
    <row r="83" ht="15.75" customHeight="1">
      <c r="A83" s="5" t="str">
        <f>IFERROR(__xludf.DUMMYFUNCTION("""COMPUTED_VALUE"""),"SCOPUS-000015")</f>
        <v>SCOPUS-000015</v>
      </c>
      <c r="B83" s="6" t="str">
        <f>IFERROR(__xludf.DUMMYFUNCTION("""COMPUTED_VALUE"""),"WeedMap and Sesame Aerial dataset")</f>
        <v>WeedMap and Sesame Aerial dataset</v>
      </c>
      <c r="C83" s="5" t="str">
        <f>IFERROR(__xludf.DUMMYFUNCTION("""COMPUTED_VALUE"""),"Public")</f>
        <v>Public</v>
      </c>
      <c r="D83" s="5"/>
      <c r="E83" s="5" t="str">
        <f>IFERROR(__xludf.DUMMYFUNCTION("""COMPUTED_VALUE"""),"Switzerland")</f>
        <v>Switzerland</v>
      </c>
    </row>
    <row r="84" ht="15.75" customHeight="1">
      <c r="A84" s="5" t="str">
        <f>IFERROR(__xludf.DUMMYFUNCTION("""COMPUTED_VALUE"""),"SCOPUS-000180")</f>
        <v>SCOPUS-000180</v>
      </c>
      <c r="B84" s="6" t="str">
        <f>IFERROR(__xludf.DUMMYFUNCTION("""COMPUTED_VALUE"""),"Sesame Weed Inspection Dataset")</f>
        <v>Sesame Weed Inspection Dataset</v>
      </c>
      <c r="C84" s="5" t="str">
        <f>IFERROR(__xludf.DUMMYFUNCTION("""COMPUTED_VALUE"""),"Public")</f>
        <v>Public</v>
      </c>
      <c r="D84" s="5">
        <f>IFERROR(__xludf.DUMMYFUNCTION("""COMPUTED_VALUE"""),1300.0)</f>
        <v>1300</v>
      </c>
      <c r="E84" s="5"/>
    </row>
    <row r="85" ht="15.75" customHeight="1">
      <c r="A85" s="5" t="str">
        <f>IFERROR(__xludf.DUMMYFUNCTION("""COMPUTED_VALUE"""),"SCOPUS-000065")</f>
        <v>SCOPUS-000065</v>
      </c>
      <c r="B85" s="6" t="str">
        <f>IFERROR(__xludf.DUMMYFUNCTION("""COMPUTED_VALUE"""),"tobacco weed UAV-based dataset")</f>
        <v>tobacco weed UAV-based dataset</v>
      </c>
      <c r="C85" s="5" t="str">
        <f>IFERROR(__xludf.DUMMYFUNCTION("""COMPUTED_VALUE"""),"Public")</f>
        <v>Public</v>
      </c>
      <c r="D85" s="5"/>
      <c r="E85" s="5"/>
    </row>
    <row r="86" ht="15.75" customHeight="1">
      <c r="A86" s="5" t="str">
        <f>IFERROR(__xludf.DUMMYFUNCTION("""COMPUTED_VALUE"""),"SCOPUS-000030")</f>
        <v>SCOPUS-000030</v>
      </c>
      <c r="B86" s="6" t="str">
        <f>IFERROR(__xludf.DUMMYFUNCTION("""COMPUTED_VALUE"""),"ACRE 2023 Competition Dataset")</f>
        <v>ACRE 2023 Competition Dataset</v>
      </c>
      <c r="C86" s="5" t="str">
        <f>IFERROR(__xludf.DUMMYFUNCTION("""COMPUTED_VALUE"""),"Public")</f>
        <v>Public</v>
      </c>
      <c r="D86" s="5">
        <f>IFERROR(__xludf.DUMMYFUNCTION("""COMPUTED_VALUE"""),2069.0)</f>
        <v>2069</v>
      </c>
      <c r="E86" s="5" t="str">
        <f>IFERROR(__xludf.DUMMYFUNCTION("""COMPUTED_VALUE"""),"France")</f>
        <v>France</v>
      </c>
    </row>
    <row r="87" ht="15.75" customHeight="1">
      <c r="A87" s="5" t="str">
        <f>IFERROR(__xludf.DUMMYFUNCTION("""COMPUTED_VALUE"""),"WEBSCI-000402")</f>
        <v>WEBSCI-000402</v>
      </c>
      <c r="B87" s="6" t="str">
        <f>IFERROR(__xludf.DUMMYFUNCTION("""COMPUTED_VALUE"""),"Field dataset")</f>
        <v>Field dataset</v>
      </c>
      <c r="C87" s="5"/>
      <c r="D87" s="5">
        <f>IFERROR(__xludf.DUMMYFUNCTION("""COMPUTED_VALUE"""),1260.0)</f>
        <v>1260</v>
      </c>
      <c r="E87" s="5" t="str">
        <f>IFERROR(__xludf.DUMMYFUNCTION("""COMPUTED_VALUE"""),"India")</f>
        <v>India</v>
      </c>
    </row>
    <row r="88" ht="15.75" customHeight="1">
      <c r="A88" s="5" t="str">
        <f>IFERROR(__xludf.DUMMYFUNCTION("""COMPUTED_VALUE"""),"SCOPUS-000312")</f>
        <v>SCOPUS-000312</v>
      </c>
      <c r="B88" s="6" t="str">
        <f>IFERROR(__xludf.DUMMYFUNCTION("""COMPUTED_VALUE"""),"Crop and weed detection data")</f>
        <v>Crop and weed detection data</v>
      </c>
      <c r="C88" s="5" t="str">
        <f>IFERROR(__xludf.DUMMYFUNCTION("""COMPUTED_VALUE"""),"Public")</f>
        <v>Public</v>
      </c>
      <c r="D88" s="5">
        <f>IFERROR(__xludf.DUMMYFUNCTION("""COMPUTED_VALUE"""),1300.0)</f>
        <v>1300</v>
      </c>
      <c r="E88" s="5"/>
    </row>
    <row r="89" ht="15.75" customHeight="1">
      <c r="A89" s="5" t="str">
        <f>IFERROR(__xludf.DUMMYFUNCTION("""COMPUTED_VALUE"""),"SCOPUS-000300")</f>
        <v>SCOPUS-000300</v>
      </c>
      <c r="B89" s="6" t="str">
        <f>IFERROR(__xludf.DUMMYFUNCTION("""COMPUTED_VALUE"""),"WeedCAM dataset")</f>
        <v>WeedCAM dataset</v>
      </c>
      <c r="C89" s="5" t="str">
        <f>IFERROR(__xludf.DUMMYFUNCTION("""COMPUTED_VALUE"""),"On Request")</f>
        <v>On Request</v>
      </c>
      <c r="D89" s="5">
        <f>IFERROR(__xludf.DUMMYFUNCTION("""COMPUTED_VALUE"""),5734.0)</f>
        <v>5734</v>
      </c>
      <c r="E89" s="5" t="str">
        <f>IFERROR(__xludf.DUMMYFUNCTION("""COMPUTED_VALUE"""),"USA")</f>
        <v>USA</v>
      </c>
    </row>
    <row r="90" ht="15.75" customHeight="1">
      <c r="A90" s="5" t="str">
        <f>IFERROR(__xludf.DUMMYFUNCTION("""COMPUTED_VALUE"""),"SCOPUS-000099")</f>
        <v>SCOPUS-000099</v>
      </c>
      <c r="B90" s="6" t="str">
        <f>IFERROR(__xludf.DUMMYFUNCTION("""COMPUTED_VALUE"""),"Maize-weed field dataset")</f>
        <v>Maize-weed field dataset</v>
      </c>
      <c r="C90" s="5" t="str">
        <f>IFERROR(__xludf.DUMMYFUNCTION("""COMPUTED_VALUE"""),"Private")</f>
        <v>Private</v>
      </c>
      <c r="D90" s="5">
        <f>IFERROR(__xludf.DUMMYFUNCTION("""COMPUTED_VALUE"""),2088.0)</f>
        <v>2088</v>
      </c>
      <c r="E90" s="5" t="str">
        <f>IFERROR(__xludf.DUMMYFUNCTION("""COMPUTED_VALUE"""),"China")</f>
        <v>China</v>
      </c>
    </row>
    <row r="91" ht="15.75" customHeight="1">
      <c r="A91" s="5" t="str">
        <f>IFERROR(__xludf.DUMMYFUNCTION("""COMPUTED_VALUE"""),"SCOPUS-000287")</f>
        <v>SCOPUS-000287</v>
      </c>
      <c r="B91" s="6" t="str">
        <f>IFERROR(__xludf.DUMMYFUNCTION("""COMPUTED_VALUE"""),"DRONEWEED")</f>
        <v>DRONEWEED</v>
      </c>
      <c r="C91" s="5" t="str">
        <f>IFERROR(__xludf.DUMMYFUNCTION("""COMPUTED_VALUE"""),"Public")</f>
        <v>Public</v>
      </c>
      <c r="D91" s="5">
        <f>IFERROR(__xludf.DUMMYFUNCTION("""COMPUTED_VALUE"""),1460.0)</f>
        <v>1460</v>
      </c>
      <c r="E91" s="5" t="str">
        <f>IFERROR(__xludf.DUMMYFUNCTION("""COMPUTED_VALUE"""),"Spain")</f>
        <v>Spain</v>
      </c>
    </row>
    <row r="92" ht="15.75" customHeight="1">
      <c r="A92" s="5" t="str">
        <f>IFERROR(__xludf.DUMMYFUNCTION("""COMPUTED_VALUE"""),"SCOPUS-000172")</f>
        <v>SCOPUS-000172</v>
      </c>
      <c r="B92" s="6" t="str">
        <f>IFERROR(__xludf.DUMMYFUNCTION("""COMPUTED_VALUE"""),"3W-Pro")</f>
        <v>3W-Pro</v>
      </c>
      <c r="C92" s="5" t="str">
        <f>IFERROR(__xludf.DUMMYFUNCTION("""COMPUTED_VALUE"""),"Public")</f>
        <v>Public</v>
      </c>
      <c r="D92" s="5">
        <f>IFERROR(__xludf.DUMMYFUNCTION("""COMPUTED_VALUE"""),11312.0)</f>
        <v>11312</v>
      </c>
      <c r="E92" s="5"/>
    </row>
    <row r="93" ht="15.75" customHeight="1">
      <c r="A93" s="5" t="str">
        <f>IFERROR(__xludf.DUMMYFUNCTION("""COMPUTED_VALUE"""),"SCOPUS-000290")</f>
        <v>SCOPUS-000290</v>
      </c>
      <c r="B93" s="6" t="str">
        <f>IFERROR(__xludf.DUMMYFUNCTION("""COMPUTED_VALUE"""),"Custom soybean-field weed dataset")</f>
        <v>Custom soybean-field weed dataset</v>
      </c>
      <c r="C93" s="5"/>
      <c r="D93" s="5">
        <f>IFERROR(__xludf.DUMMYFUNCTION("""COMPUTED_VALUE"""),3200.0)</f>
        <v>3200</v>
      </c>
      <c r="E93" s="5" t="str">
        <f>IFERROR(__xludf.DUMMYFUNCTION("""COMPUTED_VALUE"""),"China")</f>
        <v>China</v>
      </c>
    </row>
    <row r="94" ht="15.75" customHeight="1">
      <c r="A94" s="5" t="str">
        <f>IFERROR(__xludf.DUMMYFUNCTION("""COMPUTED_VALUE"""),"SCOPUS-000274")</f>
        <v>SCOPUS-000274</v>
      </c>
      <c r="B94" s="6" t="str">
        <f>IFERROR(__xludf.DUMMYFUNCTION("""COMPUTED_VALUE"""),"DeepWeeds")</f>
        <v>DeepWeeds</v>
      </c>
      <c r="C94" s="5" t="str">
        <f>IFERROR(__xludf.DUMMYFUNCTION("""COMPUTED_VALUE"""),"Public")</f>
        <v>Public</v>
      </c>
      <c r="D94" s="5">
        <f>IFERROR(__xludf.DUMMYFUNCTION("""COMPUTED_VALUE"""),17509.0)</f>
        <v>17509</v>
      </c>
      <c r="E94" s="5" t="str">
        <f>IFERROR(__xludf.DUMMYFUNCTION("""COMPUTED_VALUE"""),"Australia")</f>
        <v>Australia</v>
      </c>
    </row>
    <row r="95" ht="15.75" customHeight="1">
      <c r="A95" s="5" t="str">
        <f>IFERROR(__xludf.DUMMYFUNCTION("""COMPUTED_VALUE"""),"SCOPUS-000084")</f>
        <v>SCOPUS-000084</v>
      </c>
      <c r="B95" s="6" t="str">
        <f>IFERROR(__xludf.DUMMYFUNCTION("""COMPUTED_VALUE"""),"Sidewalk weed dataset")</f>
        <v>Sidewalk weed dataset</v>
      </c>
      <c r="C95" s="5" t="str">
        <f>IFERROR(__xludf.DUMMYFUNCTION("""COMPUTED_VALUE"""),"On Request")</f>
        <v>On Request</v>
      </c>
      <c r="D95" s="5">
        <f>IFERROR(__xludf.DUMMYFUNCTION("""COMPUTED_VALUE"""),3000.0)</f>
        <v>3000</v>
      </c>
      <c r="E95" s="5" t="str">
        <f>IFERROR(__xludf.DUMMYFUNCTION("""COMPUTED_VALUE"""),"China")</f>
        <v>China</v>
      </c>
    </row>
    <row r="96" ht="15.75" customHeight="1">
      <c r="A96" s="5" t="str">
        <f>IFERROR(__xludf.DUMMYFUNCTION("""COMPUTED_VALUE"""),"SCOPUS-000131")</f>
        <v>SCOPUS-000131</v>
      </c>
      <c r="B96" s="6" t="str">
        <f>IFERROR(__xludf.DUMMYFUNCTION("""COMPUTED_VALUE"""),"Custom cornfield weed dataset")</f>
        <v>Custom cornfield weed dataset</v>
      </c>
      <c r="C96" s="5" t="str">
        <f>IFERROR(__xludf.DUMMYFUNCTION("""COMPUTED_VALUE"""),"Private")</f>
        <v>Private</v>
      </c>
      <c r="D96" s="5">
        <f>IFERROR(__xludf.DUMMYFUNCTION("""COMPUTED_VALUE"""),3042.0)</f>
        <v>3042</v>
      </c>
      <c r="E96" s="5" t="str">
        <f>IFERROR(__xludf.DUMMYFUNCTION("""COMPUTED_VALUE"""),"China")</f>
        <v>China</v>
      </c>
    </row>
    <row r="97" ht="15.75" customHeight="1">
      <c r="A97" s="5" t="str">
        <f>IFERROR(__xludf.DUMMYFUNCTION("""COMPUTED_VALUE"""),"SCOPUS-000001")</f>
        <v>SCOPUS-000001</v>
      </c>
      <c r="B97" s="6" t="str">
        <f>IFERROR(__xludf.DUMMYFUNCTION("""COMPUTED_VALUE"""),"Multiple weed species detection (cocklebur, dandelion, waterhemp, Palmer amaranth, lambsquarters)")</f>
        <v>Multiple weed species detection (cocklebur, dandelion, waterhemp, Palmer amaranth, lambsquarters)</v>
      </c>
      <c r="C97" s="5" t="str">
        <f>IFERROR(__xludf.DUMMYFUNCTION("""COMPUTED_VALUE"""),"Public")</f>
        <v>Public</v>
      </c>
      <c r="D97" s="5">
        <f>IFERROR(__xludf.DUMMYFUNCTION("""COMPUTED_VALUE"""),1018.0)</f>
        <v>1018</v>
      </c>
      <c r="E97" s="5" t="str">
        <f>IFERROR(__xludf.DUMMYFUNCTION("""COMPUTED_VALUE"""),"USA")</f>
        <v>USA</v>
      </c>
    </row>
    <row r="98" ht="15.75" customHeight="1">
      <c r="A98" s="5" t="str">
        <f>IFERROR(__xludf.DUMMYFUNCTION("""COMPUTED_VALUE"""),"SCOPUS-000012")</f>
        <v>SCOPUS-000012</v>
      </c>
      <c r="B98" s="6" t="str">
        <f>IFERROR(__xludf.DUMMYFUNCTION("""COMPUTED_VALUE"""),"Unnamed 4-weed growth-stage RGB/ROI set (C. album, D. botrys, L. serriola, S. oleraceus; 448 photos)")</f>
        <v>Unnamed 4-weed growth-stage RGB/ROI set (C. album, D. botrys, L. serriola, S. oleraceus; 448 photos)</v>
      </c>
      <c r="C98" s="5" t="str">
        <f>IFERROR(__xludf.DUMMYFUNCTION("""COMPUTED_VALUE"""),"Private")</f>
        <v>Private</v>
      </c>
      <c r="D98" s="5">
        <f>IFERROR(__xludf.DUMMYFUNCTION("""COMPUTED_VALUE"""),448.0)</f>
        <v>448</v>
      </c>
      <c r="E98" s="5" t="str">
        <f>IFERROR(__xludf.DUMMYFUNCTION("""COMPUTED_VALUE"""),"Turkey")</f>
        <v>Turkey</v>
      </c>
    </row>
    <row r="99" ht="15.75" customHeight="1">
      <c r="A99" s="5" t="str">
        <f>IFERROR(__xludf.DUMMYFUNCTION("""COMPUTED_VALUE"""),"SCOPUS-000027")</f>
        <v>SCOPUS-000027</v>
      </c>
      <c r="B99" s="6" t="str">
        <f>IFERROR(__xludf.DUMMYFUNCTION("""COMPUTED_VALUE"""),"441 UAV RGB soybean images with weed boxes (Rehman et al., 2024)")</f>
        <v>441 UAV RGB soybean images with weed boxes (Rehman et al., 2024)</v>
      </c>
      <c r="C99" s="5" t="str">
        <f>IFERROR(__xludf.DUMMYFUNCTION("""COMPUTED_VALUE"""),"Public")</f>
        <v>Public</v>
      </c>
      <c r="D99" s="5">
        <f>IFERROR(__xludf.DUMMYFUNCTION("""COMPUTED_VALUE"""),441.0)</f>
        <v>441</v>
      </c>
      <c r="E99" s="5"/>
    </row>
    <row r="100" ht="15.75" customHeight="1">
      <c r="A100" s="5" t="str">
        <f>IFERROR(__xludf.DUMMYFUNCTION("""COMPUTED_VALUE"""),"SCOPUS-000047")</f>
        <v>SCOPUS-000047</v>
      </c>
      <c r="B100" s="6" t="str">
        <f>IFERROR(__xludf.DUMMYFUNCTION("""COMPUTED_VALUE"""),"Qseed-12 (12 quarantine/non-quarantine weed seed species; Hikvision 1280×960)")</f>
        <v>Qseed-12 (12 quarantine/non-quarantine weed seed species; Hikvision 1280×960)</v>
      </c>
      <c r="C100" s="5" t="str">
        <f>IFERROR(__xludf.DUMMYFUNCTION("""COMPUTED_VALUE"""),"On Request")</f>
        <v>On Request</v>
      </c>
      <c r="D100" s="5">
        <f>IFERROR(__xludf.DUMMYFUNCTION("""COMPUTED_VALUE"""),2440.0)</f>
        <v>2440</v>
      </c>
      <c r="E100" s="5" t="str">
        <f>IFERROR(__xludf.DUMMYFUNCTION("""COMPUTED_VALUE"""),"China")</f>
        <v>China</v>
      </c>
    </row>
    <row r="101" ht="15.75" customHeight="1">
      <c r="A101" s="5" t="str">
        <f>IFERROR(__xludf.DUMMYFUNCTION("""COMPUTED_VALUE"""),"SCOPUS-000049")</f>
        <v>SCOPUS-000049</v>
      </c>
      <c r="B101" s="6" t="str">
        <f>IFERROR(__xludf.DUMMYFUNCTION("""COMPUTED_VALUE"""),"DeepWeeds (9 classes including Negative; 8 Queensland sites)")</f>
        <v>DeepWeeds (9 classes including Negative; 8 Queensland sites)</v>
      </c>
      <c r="C101" s="5" t="str">
        <f>IFERROR(__xludf.DUMMYFUNCTION("""COMPUTED_VALUE"""),"Public")</f>
        <v>Public</v>
      </c>
      <c r="D101" s="5">
        <f>IFERROR(__xludf.DUMMYFUNCTION("""COMPUTED_VALUE"""),17509.0)</f>
        <v>17509</v>
      </c>
      <c r="E101" s="5" t="str">
        <f>IFERROR(__xludf.DUMMYFUNCTION("""COMPUTED_VALUE"""),"Australia")</f>
        <v>Australia</v>
      </c>
    </row>
    <row r="102" ht="15.75" customHeight="1">
      <c r="A102" s="5" t="str">
        <f>IFERROR(__xludf.DUMMYFUNCTION("""COMPUTED_VALUE"""),"SCOPUS-000059")</f>
        <v>SCOPUS-000059</v>
      </c>
      <c r="B102" s="6" t="str">
        <f>IFERROR(__xludf.DUMMYFUNCTION("""COMPUTED_VALUE"""),"Groundnut weed dataset (Veeragandham and Santhi; 16 classes)")</f>
        <v>Groundnut weed dataset (Veeragandham and Santhi; 16 classes)</v>
      </c>
      <c r="C102" s="5" t="str">
        <f>IFERROR(__xludf.DUMMYFUNCTION("""COMPUTED_VALUE"""),"Public")</f>
        <v>Public</v>
      </c>
      <c r="D102" s="5">
        <f>IFERROR(__xludf.DUMMYFUNCTION("""COMPUTED_VALUE"""),24816.0)</f>
        <v>24816</v>
      </c>
      <c r="E102" s="5" t="str">
        <f>IFERROR(__xludf.DUMMYFUNCTION("""COMPUTED_VALUE"""),"India")</f>
        <v>India</v>
      </c>
    </row>
    <row r="103" ht="15.75" customHeight="1">
      <c r="A103" s="5" t="str">
        <f>IFERROR(__xludf.DUMMYFUNCTION("""COMPUTED_VALUE"""),"SCOPUS-000067")</f>
        <v>SCOPUS-000067</v>
      </c>
      <c r="B103" s="6" t="str">
        <f>IFERROR(__xludf.DUMMYFUNCTION("""COMPUTED_VALUE"""),"Unnamed lab HSI peanut vs 4 weeds (400–950 nm)")</f>
        <v>Unnamed lab HSI peanut vs 4 weeds (400–950 nm)</v>
      </c>
      <c r="C103" s="5" t="str">
        <f>IFERROR(__xludf.DUMMYFUNCTION("""COMPUTED_VALUE"""),"On Request")</f>
        <v>On Request</v>
      </c>
      <c r="D103" s="5">
        <f>IFERROR(__xludf.DUMMYFUNCTION("""COMPUTED_VALUE"""),500.0)</f>
        <v>500</v>
      </c>
      <c r="E103" s="5" t="str">
        <f>IFERROR(__xludf.DUMMYFUNCTION("""COMPUTED_VALUE"""),"Iran")</f>
        <v>Iran</v>
      </c>
    </row>
    <row r="104" ht="15.75" customHeight="1">
      <c r="A104" s="5" t="str">
        <f>IFERROR(__xludf.DUMMYFUNCTION("""COMPUTED_VALUE"""),"SCOPUS-000076")</f>
        <v>SCOPUS-000076</v>
      </c>
      <c r="B104" s="6" t="str">
        <f>IFERROR(__xludf.DUMMYFUNCTION("""COMPUTED_VALUE"""),"Weed25")</f>
        <v>Weed25</v>
      </c>
      <c r="C104" s="5" t="str">
        <f>IFERROR(__xludf.DUMMYFUNCTION("""COMPUTED_VALUE"""),"Public")</f>
        <v>Public</v>
      </c>
      <c r="D104" s="5">
        <f>IFERROR(__xludf.DUMMYFUNCTION("""COMPUTED_VALUE"""),14035.0)</f>
        <v>14035</v>
      </c>
      <c r="E104" s="5"/>
    </row>
    <row r="105" ht="15.75" customHeight="1">
      <c r="A105" s="5" t="str">
        <f>IFERROR(__xludf.DUMMYFUNCTION("""COMPUTED_VALUE"""),"SCOPUS-000087")</f>
        <v>SCOPUS-000087</v>
      </c>
      <c r="B105" s="6" t="str">
        <f>IFERROR(__xludf.DUMMYFUNCTION("""COMPUTED_VALUE"""),"Unnamed self-collected 4-species chilli-habitat images (DSLD CHEFT, Devihosur, Haveri)")</f>
        <v>Unnamed self-collected 4-species chilli-habitat images (DSLD CHEFT, Devihosur, Haveri)</v>
      </c>
      <c r="C105" s="5" t="str">
        <f>IFERROR(__xludf.DUMMYFUNCTION("""COMPUTED_VALUE"""),"Private")</f>
        <v>Private</v>
      </c>
      <c r="D105" s="5">
        <f>IFERROR(__xludf.DUMMYFUNCTION("""COMPUTED_VALUE"""),2000.0)</f>
        <v>2000</v>
      </c>
      <c r="E105" s="5" t="str">
        <f>IFERROR(__xludf.DUMMYFUNCTION("""COMPUTED_VALUE"""),"India")</f>
        <v>India</v>
      </c>
    </row>
    <row r="106" ht="15.75" customHeight="1">
      <c r="A106" s="5" t="str">
        <f>IFERROR(__xludf.DUMMYFUNCTION("""COMPUTED_VALUE"""),"SCOPUS-000089")</f>
        <v>SCOPUS-000089</v>
      </c>
      <c r="B106" s="6" t="str">
        <f>IFERROR(__xludf.DUMMYFUNCTION("""COMPUTED_VALUE"""),"Kaggle Plant Seedlings Classification plus unnamed custom weed set (Table 1: 10000 + 1500)")</f>
        <v>Kaggle Plant Seedlings Classification plus unnamed custom weed set (Table 1: 10000 + 1500)</v>
      </c>
      <c r="C106" s="5" t="str">
        <f>IFERROR(__xludf.DUMMYFUNCTION("""COMPUTED_VALUE"""),"Public")</f>
        <v>Public</v>
      </c>
      <c r="D106" s="5">
        <f>IFERROR(__xludf.DUMMYFUNCTION("""COMPUTED_VALUE"""),11500.0)</f>
        <v>11500</v>
      </c>
      <c r="E106" s="5"/>
    </row>
    <row r="107" ht="15.75" customHeight="1">
      <c r="A107" s="5" t="str">
        <f>IFERROR(__xludf.DUMMYFUNCTION("""COMPUTED_VALUE"""),"SCOPUS-000140")</f>
        <v>SCOPUS-000140</v>
      </c>
      <c r="B107" s="6" t="str">
        <f>IFERROR(__xludf.DUMMYFUNCTION("""COMPUTED_VALUE"""),"Unnamed ground-level RGB maize/weed set (9 species; Crop, NLW, BLW, Soil)")</f>
        <v>Unnamed ground-level RGB maize/weed set (9 species; Crop, NLW, BLW, Soil)</v>
      </c>
      <c r="C107" s="5" t="str">
        <f>IFERROR(__xludf.DUMMYFUNCTION("""COMPUTED_VALUE"""),"Private")</f>
        <v>Private</v>
      </c>
      <c r="D107" s="5">
        <f>IFERROR(__xludf.DUMMYFUNCTION("""COMPUTED_VALUE"""),10200.0)</f>
        <v>10200</v>
      </c>
      <c r="E107" s="5" t="str">
        <f>IFERROR(__xludf.DUMMYFUNCTION("""COMPUTED_VALUE"""),"Mexico")</f>
        <v>Mexico</v>
      </c>
    </row>
    <row r="108" ht="15.75" customHeight="1">
      <c r="A108" s="5" t="str">
        <f>IFERROR(__xludf.DUMMYFUNCTION("""COMPUTED_VALUE"""),"SCOPUS-000148")</f>
        <v>SCOPUS-000148</v>
      </c>
      <c r="B108" s="6" t="str">
        <f>IFERROR(__xludf.DUMMYFUNCTION("""COMPUTED_VALUE"""),"CottonWeedID15")</f>
        <v>CottonWeedID15</v>
      </c>
      <c r="C108" s="5" t="str">
        <f>IFERROR(__xludf.DUMMYFUNCTION("""COMPUTED_VALUE"""),"Public")</f>
        <v>Public</v>
      </c>
      <c r="D108" s="5">
        <f>IFERROR(__xludf.DUMMYFUNCTION("""COMPUTED_VALUE"""),5187.0)</f>
        <v>5187</v>
      </c>
      <c r="E108" s="5" t="str">
        <f>IFERROR(__xludf.DUMMYFUNCTION("""COMPUTED_VALUE"""),"USA")</f>
        <v>USA</v>
      </c>
    </row>
    <row r="109" ht="15.75" customHeight="1">
      <c r="A109" s="5" t="str">
        <f>IFERROR(__xludf.DUMMYFUNCTION("""COMPUTED_VALUE"""),"SCOPUS-000156")</f>
        <v>SCOPUS-000156</v>
      </c>
      <c r="B109" s="6" t="str">
        <f>IFERROR(__xludf.DUMMYFUNCTION("""COMPUTED_VALUE"""),"RGBD Data of Broad-Leaf Dock (Rumex obtusifolius; ZED2i pasture stereo)")</f>
        <v>RGBD Data of Broad-Leaf Dock (Rumex obtusifolius; ZED2i pasture stereo)</v>
      </c>
      <c r="C109" s="5" t="str">
        <f>IFERROR(__xludf.DUMMYFUNCTION("""COMPUTED_VALUE"""),"Public")</f>
        <v>Public</v>
      </c>
      <c r="D109" s="5">
        <f>IFERROR(__xludf.DUMMYFUNCTION("""COMPUTED_VALUE"""),588.0)</f>
        <v>588</v>
      </c>
      <c r="E109" s="5"/>
    </row>
    <row r="110" ht="15.75" customHeight="1">
      <c r="A110" s="5" t="str">
        <f>IFERROR(__xludf.DUMMYFUNCTION("""COMPUTED_VALUE"""),"SCOPUS-000166")</f>
        <v>SCOPUS-000166</v>
      </c>
      <c r="B110" s="6" t="str">
        <f>IFERROR(__xludf.DUMMYFUNCTION("""COMPUTED_VALUE"""),"Unnamed UAV rice–barnyard grass tiles (field ridge, patch, single plant)")</f>
        <v>Unnamed UAV rice–barnyard grass tiles (field ridge, patch, single plant)</v>
      </c>
      <c r="C110" s="5" t="str">
        <f>IFERROR(__xludf.DUMMYFUNCTION("""COMPUTED_VALUE"""),"Private")</f>
        <v>Private</v>
      </c>
      <c r="D110" s="5">
        <f>IFERROR(__xludf.DUMMYFUNCTION("""COMPUTED_VALUE"""),3094.0)</f>
        <v>3094</v>
      </c>
      <c r="E110" s="5" t="str">
        <f>IFERROR(__xludf.DUMMYFUNCTION("""COMPUTED_VALUE"""),"China")</f>
        <v>China</v>
      </c>
    </row>
    <row r="111" ht="15.75" customHeight="1">
      <c r="A111" s="5" t="str">
        <f>IFERROR(__xludf.DUMMYFUNCTION("""COMPUTED_VALUE"""),"SCOPUS-000184")</f>
        <v>SCOPUS-000184</v>
      </c>
      <c r="B111" s="6" t="str">
        <f>IFERROR(__xludf.DUMMYFUNCTION("""COMPUTED_VALUE"""),"Unnamed commercial maize inter-/intra-row RGB (ZEAMX, SOLNI, CYPRO, ECHCG; 54368 boxes)")</f>
        <v>Unnamed commercial maize inter-/intra-row RGB (ZEAMX, SOLNI, CYPRO, ECHCG; 54368 boxes)</v>
      </c>
      <c r="C111" s="5" t="str">
        <f>IFERROR(__xludf.DUMMYFUNCTION("""COMPUTED_VALUE"""),"Private")</f>
        <v>Private</v>
      </c>
      <c r="D111" s="5">
        <f>IFERROR(__xludf.DUMMYFUNCTION("""COMPUTED_VALUE"""),4388.0)</f>
        <v>4388</v>
      </c>
      <c r="E111" s="5" t="str">
        <f>IFERROR(__xludf.DUMMYFUNCTION("""COMPUTED_VALUE"""),"Spain")</f>
        <v>Spain</v>
      </c>
    </row>
    <row r="112" ht="15.75" customHeight="1">
      <c r="A112" s="5" t="str">
        <f>IFERROR(__xludf.DUMMYFUNCTION("""COMPUTED_VALUE"""),"SCOPUS-000192")</f>
        <v>SCOPUS-000192</v>
      </c>
      <c r="B112" s="6" t="str">
        <f>IFERROR(__xludf.DUMMYFUNCTION("""COMPUTED_VALUE"""),"Unnamed UAV RGB sugar beet/weed ortho chips and 232 instance-labelled frames, Grand Farm, Wheatland, ND")</f>
        <v>Unnamed UAV RGB sugar beet/weed ortho chips and 232 instance-labelled frames, Grand Farm, Wheatland, ND</v>
      </c>
      <c r="C112" s="5" t="str">
        <f>IFERROR(__xludf.DUMMYFUNCTION("""COMPUTED_VALUE"""),"Private")</f>
        <v>Private</v>
      </c>
      <c r="D112" s="5">
        <f>IFERROR(__xludf.DUMMYFUNCTION("""COMPUTED_VALUE"""),232.0)</f>
        <v>232</v>
      </c>
      <c r="E112" s="5" t="str">
        <f>IFERROR(__xludf.DUMMYFUNCTION("""COMPUTED_VALUE"""),"USA")</f>
        <v>USA</v>
      </c>
    </row>
    <row r="113" ht="15.75" customHeight="1">
      <c r="A113" s="5" t="str">
        <f>IFERROR(__xludf.DUMMYFUNCTION("""COMPUTED_VALUE"""),"SCOPUS-000221")</f>
        <v>SCOPUS-000221</v>
      </c>
      <c r="B113" s="6" t="str">
        <f>IFERROR(__xludf.DUMMYFUNCTION("""COMPUTED_VALUE"""),"DeepWeeds (9 classes including Negative; 8 Queensland sites)")</f>
        <v>DeepWeeds (9 classes including Negative; 8 Queensland sites)</v>
      </c>
      <c r="C113" s="5" t="str">
        <f>IFERROR(__xludf.DUMMYFUNCTION("""COMPUTED_VALUE"""),"Public")</f>
        <v>Public</v>
      </c>
      <c r="D113" s="5">
        <f>IFERROR(__xludf.DUMMYFUNCTION("""COMPUTED_VALUE"""),17509.0)</f>
        <v>17509</v>
      </c>
      <c r="E113" s="5" t="str">
        <f>IFERROR(__xludf.DUMMYFUNCTION("""COMPUTED_VALUE"""),"Australia")</f>
        <v>Australia</v>
      </c>
    </row>
    <row r="114" ht="15.75" customHeight="1">
      <c r="A114" s="5" t="str">
        <f>IFERROR(__xludf.DUMMYFUNCTION("""COMPUTED_VALUE"""),"SCOPUS-000224")</f>
        <v>SCOPUS-000224</v>
      </c>
      <c r="B114" s="6" t="str">
        <f>IFERROR(__xludf.DUMMYFUNCTION("""COMPUTED_VALUE"""),"CottonWeedDet12 (12 weed species; 5648 images)")</f>
        <v>CottonWeedDet12 (12 weed species; 5648 images)</v>
      </c>
      <c r="C114" s="5" t="str">
        <f>IFERROR(__xludf.DUMMYFUNCTION("""COMPUTED_VALUE"""),"Public")</f>
        <v>Public</v>
      </c>
      <c r="D114" s="5">
        <f>IFERROR(__xludf.DUMMYFUNCTION("""COMPUTED_VALUE"""),5648.0)</f>
        <v>5648</v>
      </c>
      <c r="E114" s="5" t="str">
        <f>IFERROR(__xludf.DUMMYFUNCTION("""COMPUTED_VALUE"""),"USA")</f>
        <v>USA</v>
      </c>
    </row>
    <row r="115" ht="15.75" customHeight="1">
      <c r="A115" s="5" t="str">
        <f>IFERROR(__xludf.DUMMYFUNCTION("""COMPUTED_VALUE"""),"SCOPUS-000227")</f>
        <v>SCOPUS-000227</v>
      </c>
      <c r="B115" s="6" t="str">
        <f>IFERROR(__xludf.DUMMYFUNCTION("""COMPUTED_VALUE"""),"Two-Season-WeedDet8 (8 cotton-field weeds; 2021+2022; 10848 boxes)")</f>
        <v>Two-Season-WeedDet8 (8 cotton-field weeds; 2021+2022; 10848 boxes)</v>
      </c>
      <c r="C115" s="5" t="str">
        <f>IFERROR(__xludf.DUMMYFUNCTION("""COMPUTED_VALUE"""),"Public")</f>
        <v>Public</v>
      </c>
      <c r="D115" s="5">
        <f>IFERROR(__xludf.DUMMYFUNCTION("""COMPUTED_VALUE"""),6664.0)</f>
        <v>6664</v>
      </c>
      <c r="E115" s="5" t="str">
        <f>IFERROR(__xludf.DUMMYFUNCTION("""COMPUTED_VALUE"""),"USA")</f>
        <v>USA</v>
      </c>
    </row>
    <row r="116" ht="15.75" customHeight="1">
      <c r="A116" s="5" t="str">
        <f>IFERROR(__xludf.DUMMYFUNCTION("""COMPUTED_VALUE"""),"SCOPUS-000238")</f>
        <v>SCOPUS-000238</v>
      </c>
      <c r="B116" s="6" t="str">
        <f>IFERROR(__xludf.DUMMYFUNCTION("""COMPUTED_VALUE"""),"Handheld RGB tiles of five tomato weeds (SOLNI, POROL, SETVE, CYPRO, ECHCG), Santa Amalia 2021–2022")</f>
        <v>Handheld RGB tiles of five tomato weeds (SOLNI, POROL, SETVE, CYPRO, ECHCG), Santa Amalia 2021–2022</v>
      </c>
      <c r="C116" s="5" t="str">
        <f>IFERROR(__xludf.DUMMYFUNCTION("""COMPUTED_VALUE"""),"Private")</f>
        <v>Private</v>
      </c>
      <c r="D116" s="5">
        <f>IFERROR(__xludf.DUMMYFUNCTION("""COMPUTED_VALUE"""),6592.0)</f>
        <v>6592</v>
      </c>
      <c r="E116" s="5" t="str">
        <f>IFERROR(__xludf.DUMMYFUNCTION("""COMPUTED_VALUE"""),"Spain")</f>
        <v>Spain</v>
      </c>
    </row>
    <row r="117" ht="15.75" customHeight="1">
      <c r="A117" s="5" t="str">
        <f>IFERROR(__xludf.DUMMYFUNCTION("""COMPUTED_VALUE"""),"SCOPUS-000251")</f>
        <v>SCOPUS-000251</v>
      </c>
      <c r="B117" s="6" t="str">
        <f>IFERROR(__xludf.DUMMYFUNCTION("""COMPUTED_VALUE"""),"Unnamed self-collected cabbage RGB+NIR (14 classes; Bohemia sown plots and farms)")</f>
        <v>Unnamed self-collected cabbage RGB+NIR (14 classes; Bohemia sown plots and farms)</v>
      </c>
      <c r="C117" s="5" t="str">
        <f>IFERROR(__xludf.DUMMYFUNCTION("""COMPUTED_VALUE"""),"On Request")</f>
        <v>On Request</v>
      </c>
      <c r="D117" s="5">
        <f>IFERROR(__xludf.DUMMYFUNCTION("""COMPUTED_VALUE"""),8770.0)</f>
        <v>8770</v>
      </c>
      <c r="E117" s="5" t="str">
        <f>IFERROR(__xludf.DUMMYFUNCTION("""COMPUTED_VALUE"""),"Czech Republic")</f>
        <v>Czech Republic</v>
      </c>
    </row>
    <row r="118" ht="15.75" customHeight="1">
      <c r="A118" s="5" t="str">
        <f>IFERROR(__xludf.DUMMYFUNCTION("""COMPUTED_VALUE"""),"SCOPUS-000257")</f>
        <v>SCOPUS-000257</v>
      </c>
      <c r="B118" s="6" t="str">
        <f>IFERROR(__xludf.DUMMYFUNCTION("""COMPUTED_VALUE"""),"Unnamed self-collected maize seedling and four weeds, Zhengzhou (iPhone 12 Pro Max)")</f>
        <v>Unnamed self-collected maize seedling and four weeds, Zhengzhou (iPhone 12 Pro Max)</v>
      </c>
      <c r="C118" s="5" t="str">
        <f>IFERROR(__xludf.DUMMYFUNCTION("""COMPUTED_VALUE"""),"On Request")</f>
        <v>On Request</v>
      </c>
      <c r="D118" s="5">
        <f>IFERROR(__xludf.DUMMYFUNCTION("""COMPUTED_VALUE"""),867.0)</f>
        <v>867</v>
      </c>
      <c r="E118" s="5" t="str">
        <f>IFERROR(__xludf.DUMMYFUNCTION("""COMPUTED_VALUE"""),"China")</f>
        <v>China</v>
      </c>
    </row>
    <row r="119" ht="15.75" customHeight="1">
      <c r="A119" s="5" t="str">
        <f>IFERROR(__xludf.DUMMYFUNCTION("""COMPUTED_VALUE"""),"SCOPUS-000258")</f>
        <v>SCOPUS-000258</v>
      </c>
      <c r="B119" s="6" t="str">
        <f>IFERROR(__xludf.DUMMYFUNCTION("""COMPUTED_VALUE"""),"Three-season vegetable-weed RGB, Lambsquarters and Purslane (MSU; Deng and Lu 2024 source set)")</f>
        <v>Three-season vegetable-weed RGB, Lambsquarters and Purslane (MSU; Deng and Lu 2024 source set)</v>
      </c>
      <c r="C119" s="5" t="str">
        <f>IFERROR(__xludf.DUMMYFUNCTION("""COMPUTED_VALUE"""),"On Request")</f>
        <v>On Request</v>
      </c>
      <c r="D119" s="5">
        <f>IFERROR(__xludf.DUMMYFUNCTION("""COMPUTED_VALUE"""),1464.0)</f>
        <v>1464</v>
      </c>
      <c r="E119" s="5" t="str">
        <f>IFERROR(__xludf.DUMMYFUNCTION("""COMPUTED_VALUE"""),"USA")</f>
        <v>USA</v>
      </c>
    </row>
    <row r="120" ht="15.75" customHeight="1">
      <c r="A120" s="5" t="str">
        <f>IFERROR(__xludf.DUMMYFUNCTION("""COMPUTED_VALUE"""),"SCOPUS-000262")</f>
        <v>SCOPUS-000262</v>
      </c>
      <c r="B120" s="6" t="str">
        <f>IFERROR(__xludf.DUMMYFUNCTION("""COMPUTED_VALUE"""),"Unnamed USDA Stoneville UAV RGB/multispectral pigweed in soybean")</f>
        <v>Unnamed USDA Stoneville UAV RGB/multispectral pigweed in soybean</v>
      </c>
      <c r="C120" s="5" t="str">
        <f>IFERROR(__xludf.DUMMYFUNCTION("""COMPUTED_VALUE"""),"Private")</f>
        <v>Private</v>
      </c>
      <c r="D120" s="5">
        <f>IFERROR(__xludf.DUMMYFUNCTION("""COMPUTED_VALUE"""),637.0)</f>
        <v>637</v>
      </c>
      <c r="E120" s="5" t="str">
        <f>IFERROR(__xludf.DUMMYFUNCTION("""COMPUTED_VALUE"""),"USA")</f>
        <v>USA</v>
      </c>
    </row>
    <row r="121" ht="15.75" customHeight="1">
      <c r="A121" s="5" t="str">
        <f>IFERROR(__xludf.DUMMYFUNCTION("""COMPUTED_VALUE"""),"SCOPUS-000281")</f>
        <v>SCOPUS-000281</v>
      </c>
      <c r="B121" s="6" t="str">
        <f>IFERROR(__xludf.DUMMYFUNCTION("""COMPUTED_VALUE"""),"UAV RGB tobacco–weed tiles, Tonghai County, Yuxi, Yunnan (DJI Mini 3, 3 m)")</f>
        <v>UAV RGB tobacco–weed tiles, Tonghai County, Yuxi, Yunnan (DJI Mini 3, 3 m)</v>
      </c>
      <c r="C121" s="5" t="str">
        <f>IFERROR(__xludf.DUMMYFUNCTION("""COMPUTED_VALUE"""),"On Request")</f>
        <v>On Request</v>
      </c>
      <c r="D121" s="5">
        <f>IFERROR(__xludf.DUMMYFUNCTION("""COMPUTED_VALUE"""),840.0)</f>
        <v>840</v>
      </c>
      <c r="E121" s="5" t="str">
        <f>IFERROR(__xludf.DUMMYFUNCTION("""COMPUTED_VALUE"""),"China")</f>
        <v>China</v>
      </c>
    </row>
    <row r="122" ht="15.75" customHeight="1">
      <c r="A122" s="5" t="str">
        <f>IFERROR(__xludf.DUMMYFUNCTION("""COMPUTED_VALUE"""),"SCOPUS-000288")</f>
        <v>SCOPUS-000288</v>
      </c>
      <c r="B122" s="6" t="str">
        <f>IFERROR(__xludf.DUMMYFUNCTION("""COMPUTED_VALUE"""),"Sudars et al. annotated food crops and weed images (2 classes: food crops 441, weed 7442)")</f>
        <v>Sudars et al. annotated food crops and weed images (2 classes: food crops 441, weed 7442)</v>
      </c>
      <c r="C122" s="5" t="str">
        <f>IFERROR(__xludf.DUMMYFUNCTION("""COMPUTED_VALUE"""),"Public")</f>
        <v>Public</v>
      </c>
      <c r="D122" s="5">
        <f>IFERROR(__xludf.DUMMYFUNCTION("""COMPUTED_VALUE"""),7883.0)</f>
        <v>7883</v>
      </c>
      <c r="E122" s="5"/>
    </row>
    <row r="123" ht="15.75" customHeight="1">
      <c r="A123" s="5" t="str">
        <f>IFERROR(__xludf.DUMMYFUNCTION("""COMPUTED_VALUE"""),"SCOPUS-000289")</f>
        <v>SCOPUS-000289</v>
      </c>
      <c r="B123" s="6" t="str">
        <f>IFERROR(__xludf.DUMMYFUNCTION("""COMPUTED_VALUE"""),"North Dakota ground-robot RGB (Casselton/Carrington/Fargo 2021–2022; 8 crops, 5 weeds)")</f>
        <v>North Dakota ground-robot RGB (Casselton/Carrington/Fargo 2021–2022; 8 crops, 5 weeds)</v>
      </c>
      <c r="C123" s="5" t="str">
        <f>IFERROR(__xludf.DUMMYFUNCTION("""COMPUTED_VALUE"""),"On Request")</f>
        <v>On Request</v>
      </c>
      <c r="D123" s="5">
        <f>IFERROR(__xludf.DUMMYFUNCTION("""COMPUTED_VALUE"""),4833.0)</f>
        <v>4833</v>
      </c>
      <c r="E123" s="5" t="str">
        <f>IFERROR(__xludf.DUMMYFUNCTION("""COMPUTED_VALUE"""),"USA")</f>
        <v>USA</v>
      </c>
    </row>
    <row r="124" ht="15.75" customHeight="1">
      <c r="A124" s="5" t="str">
        <f>IFERROR(__xludf.DUMMYFUNCTION("""COMPUTED_VALUE"""),"SCOPUS-000306")</f>
        <v>SCOPUS-000306</v>
      </c>
      <c r="B124" s="6" t="str">
        <f>IFERROR(__xludf.DUMMYFUNCTION("""COMPUTED_VALUE"""),"UAV orthomosaic 640x640 tiles of Simonetta potato and weeds, Dürnast, Freising")</f>
        <v>UAV orthomosaic 640x640 tiles of Simonetta potato and weeds, Dürnast, Freising</v>
      </c>
      <c r="C124" s="5" t="str">
        <f>IFERROR(__xludf.DUMMYFUNCTION("""COMPUTED_VALUE"""),"Public")</f>
        <v>Public</v>
      </c>
      <c r="D124" s="5">
        <f>IFERROR(__xludf.DUMMYFUNCTION("""COMPUTED_VALUE"""),150.0)</f>
        <v>150</v>
      </c>
      <c r="E124" s="5" t="str">
        <f>IFERROR(__xludf.DUMMYFUNCTION("""COMPUTED_VALUE"""),"Germany")</f>
        <v>Germany</v>
      </c>
    </row>
    <row r="125" ht="15.75" customHeight="1">
      <c r="A125" s="5" t="str">
        <f>IFERROR(__xludf.DUMMYFUNCTION("""COMPUTED_VALUE"""),"SCOPUS-000319")</f>
        <v>SCOPUS-000319</v>
      </c>
      <c r="B125" s="6" t="str">
        <f>IFERROR(__xludf.DUMMYFUNCTION("""COMPUTED_VALUE"""),"Smartphone overhead images of sticky/jasmine rice vs five weed types, Phayao")</f>
        <v>Smartphone overhead images of sticky/jasmine rice vs five weed types, Phayao</v>
      </c>
      <c r="C125" s="5" t="str">
        <f>IFERROR(__xludf.DUMMYFUNCTION("""COMPUTED_VALUE"""),"On Request")</f>
        <v>On Request</v>
      </c>
      <c r="D125" s="5">
        <f>IFERROR(__xludf.DUMMYFUNCTION("""COMPUTED_VALUE"""),12000.0)</f>
        <v>12000</v>
      </c>
      <c r="E125" s="5" t="str">
        <f>IFERROR(__xludf.DUMMYFUNCTION("""COMPUTED_VALUE"""),"Thailand")</f>
        <v>Thailand</v>
      </c>
    </row>
    <row r="126" ht="15.75" customHeight="1">
      <c r="A126" s="5" t="str">
        <f>IFERROR(__xludf.DUMMYFUNCTION("""COMPUTED_VALUE"""),"SCOPUS-000344")</f>
        <v>SCOPUS-000344</v>
      </c>
      <c r="B126" s="6" t="str">
        <f>IFERROR(__xludf.DUMMYFUNCTION("""COMPUTED_VALUE"""),"Rumex Ancenis RGB 256x256 with XML boxes (organic dairy farm)")</f>
        <v>Rumex Ancenis RGB 256x256 with XML boxes (organic dairy farm)</v>
      </c>
      <c r="C126" s="5" t="str">
        <f>IFERROR(__xludf.DUMMYFUNCTION("""COMPUTED_VALUE"""),"Private")</f>
        <v>Private</v>
      </c>
      <c r="D126" s="5">
        <f>IFERROR(__xludf.DUMMYFUNCTION("""COMPUTED_VALUE"""),408.0)</f>
        <v>408</v>
      </c>
      <c r="E126" s="5" t="str">
        <f>IFERROR(__xludf.DUMMYFUNCTION("""COMPUTED_VALUE"""),"France")</f>
        <v>France</v>
      </c>
    </row>
    <row r="127" ht="15.75" customHeight="1">
      <c r="A127" s="5" t="str">
        <f>IFERROR(__xludf.DUMMYFUNCTION("""COMPUTED_VALUE"""),"SCOPUS-000364")</f>
        <v>SCOPUS-000364</v>
      </c>
      <c r="B127" s="6" t="str">
        <f>IFERROR(__xludf.DUMMYFUNCTION("""COMPUTED_VALUE"""),"CottonWeedDet3 (Carpetweed, Morningglory, Palmer Amaranth; 848 images, 1532 boxes)")</f>
        <v>CottonWeedDet3 (Carpetweed, Morningglory, Palmer Amaranth; 848 images, 1532 boxes)</v>
      </c>
      <c r="C127" s="5" t="str">
        <f>IFERROR(__xludf.DUMMYFUNCTION("""COMPUTED_VALUE"""),"Public")</f>
        <v>Public</v>
      </c>
      <c r="D127" s="5">
        <f>IFERROR(__xludf.DUMMYFUNCTION("""COMPUTED_VALUE"""),848.0)</f>
        <v>848</v>
      </c>
      <c r="E127" s="5" t="str">
        <f>IFERROR(__xludf.DUMMYFUNCTION("""COMPUTED_VALUE"""),"USA")</f>
        <v>USA</v>
      </c>
    </row>
    <row r="128" ht="15.75" customHeight="1">
      <c r="A128" s="5" t="str">
        <f>IFERROR(__xludf.DUMMYFUNCTION("""COMPUTED_VALUE"""),"SCOPUS-000372")</f>
        <v>SCOPUS-000372</v>
      </c>
      <c r="B128" s="6" t="str">
        <f>IFERROR(__xludf.DUMMYFUNCTION("""COMPUTED_VALUE"""),"SorghumWeedDataset_Classification (sorghum/grass/broadleaf; 4312 images)")</f>
        <v>SorghumWeedDataset_Classification (sorghum/grass/broadleaf; 4312 images)</v>
      </c>
      <c r="C128" s="5" t="str">
        <f>IFERROR(__xludf.DUMMYFUNCTION("""COMPUTED_VALUE"""),"Public")</f>
        <v>Public</v>
      </c>
      <c r="D128" s="5">
        <f>IFERROR(__xludf.DUMMYFUNCTION("""COMPUTED_VALUE"""),4312.0)</f>
        <v>4312</v>
      </c>
      <c r="E128" s="5" t="str">
        <f>IFERROR(__xludf.DUMMYFUNCTION("""COMPUTED_VALUE"""),"India")</f>
        <v>India</v>
      </c>
    </row>
    <row r="129" ht="15.75" customHeight="1">
      <c r="A129" s="5" t="str">
        <f>IFERROR(__xludf.DUMMYFUNCTION("""COMPUTED_VALUE"""),"SCOPUS-000379")</f>
        <v>SCOPUS-000379</v>
      </c>
      <c r="B129" s="6" t="str">
        <f>IFERROR(__xludf.DUMMYFUNCTION("""COMPUTED_VALUE"""),"Unnamed Aguascalientes maize-field ROI set: Crop, NLW, BLW (9 species; 5080/class)")</f>
        <v>Unnamed Aguascalientes maize-field ROI set: Crop, NLW, BLW (9 species; 5080/class)</v>
      </c>
      <c r="C129" s="5" t="str">
        <f>IFERROR(__xludf.DUMMYFUNCTION("""COMPUTED_VALUE"""),"Private")</f>
        <v>Private</v>
      </c>
      <c r="D129" s="5">
        <f>IFERROR(__xludf.DUMMYFUNCTION("""COMPUTED_VALUE"""),15240.0)</f>
        <v>15240</v>
      </c>
      <c r="E129" s="5" t="str">
        <f>IFERROR(__xludf.DUMMYFUNCTION("""COMPUTED_VALUE"""),"Mexico")</f>
        <v>Mexico</v>
      </c>
    </row>
    <row r="130" ht="15.75" customHeight="1">
      <c r="A130" s="5" t="str">
        <f>IFERROR(__xludf.DUMMYFUNCTION("""COMPUTED_VALUE"""),"SCOPUS-000383")</f>
        <v>SCOPUS-000383</v>
      </c>
      <c r="B130" s="6" t="str">
        <f>IFERROR(__xludf.DUMMYFUNCTION("""COMPUTED_VALUE"""),"Unnamed UAS RGB monocot/dicot boxes, Indiana maize and soybean (DJI Matrice 600, 10–30 m)")</f>
        <v>Unnamed UAS RGB monocot/dicot boxes, Indiana maize and soybean (DJI Matrice 600, 10–30 m)</v>
      </c>
      <c r="C130" s="5" t="str">
        <f>IFERROR(__xludf.DUMMYFUNCTION("""COMPUTED_VALUE"""),"Public")</f>
        <v>Public</v>
      </c>
      <c r="D130" s="5">
        <f>IFERROR(__xludf.DUMMYFUNCTION("""COMPUTED_VALUE"""),374.0)</f>
        <v>374</v>
      </c>
      <c r="E130" s="5" t="str">
        <f>IFERROR(__xludf.DUMMYFUNCTION("""COMPUTED_VALUE"""),"USA")</f>
        <v>USA</v>
      </c>
    </row>
    <row r="131" ht="15.75" customHeight="1">
      <c r="A131" s="5" t="str">
        <f>IFERROR(__xludf.DUMMYFUNCTION("""COMPUTED_VALUE"""),"SCOPUS-000402")</f>
        <v>SCOPUS-000402</v>
      </c>
      <c r="B131" s="6" t="str">
        <f>IFERROR(__xludf.DUMMYFUNCTION("""COMPUTED_VALUE"""),"Corn weed dataset (Jiang et al. 2020 re-annotated; 5 species + Unknown)")</f>
        <v>Corn weed dataset (Jiang et al. 2020 re-annotated; 5 species + Unknown)</v>
      </c>
      <c r="C131" s="5" t="str">
        <f>IFERROR(__xludf.DUMMYFUNCTION("""COMPUTED_VALUE"""),"On Request")</f>
        <v>On Request</v>
      </c>
      <c r="D131" s="5">
        <f>IFERROR(__xludf.DUMMYFUNCTION("""COMPUTED_VALUE"""),5997.0)</f>
        <v>5997</v>
      </c>
      <c r="E131" s="5"/>
    </row>
    <row r="132" ht="15.75" customHeight="1">
      <c r="A132" s="5" t="str">
        <f>IFERROR(__xludf.DUMMYFUNCTION("""COMPUTED_VALUE"""),"SCOPUS-000415")</f>
        <v>SCOPUS-000415</v>
      </c>
      <c r="B132" s="6" t="str">
        <f>IFERROR(__xludf.DUMMYFUNCTION("""COMPUTED_VALUE"""),"Unnamed UAV RGB cotton–soybean patches, College Station TX (FUJIFILM GFX 100, 4.88 m)")</f>
        <v>Unnamed UAV RGB cotton–soybean patches, College Station TX (FUJIFILM GFX 100, 4.88 m)</v>
      </c>
      <c r="C132" s="5" t="str">
        <f>IFERROR(__xludf.DUMMYFUNCTION("""COMPUTED_VALUE"""),"Private")</f>
        <v>Private</v>
      </c>
      <c r="D132" s="5">
        <f>IFERROR(__xludf.DUMMYFUNCTION("""COMPUTED_VALUE"""),2485.0)</f>
        <v>2485</v>
      </c>
      <c r="E132" s="5" t="str">
        <f>IFERROR(__xludf.DUMMYFUNCTION("""COMPUTED_VALUE"""),"USA")</f>
        <v>USA</v>
      </c>
    </row>
    <row r="133" ht="15.75" customHeight="1">
      <c r="A133" s="5" t="str">
        <f>IFERROR(__xludf.DUMMYFUNCTION("""COMPUTED_VALUE"""),"SCOPUS-000421")</f>
        <v>SCOPUS-000421</v>
      </c>
      <c r="B133" s="6" t="str">
        <f>IFERROR(__xludf.DUMMYFUNCTION("""COMPUTED_VALUE"""),"In-situ monocot/dicot RGB (HVCAM/ATV + handheld; ~26,000 train from 200 Danish fields); RoboWeedMap 1149-image public test")</f>
        <v>In-situ monocot/dicot RGB (HVCAM/ATV + handheld; ~26,000 train from 200 Danish fields); RoboWeedMap 1149-image public test</v>
      </c>
      <c r="C133" s="5" t="str">
        <f>IFERROR(__xludf.DUMMYFUNCTION("""COMPUTED_VALUE"""),"Public")</f>
        <v>Public</v>
      </c>
      <c r="D133" s="5">
        <f>IFERROR(__xludf.DUMMYFUNCTION("""COMPUTED_VALUE"""),26000.0)</f>
        <v>26000</v>
      </c>
      <c r="E133" s="5" t="str">
        <f>IFERROR(__xludf.DUMMYFUNCTION("""COMPUTED_VALUE"""),"Denmark")</f>
        <v>Denmark</v>
      </c>
    </row>
    <row r="134" ht="15.75" customHeight="1">
      <c r="A134" s="5" t="str">
        <f>IFERROR(__xludf.DUMMYFUNCTION("""COMPUTED_VALUE"""),"SCOPUS-000429")</f>
        <v>SCOPUS-000429</v>
      </c>
      <c r="B134" s="6" t="str">
        <f>IFERROR(__xludf.DUMMYFUNCTION("""COMPUTED_VALUE"""),"Weed25 (25 weed species, 14 families; field, lawn, and greenhouse RGB)")</f>
        <v>Weed25 (25 weed species, 14 families; field, lawn, and greenhouse RGB)</v>
      </c>
      <c r="C134" s="5" t="str">
        <f>IFERROR(__xludf.DUMMYFUNCTION("""COMPUTED_VALUE"""),"Public")</f>
        <v>Public</v>
      </c>
      <c r="D134" s="5">
        <f>IFERROR(__xludf.DUMMYFUNCTION("""COMPUTED_VALUE"""),14035.0)</f>
        <v>14035</v>
      </c>
      <c r="E134" s="5" t="str">
        <f>IFERROR(__xludf.DUMMYFUNCTION("""COMPUTED_VALUE"""),"China")</f>
        <v>China</v>
      </c>
    </row>
    <row r="135" ht="15.75" customHeight="1">
      <c r="A135" s="5" t="str">
        <f>IFERROR(__xludf.DUMMYFUNCTION("""COMPUTED_VALUE"""),"SCOPUS-000441")</f>
        <v>SCOPUS-000441</v>
      </c>
      <c r="B135" s="6" t="str">
        <f>IFERROR(__xludf.DUMMYFUNCTION("""COMPUTED_VALUE"""),"Huang et al. rice–weed UAV RGB (Zengcheng, South China Agricultural University; DJI at 6 m)")</f>
        <v>Huang et al. rice–weed UAV RGB (Zengcheng, South China Agricultural University; DJI at 6 m)</v>
      </c>
      <c r="C135" s="5" t="str">
        <f>IFERROR(__xludf.DUMMYFUNCTION("""COMPUTED_VALUE"""),"Public")</f>
        <v>Public</v>
      </c>
      <c r="D135" s="5">
        <f>IFERROR(__xludf.DUMMYFUNCTION("""COMPUTED_VALUE"""),91.0)</f>
        <v>91</v>
      </c>
      <c r="E135" s="5" t="str">
        <f>IFERROR(__xludf.DUMMYFUNCTION("""COMPUTED_VALUE"""),"China")</f>
        <v>China</v>
      </c>
    </row>
    <row r="136" ht="15.75" customHeight="1">
      <c r="A136" s="5" t="str">
        <f>IFERROR(__xludf.DUMMYFUNCTION("""COMPUTED_VALUE"""),"SCOPUS-000454")</f>
        <v>SCOPUS-000454</v>
      </c>
      <c r="B136" s="6" t="str">
        <f>IFERROR(__xludf.DUMMYFUNCTION("""COMPUTED_VALUE"""),"CottonWeedID10 (10 classes from CottonWeedID15); also DeepWeeds")</f>
        <v>CottonWeedID10 (10 classes from CottonWeedID15); also DeepWeeds</v>
      </c>
      <c r="C136" s="5" t="str">
        <f>IFERROR(__xludf.DUMMYFUNCTION("""COMPUTED_VALUE"""),"Public")</f>
        <v>Public</v>
      </c>
      <c r="D136" s="5">
        <f>IFERROR(__xludf.DUMMYFUNCTION("""COMPUTED_VALUE"""),4685.0)</f>
        <v>4685</v>
      </c>
      <c r="E136" s="5" t="str">
        <f>IFERROR(__xludf.DUMMYFUNCTION("""COMPUTED_VALUE"""),"USA")</f>
        <v>USA</v>
      </c>
    </row>
    <row r="137" ht="15.75" customHeight="1">
      <c r="A137" s="5" t="str">
        <f>IFERROR(__xludf.DUMMYFUNCTION("""COMPUTED_VALUE"""),"SCOPUS-000459")</f>
        <v>SCOPUS-000459</v>
      </c>
      <c r="B137" s="6" t="str">
        <f>IFERROR(__xludf.DUMMYFUNCTION("""COMPUTED_VALUE"""),"Unnamed tractor RGB patches of cereal and vegetable plots (tilted 2×3 m and proximity 0.5×0.5 m; weed vs weed-free)")</f>
        <v>Unnamed tractor RGB patches of cereal and vegetable plots (tilted 2×3 m and proximity 0.5×0.5 m; weed vs weed-free)</v>
      </c>
      <c r="C137" s="5" t="str">
        <f>IFERROR(__xludf.DUMMYFUNCTION("""COMPUTED_VALUE"""),"Private")</f>
        <v>Private</v>
      </c>
      <c r="D137" s="5">
        <f>IFERROR(__xludf.DUMMYFUNCTION("""COMPUTED_VALUE"""),1000.0)</f>
        <v>1000</v>
      </c>
      <c r="E137" s="5" t="str">
        <f>IFERROR(__xludf.DUMMYFUNCTION("""COMPUTED_VALUE"""),"Morocco")</f>
        <v>Morocco</v>
      </c>
    </row>
    <row r="138" ht="15.75" customHeight="1">
      <c r="A138" s="5" t="str">
        <f>IFERROR(__xludf.DUMMYFUNCTION("""COMPUTED_VALUE"""),"SCOPUS-000471")</f>
        <v>SCOPUS-000471</v>
      </c>
      <c r="B138" s="6" t="str">
        <f>IFERROR(__xludf.DUMMYFUNCTION("""COMPUTED_VALUE"""),"DeepWeeds (17,509 rangeland images)")</f>
        <v>DeepWeeds (17,509 rangeland images)</v>
      </c>
      <c r="C138" s="5" t="str">
        <f>IFERROR(__xludf.DUMMYFUNCTION("""COMPUTED_VALUE"""),"Public")</f>
        <v>Public</v>
      </c>
      <c r="D138" s="5">
        <f>IFERROR(__xludf.DUMMYFUNCTION("""COMPUTED_VALUE"""),17509.0)</f>
        <v>17509</v>
      </c>
      <c r="E138" s="5" t="str">
        <f>IFERROR(__xludf.DUMMYFUNCTION("""COMPUTED_VALUE"""),"Australia")</f>
        <v>Australia</v>
      </c>
    </row>
    <row r="139" ht="15.75" customHeight="1">
      <c r="A139" s="5" t="str">
        <f>IFERROR(__xludf.DUMMYFUNCTION("""COMPUTED_VALUE"""),"SCOPUS-000480")</f>
        <v>SCOPUS-000480</v>
      </c>
      <c r="B139" s="6" t="str">
        <f>IFERROR(__xludf.DUMMYFUNCTION("""COMPUTED_VALUE"""),"Combined DeepWeeds + Soybean Weed + Cotton Tomato Weed + Corn Weed (20 classes)")</f>
        <v>Combined DeepWeeds + Soybean Weed + Cotton Tomato Weed + Corn Weed (20 classes)</v>
      </c>
      <c r="C139" s="5" t="str">
        <f>IFERROR(__xludf.DUMMYFUNCTION("""COMPUTED_VALUE"""),"Public")</f>
        <v>Public</v>
      </c>
      <c r="D139" s="5">
        <f>IFERROR(__xludf.DUMMYFUNCTION("""COMPUTED_VALUE"""),27004.0)</f>
        <v>27004</v>
      </c>
      <c r="E139" s="5" t="str">
        <f>IFERROR(__xludf.DUMMYFUNCTION("""COMPUTED_VALUE"""),"Australia, Brazil, Greece, China")</f>
        <v>Australia, Brazil, Greece, China</v>
      </c>
    </row>
    <row r="140" ht="15.75" customHeight="1">
      <c r="A140" s="5" t="str">
        <f>IFERROR(__xludf.DUMMYFUNCTION("""COMPUTED_VALUE"""),"SCOPUS-000492")</f>
        <v>SCOPUS-000492</v>
      </c>
      <c r="B140" s="6" t="str">
        <f>IFERROR(__xludf.DUMMYFUNCTION("""COMPUTED_VALUE"""),"Plant Seedlings subset (maize + Charlock, Fat Hen, Shepherd’s Purse, Small-flowered Cranesbill)")</f>
        <v>Plant Seedlings subset (maize + Charlock, Fat Hen, Shepherd’s Purse, Small-flowered Cranesbill)</v>
      </c>
      <c r="C140" s="5" t="str">
        <f>IFERROR(__xludf.DUMMYFUNCTION("""COMPUTED_VALUE"""),"Public")</f>
        <v>Public</v>
      </c>
      <c r="D140" s="5">
        <f>IFERROR(__xludf.DUMMYFUNCTION("""COMPUTED_VALUE"""),1000.0)</f>
        <v>1000</v>
      </c>
      <c r="E140" s="5"/>
    </row>
    <row r="141" ht="15.75" customHeight="1">
      <c r="A141" s="5" t="str">
        <f>IFERROR(__xludf.DUMMYFUNCTION("""COMPUTED_VALUE"""),"SCOPUS-000493")</f>
        <v>SCOPUS-000493</v>
      </c>
      <c r="B141" s="6" t="str">
        <f>IFERROR(__xludf.DUMMYFUNCTION("""COMPUTED_VALUE"""),"Unnamed ATB Marquardt winter-wheat UAV crops (Sony α-6000, 1.5–3 m) of five weed species")</f>
        <v>Unnamed ATB Marquardt winter-wheat UAV crops (Sony α-6000, 1.5–3 m) of five weed species</v>
      </c>
      <c r="C141" s="5" t="str">
        <f>IFERROR(__xludf.DUMMYFUNCTION("""COMPUTED_VALUE"""),"Private")</f>
        <v>Private</v>
      </c>
      <c r="D141" s="5">
        <f>IFERROR(__xludf.DUMMYFUNCTION("""COMPUTED_VALUE"""),13765.0)</f>
        <v>13765</v>
      </c>
      <c r="E141" s="5" t="str">
        <f>IFERROR(__xludf.DUMMYFUNCTION("""COMPUTED_VALUE"""),"Germany")</f>
        <v>Germany</v>
      </c>
    </row>
    <row r="142" ht="15.75" customHeight="1">
      <c r="A142" s="5" t="str">
        <f>IFERROR(__xludf.DUMMYFUNCTION("""COMPUTED_VALUE"""),"SCOPUS-000505")</f>
        <v>SCOPUS-000505</v>
      </c>
      <c r="B142" s="6" t="str">
        <f>IFERROR(__xludf.DUMMYFUNCTION("""COMPUTED_VALUE"""),"Kaggle Open Sprayer Images (Gavin Armstrong; 1176/4851 train wheat/weed, 130/540 test)")</f>
        <v>Kaggle Open Sprayer Images (Gavin Armstrong; 1176/4851 train wheat/weed, 130/540 test)</v>
      </c>
      <c r="C142" s="5" t="str">
        <f>IFERROR(__xludf.DUMMYFUNCTION("""COMPUTED_VALUE"""),"Public")</f>
        <v>Public</v>
      </c>
      <c r="D142" s="5">
        <f>IFERROR(__xludf.DUMMYFUNCTION("""COMPUTED_VALUE"""),6697.0)</f>
        <v>6697</v>
      </c>
      <c r="E142" s="5"/>
    </row>
    <row r="143" ht="15.75" customHeight="1">
      <c r="A143" s="5" t="str">
        <f>IFERROR(__xludf.DUMMYFUNCTION("""COMPUTED_VALUE"""),"SCOPUS-000532")</f>
        <v>SCOPUS-000532</v>
      </c>
      <c r="B143" s="6" t="str">
        <f>IFERROR(__xludf.DUMMYFUNCTION("""COMPUTED_VALUE"""),"Bonn sugar-beet RGB–NIR 809 pairs (sugarbeets2016) plus Tianjin maize RealSense D435i (augmented to 2427)")</f>
        <v>Bonn sugar-beet RGB–NIR 809 pairs (sugarbeets2016) plus Tianjin maize RealSense D435i (augmented to 2427)</v>
      </c>
      <c r="C143" s="5" t="str">
        <f>IFERROR(__xludf.DUMMYFUNCTION("""COMPUTED_VALUE"""),"Public")</f>
        <v>Public</v>
      </c>
      <c r="D143" s="5">
        <f>IFERROR(__xludf.DUMMYFUNCTION("""COMPUTED_VALUE"""),809.0)</f>
        <v>809</v>
      </c>
      <c r="E143" s="5" t="str">
        <f>IFERROR(__xludf.DUMMYFUNCTION("""COMPUTED_VALUE"""),"Germany, China")</f>
        <v>Germany, China</v>
      </c>
    </row>
    <row r="144" ht="15.75" customHeight="1">
      <c r="A144" s="5" t="str">
        <f>IFERROR(__xludf.DUMMYFUNCTION("""COMPUTED_VALUE"""),"SCOPUS-000542")</f>
        <v>SCOPUS-000542</v>
      </c>
      <c r="B144" s="6" t="str">
        <f>IFERROR(__xludf.DUMMYFUNCTION("""COMPUTED_VALUE"""),"25 Dutch sugar-beet/volunteer-potato field subsets (20 train / 5 held-out test fields)")</f>
        <v>25 Dutch sugar-beet/volunteer-potato field subsets (20 train / 5 held-out test fields)</v>
      </c>
      <c r="C144" s="5" t="str">
        <f>IFERROR(__xludf.DUMMYFUNCTION("""COMPUTED_VALUE"""),"On Request")</f>
        <v>On Request</v>
      </c>
      <c r="D144" s="5">
        <f>IFERROR(__xludf.DUMMYFUNCTION("""COMPUTED_VALUE"""),11352.0)</f>
        <v>11352</v>
      </c>
      <c r="E144" s="5" t="str">
        <f>IFERROR(__xludf.DUMMYFUNCTION("""COMPUTED_VALUE"""),"Netherlands")</f>
        <v>Netherlands</v>
      </c>
    </row>
    <row r="145" ht="15.75" customHeight="1">
      <c r="A145" s="5" t="str">
        <f>IFERROR(__xludf.DUMMYFUNCTION("""COMPUTED_VALUE"""),"SCOPUS-000545")</f>
        <v>SCOPUS-000545</v>
      </c>
      <c r="B145" s="6" t="str">
        <f>IFERROR(__xludf.DUMMYFUNCTION("""COMPUTED_VALUE"""),"Anhui soybean–weed RGB (Pocket 2, ~50 cm) plus BoniRob sugar beet, CWFID carrot, and rice seedling sets")</f>
        <v>Anhui soybean–weed RGB (Pocket 2, ~50 cm) plus BoniRob sugar beet, CWFID carrot, and rice seedling sets</v>
      </c>
      <c r="C145" s="5" t="str">
        <f>IFERROR(__xludf.DUMMYFUNCTION("""COMPUTED_VALUE"""),"On Request")</f>
        <v>On Request</v>
      </c>
      <c r="D145" s="5">
        <f>IFERROR(__xludf.DUMMYFUNCTION("""COMPUTED_VALUE"""),553.0)</f>
        <v>553</v>
      </c>
      <c r="E145" s="5" t="str">
        <f>IFERROR(__xludf.DUMMYFUNCTION("""COMPUTED_VALUE"""),"China")</f>
        <v>China</v>
      </c>
    </row>
    <row r="146" ht="15.75" customHeight="1">
      <c r="A146" s="5" t="str">
        <f>IFERROR(__xludf.DUMMYFUNCTION("""COMPUTED_VALUE"""),"SCOPUS-000552")</f>
        <v>SCOPUS-000552</v>
      </c>
      <c r="B146" s="6" t="str">
        <f>IFERROR(__xludf.DUMMYFUNCTION("""COMPUTED_VALUE"""),"UGA 13-species RGB weeds (Ty Ty and Tifton, GA; smartphone/handheld)")</f>
        <v>UGA 13-species RGB weeds (Ty Ty and Tifton, GA; smartphone/handheld)</v>
      </c>
      <c r="C146" s="5" t="str">
        <f>IFERROR(__xludf.DUMMYFUNCTION("""COMPUTED_VALUE"""),"On Request")</f>
        <v>On Request</v>
      </c>
      <c r="D146" s="5">
        <f>IFERROR(__xludf.DUMMYFUNCTION("""COMPUTED_VALUE"""),3000.0)</f>
        <v>3000</v>
      </c>
      <c r="E146" s="5" t="str">
        <f>IFERROR(__xludf.DUMMYFUNCTION("""COMPUTED_VALUE"""),"USA")</f>
        <v>USA</v>
      </c>
    </row>
    <row r="147" ht="15.75" customHeight="1">
      <c r="A147" s="5" t="str">
        <f>IFERROR(__xludf.DUMMYFUNCTION("""COMPUTED_VALUE"""),"SCOPUS-000582")</f>
        <v>SCOPUS-000582</v>
      </c>
      <c r="B147" s="6" t="str">
        <f>IFERROR(__xludf.DUMMYFUNCTION("""COMPUTED_VALUE"""),"UAV thermal (Zenmuse XT2) and 10-band multispectral (MicaSense Dual) canopies of kochia, ragweed, waterhemp, and redroot pigweed after glyphosate, Casselton and Carrington ND")</f>
        <v>UAV thermal (Zenmuse XT2) and 10-band multispectral (MicaSense Dual) canopies of kochia, ragweed, waterhemp, and redroot pigweed after glyphosate, Casselton and Carrington ND</v>
      </c>
      <c r="C147" s="5" t="str">
        <f>IFERROR(__xludf.DUMMYFUNCTION("""COMPUTED_VALUE"""),"On Request")</f>
        <v>On Request</v>
      </c>
      <c r="D147" s="5"/>
      <c r="E147" s="5" t="str">
        <f>IFERROR(__xludf.DUMMYFUNCTION("""COMPUTED_VALUE"""),"USA")</f>
        <v>USA</v>
      </c>
    </row>
    <row r="148" ht="15.75" customHeight="1">
      <c r="A148" s="5" t="str">
        <f>IFERROR(__xludf.DUMMYFUNCTION("""COMPUTED_VALUE"""),"SCOPUS-000600")</f>
        <v>SCOPUS-000600</v>
      </c>
      <c r="B148" s="6" t="str">
        <f>IFERROR(__xludf.DUMMYFUNCTION("""COMPUTED_VALUE"""),"Douro vineyard RGB of 5 weed species (Centaurea melitensis, Echium plantagineum, Erodium moschatum, Lolium rigidum, Ornithopus compressus)")</f>
        <v>Douro vineyard RGB of 5 weed species (Centaurea melitensis, Echium plantagineum, Erodium moschatum, Lolium rigidum, Ornithopus compressus)</v>
      </c>
      <c r="C148" s="5" t="str">
        <f>IFERROR(__xludf.DUMMYFUNCTION("""COMPUTED_VALUE"""),"Private")</f>
        <v>Private</v>
      </c>
      <c r="D148" s="5">
        <f>IFERROR(__xludf.DUMMYFUNCTION("""COMPUTED_VALUE"""),172.0)</f>
        <v>172</v>
      </c>
      <c r="E148" s="5" t="str">
        <f>IFERROR(__xludf.DUMMYFUNCTION("""COMPUTED_VALUE"""),"Portugal")</f>
        <v>Portugal</v>
      </c>
    </row>
    <row r="149" ht="15.75" customHeight="1">
      <c r="A149" s="5" t="str">
        <f>IFERROR(__xludf.DUMMYFUNCTION("""COMPUTED_VALUE"""),"SCOPUS-000620")</f>
        <v>SCOPUS-000620</v>
      </c>
      <c r="B149" s="6" t="str">
        <f>IFERROR(__xludf.DUMMYFUNCTION("""COMPUTED_VALUE"""),"TomatoWeeds (UAV RGB mosaics of early Cyperus rotundus, Solanum nigrum, Portulaca oleracea; Badajoz)")</f>
        <v>TomatoWeeds (UAV RGB mosaics of early Cyperus rotundus, Solanum nigrum, Portulaca oleracea; Badajoz)</v>
      </c>
      <c r="C149" s="5" t="str">
        <f>IFERROR(__xludf.DUMMYFUNCTION("""COMPUTED_VALUE"""),"Private")</f>
        <v>Private</v>
      </c>
      <c r="D149" s="5">
        <f>IFERROR(__xludf.DUMMYFUNCTION("""COMPUTED_VALUE"""),4440.0)</f>
        <v>4440</v>
      </c>
      <c r="E149" s="5" t="str">
        <f>IFERROR(__xludf.DUMMYFUNCTION("""COMPUTED_VALUE"""),"Spain")</f>
        <v>Spain</v>
      </c>
    </row>
    <row r="150" ht="15.75" customHeight="1">
      <c r="A150" s="5" t="str">
        <f>IFERROR(__xludf.DUMMYFUNCTION("""COMPUTED_VALUE"""),"SCOPUS-000623")</f>
        <v>SCOPUS-000623</v>
      </c>
      <c r="B150" s="6" t="str">
        <f>IFERROR(__xludf.DUMMYFUNCTION("""COMPUTED_VALUE"""),"Self-built Manipal paddy RGB (grass, sedges, broadleaved, paddy) plus Huang rice–weed images")</f>
        <v>Self-built Manipal paddy RGB (grass, sedges, broadleaved, paddy) plus Huang rice–weed images</v>
      </c>
      <c r="C150" s="5" t="str">
        <f>IFERROR(__xludf.DUMMYFUNCTION("""COMPUTED_VALUE"""),"Private")</f>
        <v>Private</v>
      </c>
      <c r="D150" s="5">
        <f>IFERROR(__xludf.DUMMYFUNCTION("""COMPUTED_VALUE"""),2878.0)</f>
        <v>2878</v>
      </c>
      <c r="E150" s="5" t="str">
        <f>IFERROR(__xludf.DUMMYFUNCTION("""COMPUTED_VALUE"""),"India")</f>
        <v>India</v>
      </c>
    </row>
    <row r="151" ht="15.75" customHeight="1">
      <c r="A151" s="5" t="str">
        <f>IFERROR(__xludf.DUMMYFUNCTION("""COMPUTED_VALUE"""),"SCOPUS-000626")</f>
        <v>SCOPUS-000626</v>
      </c>
      <c r="B151" s="6" t="str">
        <f>IFERROR(__xludf.DUMMYFUNCTION("""COMPUTED_VALUE"""),"DeepWeeds (8 rangeland species; 9600 train / 7200 val+test)")</f>
        <v>DeepWeeds (8 rangeland species; 9600 train / 7200 val+test)</v>
      </c>
      <c r="C151" s="5" t="str">
        <f>IFERROR(__xludf.DUMMYFUNCTION("""COMPUTED_VALUE"""),"Public")</f>
        <v>Public</v>
      </c>
      <c r="D151" s="5">
        <f>IFERROR(__xludf.DUMMYFUNCTION("""COMPUTED_VALUE"""),16800.0)</f>
        <v>16800</v>
      </c>
      <c r="E151" s="5" t="str">
        <f>IFERROR(__xludf.DUMMYFUNCTION("""COMPUTED_VALUE"""),"Australia")</f>
        <v>Australia</v>
      </c>
    </row>
    <row r="152" ht="15.75" customHeight="1">
      <c r="A152" s="5" t="str">
        <f>IFERROR(__xludf.DUMMYFUNCTION("""COMPUTED_VALUE"""),"SCOPUS-000628")</f>
        <v>SCOPUS-000628</v>
      </c>
      <c r="B152" s="6" t="str">
        <f>IFERROR(__xludf.DUMMYFUNCTION("""COMPUTED_VALUE"""),"Unnamed NDSU greenhouse + field UAS RGB of horseweed, kochia, and common ragweed (Canon 90D + DJI Phantom 4 Pro at ~3.7 m; Casselton ASF and Carrington CREC)")</f>
        <v>Unnamed NDSU greenhouse + field UAS RGB of horseweed, kochia, and common ragweed (Canon 90D + DJI Phantom 4 Pro at ~3.7 m; Casselton ASF and Carrington CREC)</v>
      </c>
      <c r="C152" s="5" t="str">
        <f>IFERROR(__xludf.DUMMYFUNCTION("""COMPUTED_VALUE"""),"On Request")</f>
        <v>On Request</v>
      </c>
      <c r="D152" s="5">
        <f>IFERROR(__xludf.DUMMYFUNCTION("""COMPUTED_VALUE"""),767.0)</f>
        <v>767</v>
      </c>
      <c r="E152" s="5" t="str">
        <f>IFERROR(__xludf.DUMMYFUNCTION("""COMPUTED_VALUE"""),"USA")</f>
        <v>USA</v>
      </c>
    </row>
    <row r="153" ht="15.75" customHeight="1">
      <c r="A153" s="5" t="str">
        <f>IFERROR(__xludf.DUMMYFUNCTION("""COMPUTED_VALUE"""),"SCOPUS-000676")</f>
        <v>SCOPUS-000676</v>
      </c>
      <c r="B153" s="6" t="str">
        <f>IFERROR(__xludf.DUMMYFUNCTION("""COMPUTED_VALUE"""),"Self-collected Almaty-region RGB weeds (Ambrosia, Amaranthus, bindweed, bromus, quinoa; &gt;1000 images/class)")</f>
        <v>Self-collected Almaty-region RGB weeds (Ambrosia, Amaranthus, bindweed, bromus, quinoa; &gt;1000 images/class)</v>
      </c>
      <c r="C153" s="5" t="str">
        <f>IFERROR(__xludf.DUMMYFUNCTION("""COMPUTED_VALUE"""),"Private")</f>
        <v>Private</v>
      </c>
      <c r="D153" s="5">
        <f>IFERROR(__xludf.DUMMYFUNCTION("""COMPUTED_VALUE"""),5000.0)</f>
        <v>5000</v>
      </c>
      <c r="E153" s="5" t="str">
        <f>IFERROR(__xludf.DUMMYFUNCTION("""COMPUTED_VALUE"""),"Kazakhstan")</f>
        <v>Kazakhstan</v>
      </c>
    </row>
    <row r="154" ht="15.75" customHeight="1">
      <c r="A154" s="5" t="str">
        <f>IFERROR(__xludf.DUMMYFUNCTION("""COMPUTED_VALUE"""),"SCOPUS-000753")</f>
        <v>SCOPUS-000753</v>
      </c>
      <c r="B154" s="6" t="str">
        <f>IFERROR(__xludf.DUMMYFUNCTION("""COMPUTED_VALUE"""),"Quad-mounted Nikon D610 RGB canola (Manitoba; 906 images, two growth stages)")</f>
        <v>Quad-mounted Nikon D610 RGB canola (Manitoba; 906 images, two growth stages)</v>
      </c>
      <c r="C154" s="5" t="str">
        <f>IFERROR(__xludf.DUMMYFUNCTION("""COMPUTED_VALUE"""),"Private")</f>
        <v>Private</v>
      </c>
      <c r="D154" s="5">
        <f>IFERROR(__xludf.DUMMYFUNCTION("""COMPUTED_VALUE"""),906.0)</f>
        <v>906</v>
      </c>
      <c r="E154" s="5" t="str">
        <f>IFERROR(__xludf.DUMMYFUNCTION("""COMPUTED_VALUE"""),"Canada")</f>
        <v>Canada</v>
      </c>
    </row>
    <row r="155" ht="15.75" customHeight="1">
      <c r="A155" s="5" t="str">
        <f>IFERROR(__xludf.DUMMYFUNCTION("""COMPUTED_VALUE"""),"WEBSCI-000421")</f>
        <v>WEBSCI-000421</v>
      </c>
      <c r="B155" s="6" t="str">
        <f>IFERROR(__xludf.DUMMYFUNCTION("""COMPUTED_VALUE"""),"Vidarbha soybean–weed RGB (Maharashtra; 3360 labelled farm images)")</f>
        <v>Vidarbha soybean–weed RGB (Maharashtra; 3360 labelled farm images)</v>
      </c>
      <c r="C155" s="5" t="str">
        <f>IFERROR(__xludf.DUMMYFUNCTION("""COMPUTED_VALUE"""),"Private")</f>
        <v>Private</v>
      </c>
      <c r="D155" s="5">
        <f>IFERROR(__xludf.DUMMYFUNCTION("""COMPUTED_VALUE"""),3360.0)</f>
        <v>3360</v>
      </c>
      <c r="E155" s="5" t="str">
        <f>IFERROR(__xludf.DUMMYFUNCTION("""COMPUTED_VALUE"""),"India")</f>
        <v>India</v>
      </c>
    </row>
    <row r="156" ht="15.75" customHeight="1">
      <c r="A156" s="5" t="str">
        <f>IFERROR(__xludf.DUMMYFUNCTION("""COMPUTED_VALUE"""),"WEBSCI-000559")</f>
        <v>WEBSCI-000559</v>
      </c>
      <c r="B156" s="6" t="str">
        <f>IFERROR(__xludf.DUMMYFUNCTION("""COMPUTED_VALUE"""),"MWFI (Harbin maize seedling + 7 weeds; 1632 images, 7:3 split)")</f>
        <v>MWFI (Harbin maize seedling + 7 weeds; 1632 images, 7:3 split)</v>
      </c>
      <c r="C156" s="5" t="str">
        <f>IFERROR(__xludf.DUMMYFUNCTION("""COMPUTED_VALUE"""),"On Request")</f>
        <v>On Request</v>
      </c>
      <c r="D156" s="5">
        <f>IFERROR(__xludf.DUMMYFUNCTION("""COMPUTED_VALUE"""),1632.0)</f>
        <v>1632</v>
      </c>
      <c r="E156" s="5" t="str">
        <f>IFERROR(__xludf.DUMMYFUNCTION("""COMPUTED_VALUE"""),"China")</f>
        <v>China</v>
      </c>
    </row>
  </sheetData>
  <conditionalFormatting sqref="A3:E156">
    <cfRule type="expression" dxfId="4" priority="1" stopIfTrue="1">
      <formula>ISEVEN(ROW())</formula>
    </cfRule>
  </conditionalFormatting>
  <conditionalFormatting sqref="A3:E156">
    <cfRule type="expression" dxfId="3" priority="2" stopIfTrue="1">
      <formula>ISODD(ROW())</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4.5"/>
    <col customWidth="1" min="2" max="2" width="18.25"/>
    <col customWidth="1" min="3" max="3" width="15.75"/>
    <col customWidth="1" min="4" max="4" width="27.63"/>
    <col customWidth="1" min="5" max="5" width="23.25"/>
  </cols>
  <sheetData>
    <row r="1" ht="22.5" customHeight="1">
      <c r="A1" s="1" t="str">
        <f>IFERROR(__xludf.DUMMYFUNCTION("VSTACK(IMPORTRANGE(""https://docs.google.com/spreadsheets/d/1IG-NLlNbWxgmur-Ok920jusl5qwxm6_N-HtBuRIcbS0/edit"",""'5-Barrier Coding'!A1:E258""),QUERY(IMPORTRANGE(""https://docs.google.com/spreadsheets/d/1o-YvsM1EXkN6ZzOgu4zM9Uz7mmya31G7zJCOonMGAME/edit"","&amp;"""'5-Barrier Coding'!A1:E287""),""select * offset 3"",0))"),"Training Data Barriers")</f>
        <v>Training Data Barriers</v>
      </c>
      <c r="B1" s="1"/>
      <c r="C1" s="1"/>
      <c r="D1" s="1"/>
      <c r="E1" s="1"/>
    </row>
    <row r="2" ht="19.5" customHeight="1">
      <c r="A2" s="1" t="str">
        <f>IFERROR(__xludf.DUMMYFUNCTION("""COMPUTED_VALUE"""),"Barriers identified in each paper")</f>
        <v>Barriers identified in each paper</v>
      </c>
      <c r="B2" s="1"/>
      <c r="C2" s="1"/>
      <c r="D2" s="1"/>
      <c r="E2" s="1"/>
    </row>
    <row r="3" ht="19.5" customHeight="1">
      <c r="A3" s="1" t="str">
        <f>IFERROR(__xludf.DUMMYFUNCTION("""COMPUTED_VALUE"""),"Study ID")</f>
        <v>Study ID</v>
      </c>
      <c r="B3" s="1" t="str">
        <f>IFERROR(__xludf.DUMMYFUNCTION("""COMPUTED_VALUE"""),"Study Instance ID")</f>
        <v>Study Instance ID</v>
      </c>
      <c r="C3" s="1" t="str">
        <f>IFERROR(__xludf.DUMMYFUNCTION("""COMPUTED_VALUE"""),"Barrier Category")</f>
        <v>Barrier Category</v>
      </c>
      <c r="D3" s="1" t="str">
        <f>IFERROR(__xludf.DUMMYFUNCTION("""COMPUTED_VALUE"""),"Modules")</f>
        <v>Modules</v>
      </c>
      <c r="E3" s="1" t="str">
        <f>IFERROR(__xludf.DUMMYFUNCTION("""COMPUTED_VALUE"""),"Barriers")</f>
        <v>Barriers</v>
      </c>
    </row>
    <row r="4" ht="15.75" customHeight="1">
      <c r="A4" s="5" t="str">
        <f>IFERROR(__xludf.DUMMYFUNCTION("""COMPUTED_VALUE"""),"SCOPUS-000349")</f>
        <v>SCOPUS-000349</v>
      </c>
      <c r="B4" s="5" t="str">
        <f>IFERROR(__xludf.DUMMYFUNCTION("""COMPUTED_VALUE"""),"SCOPUS-000349-1")</f>
        <v>SCOPUS-000349-1</v>
      </c>
      <c r="C4" s="5" t="str">
        <f>IFERROR(__xludf.DUMMYFUNCTION("""COMPUTED_VALUE"""),"TECHNICAL")</f>
        <v>TECHNICAL</v>
      </c>
      <c r="D4" s="6" t="str">
        <f>IFERROR(__xludf.DUMMYFUNCTION("""COMPUTED_VALUE"""),"Dual-camera setup")</f>
        <v>Dual-camera setup</v>
      </c>
      <c r="E4" s="6" t="str">
        <f>IFERROR(__xludf.DUMMYFUNCTION("""COMPUTED_VALUE"""),"Computational Resource")</f>
        <v>Computational Resource</v>
      </c>
    </row>
    <row r="5" ht="15.75" customHeight="1">
      <c r="A5" s="5" t="str">
        <f>IFERROR(__xludf.DUMMYFUNCTION("""COMPUTED_VALUE"""),"SCOPUS-000349")</f>
        <v>SCOPUS-000349</v>
      </c>
      <c r="B5" s="5" t="str">
        <f>IFERROR(__xludf.DUMMYFUNCTION("""COMPUTED_VALUE"""),"SCOPUS-000349-2")</f>
        <v>SCOPUS-000349-2</v>
      </c>
      <c r="C5" s="5" t="str">
        <f>IFERROR(__xludf.DUMMYFUNCTION("""COMPUTED_VALUE"""),"IMAGING")</f>
        <v>IMAGING</v>
      </c>
      <c r="D5" s="6" t="str">
        <f>IFERROR(__xludf.DUMMYFUNCTION("""COMPUTED_VALUE"""),"Multispectral cameras")</f>
        <v>Multispectral cameras</v>
      </c>
      <c r="E5" s="6" t="str">
        <f>IFERROR(__xludf.DUMMYFUNCTION("""COMPUTED_VALUE"""),"Image Alignment")</f>
        <v>Image Alignment</v>
      </c>
    </row>
    <row r="6" ht="15.75" customHeight="1">
      <c r="A6" s="5" t="str">
        <f>IFERROR(__xludf.DUMMYFUNCTION("""COMPUTED_VALUE"""),"SCOPUS-000473")</f>
        <v>SCOPUS-000473</v>
      </c>
      <c r="B6" s="5" t="str">
        <f>IFERROR(__xludf.DUMMYFUNCTION("""COMPUTED_VALUE"""),"SCOPUS-000473-1")</f>
        <v>SCOPUS-000473-1</v>
      </c>
      <c r="C6" s="5" t="str">
        <f>IFERROR(__xludf.DUMMYFUNCTION("""COMPUTED_VALUE"""),"DATA")</f>
        <v>DATA</v>
      </c>
      <c r="D6" s="6" t="str">
        <f>IFERROR(__xludf.DUMMYFUNCTION("""COMPUTED_VALUE"""),"Efficientnet-V2-L")</f>
        <v>Efficientnet-V2-L</v>
      </c>
      <c r="E6" s="6" t="str">
        <f>IFERROR(__xludf.DUMMYFUNCTION("""COMPUTED_VALUE"""),"Data Scarcity")</f>
        <v>Data Scarcity</v>
      </c>
    </row>
    <row r="7" ht="15.75" customHeight="1">
      <c r="A7" s="5" t="str">
        <f>IFERROR(__xludf.DUMMYFUNCTION("""COMPUTED_VALUE"""),"SCOPUS-000473")</f>
        <v>SCOPUS-000473</v>
      </c>
      <c r="B7" s="5" t="str">
        <f>IFERROR(__xludf.DUMMYFUNCTION("""COMPUTED_VALUE"""),"SCOPUS-000473-2")</f>
        <v>SCOPUS-000473-2</v>
      </c>
      <c r="C7" s="5" t="str">
        <f>IFERROR(__xludf.DUMMYFUNCTION("""COMPUTED_VALUE"""),"ENVIRONMENTAL")</f>
        <v>ENVIRONMENTAL</v>
      </c>
      <c r="D7" s="6" t="str">
        <f>IFERROR(__xludf.DUMMYFUNCTION("""COMPUTED_VALUE"""),"Efficientnet-V2-L")</f>
        <v>Efficientnet-V2-L</v>
      </c>
      <c r="E7" s="6" t="str">
        <f>IFERROR(__xludf.DUMMYFUNCTION("""COMPUTED_VALUE"""),"Environmental Variation")</f>
        <v>Environmental Variation</v>
      </c>
    </row>
    <row r="8" ht="15.75" customHeight="1">
      <c r="A8" s="5" t="str">
        <f>IFERROR(__xludf.DUMMYFUNCTION("""COMPUTED_VALUE"""),"SCOPUS-000722")</f>
        <v>SCOPUS-000722</v>
      </c>
      <c r="B8" s="5" t="str">
        <f>IFERROR(__xludf.DUMMYFUNCTION("""COMPUTED_VALUE"""),"SCOPUS-000722-1")</f>
        <v>SCOPUS-000722-1</v>
      </c>
      <c r="C8" s="5" t="str">
        <f>IFERROR(__xludf.DUMMYFUNCTION("""COMPUTED_VALUE"""),"DATA")</f>
        <v>DATA</v>
      </c>
      <c r="D8" s="6" t="str">
        <f>IFERROR(__xludf.DUMMYFUNCTION("""COMPUTED_VALUE"""),"DeepLabV3+")</f>
        <v>DeepLabV3+</v>
      </c>
      <c r="E8" s="6" t="str">
        <f>IFERROR(__xludf.DUMMYFUNCTION("""COMPUTED_VALUE"""),"Class Imbalance")</f>
        <v>Class Imbalance</v>
      </c>
    </row>
    <row r="9" ht="15.75" customHeight="1">
      <c r="A9" s="5" t="str">
        <f>IFERROR(__xludf.DUMMYFUNCTION("""COMPUTED_VALUE"""),"SCOPUS-000153")</f>
        <v>SCOPUS-000153</v>
      </c>
      <c r="B9" s="5" t="str">
        <f>IFERROR(__xludf.DUMMYFUNCTION("""COMPUTED_VALUE"""),"SCOPUS-000153-1")</f>
        <v>SCOPUS-000153-1</v>
      </c>
      <c r="C9" s="5" t="str">
        <f>IFERROR(__xludf.DUMMYFUNCTION("""COMPUTED_VALUE"""),"DATA")</f>
        <v>DATA</v>
      </c>
      <c r="D9" s="6" t="str">
        <f>IFERROR(__xludf.DUMMYFUNCTION("""COMPUTED_VALUE"""),"UNet")</f>
        <v>UNet</v>
      </c>
      <c r="E9" s="6" t="str">
        <f>IFERROR(__xludf.DUMMYFUNCTION("""COMPUTED_VALUE"""),"Annotation")</f>
        <v>Annotation</v>
      </c>
    </row>
    <row r="10" ht="15.75" customHeight="1">
      <c r="A10" s="5" t="str">
        <f>IFERROR(__xludf.DUMMYFUNCTION("""COMPUTED_VALUE"""),"SCOPUS-000153")</f>
        <v>SCOPUS-000153</v>
      </c>
      <c r="B10" s="5" t="str">
        <f>IFERROR(__xludf.DUMMYFUNCTION("""COMPUTED_VALUE"""),"SCOPUS-000153-2")</f>
        <v>SCOPUS-000153-2</v>
      </c>
      <c r="C10" s="5" t="str">
        <f>IFERROR(__xludf.DUMMYFUNCTION("""COMPUTED_VALUE"""),"IMAGING")</f>
        <v>IMAGING</v>
      </c>
      <c r="D10" s="6" t="str">
        <f>IFERROR(__xludf.DUMMYFUNCTION("""COMPUTED_VALUE"""),"UNet")</f>
        <v>UNet</v>
      </c>
      <c r="E10" s="6" t="str">
        <f>IFERROR(__xludf.DUMMYFUNCTION("""COMPUTED_VALUE"""),"Small Object Detection")</f>
        <v>Small Object Detection</v>
      </c>
    </row>
    <row r="11" ht="15.75" customHeight="1">
      <c r="A11" s="5" t="str">
        <f>IFERROR(__xludf.DUMMYFUNCTION("""COMPUTED_VALUE"""),"SCOPUS-000522")</f>
        <v>SCOPUS-000522</v>
      </c>
      <c r="B11" s="5" t="str">
        <f>IFERROR(__xludf.DUMMYFUNCTION("""COMPUTED_VALUE"""),"SCOPUS-000522-1")</f>
        <v>SCOPUS-000522-1</v>
      </c>
      <c r="C11" s="5" t="str">
        <f>IFERROR(__xludf.DUMMYFUNCTION("""COMPUTED_VALUE"""),"ENVIRONMENTAL")</f>
        <v>ENVIRONMENTAL</v>
      </c>
      <c r="D11" s="6" t="str">
        <f>IFERROR(__xludf.DUMMYFUNCTION("""COMPUTED_VALUE"""),"YOLOv7")</f>
        <v>YOLOv7</v>
      </c>
      <c r="E11" s="6" t="str">
        <f>IFERROR(__xludf.DUMMYFUNCTION("""COMPUTED_VALUE"""),"Background Complexity")</f>
        <v>Background Complexity</v>
      </c>
    </row>
    <row r="12" ht="15.75" customHeight="1">
      <c r="A12" s="5" t="str">
        <f>IFERROR(__xludf.DUMMYFUNCTION("""COMPUTED_VALUE"""),"SCOPUS-000522")</f>
        <v>SCOPUS-000522</v>
      </c>
      <c r="B12" s="5" t="str">
        <f>IFERROR(__xludf.DUMMYFUNCTION("""COMPUTED_VALUE"""),"SCOPUS-000522-2")</f>
        <v>SCOPUS-000522-2</v>
      </c>
      <c r="C12" s="5" t="str">
        <f>IFERROR(__xludf.DUMMYFUNCTION("""COMPUTED_VALUE"""),"DATA")</f>
        <v>DATA</v>
      </c>
      <c r="D12" s="6" t="str">
        <f>IFERROR(__xludf.DUMMYFUNCTION("""COMPUTED_VALUE"""),"YOLOv7")</f>
        <v>YOLOv7</v>
      </c>
      <c r="E12" s="6" t="str">
        <f>IFERROR(__xludf.DUMMYFUNCTION("""COMPUTED_VALUE"""),"Data Scarcity")</f>
        <v>Data Scarcity</v>
      </c>
    </row>
    <row r="13" ht="15.75" customHeight="1">
      <c r="A13" s="5" t="str">
        <f>IFERROR(__xludf.DUMMYFUNCTION("""COMPUTED_VALUE"""),"SCOPUS-000487")</f>
        <v>SCOPUS-000487</v>
      </c>
      <c r="B13" s="5" t="str">
        <f>IFERROR(__xludf.DUMMYFUNCTION("""COMPUTED_VALUE"""),"SCOPUS-000487-1")</f>
        <v>SCOPUS-000487-1</v>
      </c>
      <c r="C13" s="5" t="str">
        <f>IFERROR(__xludf.DUMMYFUNCTION("""COMPUTED_VALUE"""),"DATA")</f>
        <v>DATA</v>
      </c>
      <c r="D13" s="6" t="str">
        <f>IFERROR(__xludf.DUMMYFUNCTION("""COMPUTED_VALUE"""),"SegNet Original")</f>
        <v>SegNet Original</v>
      </c>
      <c r="E13" s="6" t="str">
        <f>IFERROR(__xludf.DUMMYFUNCTION("""COMPUTED_VALUE"""),"Data Scarcity")</f>
        <v>Data Scarcity</v>
      </c>
    </row>
    <row r="14" ht="15.75" customHeight="1">
      <c r="A14" s="5" t="str">
        <f>IFERROR(__xludf.DUMMYFUNCTION("""COMPUTED_VALUE"""),"SCOPUS-000328")</f>
        <v>SCOPUS-000328</v>
      </c>
      <c r="B14" s="5" t="str">
        <f>IFERROR(__xludf.DUMMYFUNCTION("""COMPUTED_VALUE"""),"SCOPUS-000328-1")</f>
        <v>SCOPUS-000328-1</v>
      </c>
      <c r="C14" s="5" t="str">
        <f>IFERROR(__xludf.DUMMYFUNCTION("""COMPUTED_VALUE"""),"ENVIRONMENTAL")</f>
        <v>ENVIRONMENTAL</v>
      </c>
      <c r="D14" s="6"/>
      <c r="E14" s="6" t="str">
        <f>IFERROR(__xludf.DUMMYFUNCTION("""COMPUTED_VALUE"""),"Background Complexity")</f>
        <v>Background Complexity</v>
      </c>
    </row>
    <row r="15" ht="15.75" customHeight="1">
      <c r="A15" s="5" t="str">
        <f>IFERROR(__xludf.DUMMYFUNCTION("""COMPUTED_VALUE"""),"SCOPUS-000256")</f>
        <v>SCOPUS-000256</v>
      </c>
      <c r="B15" s="5" t="str">
        <f>IFERROR(__xludf.DUMMYFUNCTION("""COMPUTED_VALUE"""),"SCOPUS-000256-1")</f>
        <v>SCOPUS-000256-1</v>
      </c>
      <c r="C15" s="5" t="str">
        <f>IFERROR(__xludf.DUMMYFUNCTION("""COMPUTED_VALUE"""),"TECHNICAL")</f>
        <v>TECHNICAL</v>
      </c>
      <c r="D15" s="6" t="str">
        <f>IFERROR(__xludf.DUMMYFUNCTION("""COMPUTED_VALUE"""),"YOLOv7-tiny")</f>
        <v>YOLOv7-tiny</v>
      </c>
      <c r="E15" s="6" t="str">
        <f>IFERROR(__xludf.DUMMYFUNCTION("""COMPUTED_VALUE"""),"Feature Representation")</f>
        <v>Feature Representation</v>
      </c>
    </row>
    <row r="16" ht="15.75" customHeight="1">
      <c r="A16" s="5" t="str">
        <f>IFERROR(__xludf.DUMMYFUNCTION("""COMPUTED_VALUE"""),"SCOPUS-000256")</f>
        <v>SCOPUS-000256</v>
      </c>
      <c r="B16" s="5" t="str">
        <f>IFERROR(__xludf.DUMMYFUNCTION("""COMPUTED_VALUE"""),"SCOPUS-000256-2")</f>
        <v>SCOPUS-000256-2</v>
      </c>
      <c r="C16" s="5" t="str">
        <f>IFERROR(__xludf.DUMMYFUNCTION("""COMPUTED_VALUE"""),"IMAGING")</f>
        <v>IMAGING</v>
      </c>
      <c r="D16" s="6" t="str">
        <f>IFERROR(__xludf.DUMMYFUNCTION("""COMPUTED_VALUE"""),"YOLOv7-tiny")</f>
        <v>YOLOv7-tiny</v>
      </c>
      <c r="E16" s="6" t="str">
        <f>IFERROR(__xludf.DUMMYFUNCTION("""COMPUTED_VALUE"""),"Image Quality")</f>
        <v>Image Quality</v>
      </c>
    </row>
    <row r="17" ht="15.75" customHeight="1">
      <c r="A17" s="5" t="str">
        <f>IFERROR(__xludf.DUMMYFUNCTION("""COMPUTED_VALUE"""),"SCOPUS-000234")</f>
        <v>SCOPUS-000234</v>
      </c>
      <c r="B17" s="5" t="str">
        <f>IFERROR(__xludf.DUMMYFUNCTION("""COMPUTED_VALUE"""),"SCOPUS-000234-1")</f>
        <v>SCOPUS-000234-1</v>
      </c>
      <c r="C17" s="5" t="str">
        <f>IFERROR(__xludf.DUMMYFUNCTION("""COMPUTED_VALUE"""),"IMAGING")</f>
        <v>IMAGING</v>
      </c>
      <c r="D17" s="6" t="str">
        <f>IFERROR(__xludf.DUMMYFUNCTION("""COMPUTED_VALUE"""),"YOLOv3")</f>
        <v>YOLOv3</v>
      </c>
      <c r="E17" s="6" t="str">
        <f>IFERROR(__xludf.DUMMYFUNCTION("""COMPUTED_VALUE"""),"Scale Variation")</f>
        <v>Scale Variation</v>
      </c>
    </row>
    <row r="18" ht="15.75" customHeight="1">
      <c r="A18" s="5" t="str">
        <f>IFERROR(__xludf.DUMMYFUNCTION("""COMPUTED_VALUE"""),"SCOPUS-000220")</f>
        <v>SCOPUS-000220</v>
      </c>
      <c r="B18" s="5" t="str">
        <f>IFERROR(__xludf.DUMMYFUNCTION("""COMPUTED_VALUE"""),"SCOPUS-000220-1")</f>
        <v>SCOPUS-000220-1</v>
      </c>
      <c r="C18" s="5" t="str">
        <f>IFERROR(__xludf.DUMMYFUNCTION("""COMPUTED_VALUE"""),"ENVIRONMENTAL")</f>
        <v>ENVIRONMENTAL</v>
      </c>
      <c r="D18" s="6" t="str">
        <f>IFERROR(__xludf.DUMMYFUNCTION("""COMPUTED_VALUE"""),"YOLOv8")</f>
        <v>YOLOv8</v>
      </c>
      <c r="E18" s="6" t="str">
        <f>IFERROR(__xludf.DUMMYFUNCTION("""COMPUTED_VALUE"""),"Background Complexity")</f>
        <v>Background Complexity</v>
      </c>
    </row>
    <row r="19" ht="15.75" customHeight="1">
      <c r="A19" s="5" t="str">
        <f>IFERROR(__xludf.DUMMYFUNCTION("""COMPUTED_VALUE"""),"SCOPUS-000220")</f>
        <v>SCOPUS-000220</v>
      </c>
      <c r="B19" s="5" t="str">
        <f>IFERROR(__xludf.DUMMYFUNCTION("""COMPUTED_VALUE"""),"SCOPUS-000220-2")</f>
        <v>SCOPUS-000220-2</v>
      </c>
      <c r="C19" s="5" t="str">
        <f>IFERROR(__xludf.DUMMYFUNCTION("""COMPUTED_VALUE"""),"IMAGING")</f>
        <v>IMAGING</v>
      </c>
      <c r="D19" s="6" t="str">
        <f>IFERROR(__xludf.DUMMYFUNCTION("""COMPUTED_VALUE"""),"Bilinear interpolation")</f>
        <v>Bilinear interpolation</v>
      </c>
      <c r="E19" s="6" t="str">
        <f>IFERROR(__xludf.DUMMYFUNCTION("""COMPUTED_VALUE"""),"Small Object Detection")</f>
        <v>Small Object Detection</v>
      </c>
    </row>
    <row r="20" ht="15.75" customHeight="1">
      <c r="A20" s="5" t="str">
        <f>IFERROR(__xludf.DUMMYFUNCTION("""COMPUTED_VALUE"""),"SCOPUS-000211")</f>
        <v>SCOPUS-000211</v>
      </c>
      <c r="B20" s="5" t="str">
        <f>IFERROR(__xludf.DUMMYFUNCTION("""COMPUTED_VALUE"""),"SCOPUS-000211-1")</f>
        <v>SCOPUS-000211-1</v>
      </c>
      <c r="C20" s="5" t="str">
        <f>IFERROR(__xludf.DUMMYFUNCTION("""COMPUTED_VALUE"""),"IMAGING")</f>
        <v>IMAGING</v>
      </c>
      <c r="D20" s="6" t="str">
        <f>IFERROR(__xludf.DUMMYFUNCTION("""COMPUTED_VALUE"""),"YOLOV5")</f>
        <v>YOLOV5</v>
      </c>
      <c r="E20" s="6" t="str">
        <f>IFERROR(__xludf.DUMMYFUNCTION("""COMPUTED_VALUE"""),"Small Object Detection")</f>
        <v>Small Object Detection</v>
      </c>
    </row>
    <row r="21" ht="15.75" customHeight="1">
      <c r="A21" s="5" t="str">
        <f>IFERROR(__xludf.DUMMYFUNCTION("""COMPUTED_VALUE"""),"SCOPUS-000195")</f>
        <v>SCOPUS-000195</v>
      </c>
      <c r="B21" s="5" t="str">
        <f>IFERROR(__xludf.DUMMYFUNCTION("""COMPUTED_VALUE"""),"SCOPUS-000195-1")</f>
        <v>SCOPUS-000195-1</v>
      </c>
      <c r="C21" s="5" t="str">
        <f>IFERROR(__xludf.DUMMYFUNCTION("""COMPUTED_VALUE"""),"IMAGING")</f>
        <v>IMAGING</v>
      </c>
      <c r="D21" s="6" t="str">
        <f>IFERROR(__xludf.DUMMYFUNCTION("""COMPUTED_VALUE"""),"Base EfficientNetB0")</f>
        <v>Base EfficientNetB0</v>
      </c>
      <c r="E21" s="6" t="str">
        <f>IFERROR(__xludf.DUMMYFUNCTION("""COMPUTED_VALUE"""),"Visual Similarity")</f>
        <v>Visual Similarity</v>
      </c>
    </row>
    <row r="22" ht="15.75" customHeight="1">
      <c r="A22" s="5" t="str">
        <f>IFERROR(__xludf.DUMMYFUNCTION("""COMPUTED_VALUE"""),"SCOPUS-000139")</f>
        <v>SCOPUS-000139</v>
      </c>
      <c r="B22" s="5" t="str">
        <f>IFERROR(__xludf.DUMMYFUNCTION("""COMPUTED_VALUE"""),"SCOPUS-000139-1")</f>
        <v>SCOPUS-000139-1</v>
      </c>
      <c r="C22" s="5" t="str">
        <f>IFERROR(__xludf.DUMMYFUNCTION("""COMPUTED_VALUE"""),"DATA")</f>
        <v>DATA</v>
      </c>
      <c r="D22" s="6" t="str">
        <f>IFERROR(__xludf.DUMMYFUNCTION("""COMPUTED_VALUE"""),"YOLOv10n")</f>
        <v>YOLOv10n</v>
      </c>
      <c r="E22" s="6" t="str">
        <f>IFERROR(__xludf.DUMMYFUNCTION("""COMPUTED_VALUE"""),"Data Scarcity")</f>
        <v>Data Scarcity</v>
      </c>
    </row>
    <row r="23" ht="15.75" customHeight="1">
      <c r="A23" s="5" t="str">
        <f>IFERROR(__xludf.DUMMYFUNCTION("""COMPUTED_VALUE"""),"SCOPUS-000139")</f>
        <v>SCOPUS-000139</v>
      </c>
      <c r="B23" s="5" t="str">
        <f>IFERROR(__xludf.DUMMYFUNCTION("""COMPUTED_VALUE"""),"SCOPUS-000139-2")</f>
        <v>SCOPUS-000139-2</v>
      </c>
      <c r="C23" s="5" t="str">
        <f>IFERROR(__xludf.DUMMYFUNCTION("""COMPUTED_VALUE"""),"ENVIRONMENTAL")</f>
        <v>ENVIRONMENTAL</v>
      </c>
      <c r="D23" s="6" t="str">
        <f>IFERROR(__xludf.DUMMYFUNCTION("""COMPUTED_VALUE"""),"YOLOv10n")</f>
        <v>YOLOv10n</v>
      </c>
      <c r="E23" s="6" t="str">
        <f>IFERROR(__xludf.DUMMYFUNCTION("""COMPUTED_VALUE"""),"Background Complexity")</f>
        <v>Background Complexity</v>
      </c>
    </row>
    <row r="24" ht="15.75" customHeight="1">
      <c r="A24" s="5" t="str">
        <f>IFERROR(__xludf.DUMMYFUNCTION("""COMPUTED_VALUE"""),"SCOPUS-000045")</f>
        <v>SCOPUS-000045</v>
      </c>
      <c r="B24" s="5" t="str">
        <f>IFERROR(__xludf.DUMMYFUNCTION("""COMPUTED_VALUE"""),"SCOPUS-000045-1")</f>
        <v>SCOPUS-000045-1</v>
      </c>
      <c r="C24" s="5" t="str">
        <f>IFERROR(__xludf.DUMMYFUNCTION("""COMPUTED_VALUE"""),"DATA")</f>
        <v>DATA</v>
      </c>
      <c r="D24" s="6" t="str">
        <f>IFERROR(__xludf.DUMMYFUNCTION("""COMPUTED_VALUE"""),"Bonnet")</f>
        <v>Bonnet</v>
      </c>
      <c r="E24" s="6" t="str">
        <f>IFERROR(__xludf.DUMMYFUNCTION("""COMPUTED_VALUE"""),"Class Imbalance")</f>
        <v>Class Imbalance</v>
      </c>
    </row>
    <row r="25" ht="15.75" customHeight="1">
      <c r="A25" s="5" t="str">
        <f>IFERROR(__xludf.DUMMYFUNCTION("""COMPUTED_VALUE"""),"SCOPUS-000031")</f>
        <v>SCOPUS-000031</v>
      </c>
      <c r="B25" s="5" t="str">
        <f>IFERROR(__xludf.DUMMYFUNCTION("""COMPUTED_VALUE"""),"SCOPUS-000031-1")</f>
        <v>SCOPUS-000031-1</v>
      </c>
      <c r="C25" s="5" t="str">
        <f>IFERROR(__xludf.DUMMYFUNCTION("""COMPUTED_VALUE"""),"TECHNICAL")</f>
        <v>TECHNICAL</v>
      </c>
      <c r="D25" s="6" t="str">
        <f>IFERROR(__xludf.DUMMYFUNCTION("""COMPUTED_VALUE"""),"FCN")</f>
        <v>FCN</v>
      </c>
      <c r="E25" s="6" t="str">
        <f>IFERROR(__xludf.DUMMYFUNCTION("""COMPUTED_VALUE"""),"Feature Representation")</f>
        <v>Feature Representation</v>
      </c>
    </row>
    <row r="26" ht="15.75" customHeight="1">
      <c r="A26" s="5" t="str">
        <f>IFERROR(__xludf.DUMMYFUNCTION("""COMPUTED_VALUE"""),"SCOPUS-000014")</f>
        <v>SCOPUS-000014</v>
      </c>
      <c r="B26" s="5" t="str">
        <f>IFERROR(__xludf.DUMMYFUNCTION("""COMPUTED_VALUE"""),"SCOPUS-000014-1")</f>
        <v>SCOPUS-000014-1</v>
      </c>
      <c r="C26" s="5" t="str">
        <f>IFERROR(__xludf.DUMMYFUNCTION("""COMPUTED_VALUE"""),"IMAGING")</f>
        <v>IMAGING</v>
      </c>
      <c r="D26" s="6" t="str">
        <f>IFERROR(__xludf.DUMMYFUNCTION("""COMPUTED_VALUE"""),"RetinaNet")</f>
        <v>RetinaNet</v>
      </c>
      <c r="E26" s="6" t="str">
        <f>IFERROR(__xludf.DUMMYFUNCTION("""COMPUTED_VALUE"""),"Visual Similarity")</f>
        <v>Visual Similarity</v>
      </c>
    </row>
    <row r="27" ht="15.75" customHeight="1">
      <c r="A27" s="5" t="str">
        <f>IFERROR(__xludf.DUMMYFUNCTION("""COMPUTED_VALUE"""),"SCOPUS-000544")</f>
        <v>SCOPUS-000544</v>
      </c>
      <c r="B27" s="5" t="str">
        <f>IFERROR(__xludf.DUMMYFUNCTION("""COMPUTED_VALUE"""),"SCOPUS-000544-1")</f>
        <v>SCOPUS-000544-1</v>
      </c>
      <c r="C27" s="5" t="str">
        <f>IFERROR(__xludf.DUMMYFUNCTION("""COMPUTED_VALUE"""),"ENVIRONMENTAL")</f>
        <v>ENVIRONMENTAL</v>
      </c>
      <c r="D27" s="6" t="str">
        <f>IFERROR(__xludf.DUMMYFUNCTION("""COMPUTED_VALUE"""),"PolarMask")</f>
        <v>PolarMask</v>
      </c>
      <c r="E27" s="6" t="str">
        <f>IFERROR(__xludf.DUMMYFUNCTION("""COMPUTED_VALUE"""),"Background Complexity")</f>
        <v>Background Complexity</v>
      </c>
    </row>
    <row r="28" ht="15.75" customHeight="1">
      <c r="A28" s="5" t="str">
        <f>IFERROR(__xludf.DUMMYFUNCTION("""COMPUTED_VALUE"""),"SCOPUS-000151")</f>
        <v>SCOPUS-000151</v>
      </c>
      <c r="B28" s="5" t="str">
        <f>IFERROR(__xludf.DUMMYFUNCTION("""COMPUTED_VALUE"""),"SCOPUS-000151-1")</f>
        <v>SCOPUS-000151-1</v>
      </c>
      <c r="C28" s="5" t="str">
        <f>IFERROR(__xludf.DUMMYFUNCTION("""COMPUTED_VALUE"""),"IMAGING")</f>
        <v>IMAGING</v>
      </c>
      <c r="D28" s="6" t="str">
        <f>IFERROR(__xludf.DUMMYFUNCTION("""COMPUTED_VALUE"""),"Residual diffusion network")</f>
        <v>Residual diffusion network</v>
      </c>
      <c r="E28" s="6" t="str">
        <f>IFERROR(__xludf.DUMMYFUNCTION("""COMPUTED_VALUE"""),"Image Quality")</f>
        <v>Image Quality</v>
      </c>
    </row>
    <row r="29" ht="15.75" customHeight="1">
      <c r="A29" s="5" t="str">
        <f>IFERROR(__xludf.DUMMYFUNCTION("""COMPUTED_VALUE"""),"SCOPUS-000151")</f>
        <v>SCOPUS-000151</v>
      </c>
      <c r="B29" s="5" t="str">
        <f>IFERROR(__xludf.DUMMYFUNCTION("""COMPUTED_VALUE"""),"SCOPUS-000151-2")</f>
        <v>SCOPUS-000151-2</v>
      </c>
      <c r="C29" s="5" t="str">
        <f>IFERROR(__xludf.DUMMYFUNCTION("""COMPUTED_VALUE"""),"TECHNICAL")</f>
        <v>TECHNICAL</v>
      </c>
      <c r="D29" s="6" t="str">
        <f>IFERROR(__xludf.DUMMYFUNCTION("""COMPUTED_VALUE"""),"Deep learning models")</f>
        <v>Deep learning models</v>
      </c>
      <c r="E29" s="6" t="str">
        <f>IFERROR(__xludf.DUMMYFUNCTION("""COMPUTED_VALUE"""),"Computational Resource")</f>
        <v>Computational Resource</v>
      </c>
    </row>
    <row r="30" ht="15.75" customHeight="1">
      <c r="A30" s="5" t="str">
        <f>IFERROR(__xludf.DUMMYFUNCTION("""COMPUTED_VALUE"""),"SCOPUS-000592")</f>
        <v>SCOPUS-000592</v>
      </c>
      <c r="B30" s="5" t="str">
        <f>IFERROR(__xludf.DUMMYFUNCTION("""COMPUTED_VALUE"""),"SCOPUS-000592-1")</f>
        <v>SCOPUS-000592-1</v>
      </c>
      <c r="C30" s="5" t="str">
        <f>IFERROR(__xludf.DUMMYFUNCTION("""COMPUTED_VALUE"""),"DATA")</f>
        <v>DATA</v>
      </c>
      <c r="D30" s="6" t="str">
        <f>IFERROR(__xludf.DUMMYFUNCTION("""COMPUTED_VALUE"""),"DeepLab-V3+")</f>
        <v>DeepLab-V3+</v>
      </c>
      <c r="E30" s="6" t="str">
        <f>IFERROR(__xludf.DUMMYFUNCTION("""COMPUTED_VALUE"""),"Annotation")</f>
        <v>Annotation</v>
      </c>
    </row>
    <row r="31" ht="15.75" customHeight="1">
      <c r="A31" s="5" t="str">
        <f>IFERROR(__xludf.DUMMYFUNCTION("""COMPUTED_VALUE"""),"SCOPUS-000592")</f>
        <v>SCOPUS-000592</v>
      </c>
      <c r="B31" s="5" t="str">
        <f>IFERROR(__xludf.DUMMYFUNCTION("""COMPUTED_VALUE"""),"SCOPUS-000592-2")</f>
        <v>SCOPUS-000592-2</v>
      </c>
      <c r="C31" s="5" t="str">
        <f>IFERROR(__xludf.DUMMYFUNCTION("""COMPUTED_VALUE"""),"TECHNICAL")</f>
        <v>TECHNICAL</v>
      </c>
      <c r="D31" s="6" t="str">
        <f>IFERROR(__xludf.DUMMYFUNCTION("""COMPUTED_VALUE"""),"Xception")</f>
        <v>Xception</v>
      </c>
      <c r="E31" s="6" t="str">
        <f>IFERROR(__xludf.DUMMYFUNCTION("""COMPUTED_VALUE"""),"Computational Resource")</f>
        <v>Computational Resource</v>
      </c>
    </row>
    <row r="32" ht="15.75" customHeight="1">
      <c r="A32" s="5" t="str">
        <f>IFERROR(__xludf.DUMMYFUNCTION("""COMPUTED_VALUE"""),"SCOPUS-000629")</f>
        <v>SCOPUS-000629</v>
      </c>
      <c r="B32" s="5" t="str">
        <f>IFERROR(__xludf.DUMMYFUNCTION("""COMPUTED_VALUE"""),"SCOPUS-000629-1")</f>
        <v>SCOPUS-000629-1</v>
      </c>
      <c r="C32" s="5" t="str">
        <f>IFERROR(__xludf.DUMMYFUNCTION("""COMPUTED_VALUE"""),"DATA")</f>
        <v>DATA</v>
      </c>
      <c r="D32" s="6" t="str">
        <f>IFERROR(__xludf.DUMMYFUNCTION("""COMPUTED_VALUE"""),"GANs")</f>
        <v>GANs</v>
      </c>
      <c r="E32" s="6" t="str">
        <f>IFERROR(__xludf.DUMMYFUNCTION("""COMPUTED_VALUE"""),"Data Scarcity")</f>
        <v>Data Scarcity</v>
      </c>
    </row>
    <row r="33" ht="15.75" customHeight="1">
      <c r="A33" s="5" t="str">
        <f>IFERROR(__xludf.DUMMYFUNCTION("""COMPUTED_VALUE"""),"SCOPUS-000475")</f>
        <v>SCOPUS-000475</v>
      </c>
      <c r="B33" s="5" t="str">
        <f>IFERROR(__xludf.DUMMYFUNCTION("""COMPUTED_VALUE"""),"SCOPUS-000475-1")</f>
        <v>SCOPUS-000475-1</v>
      </c>
      <c r="C33" s="5" t="str">
        <f>IFERROR(__xludf.DUMMYFUNCTION("""COMPUTED_VALUE"""),"ENVIRONMENTAL")</f>
        <v>ENVIRONMENTAL</v>
      </c>
      <c r="D33" s="6" t="str">
        <f>IFERROR(__xludf.DUMMYFUNCTION("""COMPUTED_VALUE"""),"PSPNet")</f>
        <v>PSPNet</v>
      </c>
      <c r="E33" s="6" t="str">
        <f>IFERROR(__xludf.DUMMYFUNCTION("""COMPUTED_VALUE"""),"Background Complexity")</f>
        <v>Background Complexity</v>
      </c>
    </row>
    <row r="34" ht="15.75" customHeight="1">
      <c r="A34" s="5" t="str">
        <f>IFERROR(__xludf.DUMMYFUNCTION("""COMPUTED_VALUE"""),"SCOPUS-000399")</f>
        <v>SCOPUS-000399</v>
      </c>
      <c r="B34" s="5" t="str">
        <f>IFERROR(__xludf.DUMMYFUNCTION("""COMPUTED_VALUE"""),"SCOPUS-000399-1")</f>
        <v>SCOPUS-000399-1</v>
      </c>
      <c r="C34" s="5" t="str">
        <f>IFERROR(__xludf.DUMMYFUNCTION("""COMPUTED_VALUE"""),"DATA")</f>
        <v>DATA</v>
      </c>
      <c r="D34" s="6" t="str">
        <f>IFERROR(__xludf.DUMMYFUNCTION("""COMPUTED_VALUE"""),"WacGAN-info")</f>
        <v>WacGAN-info</v>
      </c>
      <c r="E34" s="6" t="str">
        <f>IFERROR(__xludf.DUMMYFUNCTION("""COMPUTED_VALUE"""),"Data Scarcity")</f>
        <v>Data Scarcity</v>
      </c>
    </row>
    <row r="35" ht="15.75" customHeight="1">
      <c r="A35" s="5" t="str">
        <f>IFERROR(__xludf.DUMMYFUNCTION("""COMPUTED_VALUE"""),"SCOPUS-000323")</f>
        <v>SCOPUS-000323</v>
      </c>
      <c r="B35" s="5" t="str">
        <f>IFERROR(__xludf.DUMMYFUNCTION("""COMPUTED_VALUE"""),"SCOPUS-000323-1")</f>
        <v>SCOPUS-000323-1</v>
      </c>
      <c r="C35" s="5" t="str">
        <f>IFERROR(__xludf.DUMMYFUNCTION("""COMPUTED_VALUE"""),"IMAGING")</f>
        <v>IMAGING</v>
      </c>
      <c r="D35" s="6" t="str">
        <f>IFERROR(__xludf.DUMMYFUNCTION("""COMPUTED_VALUE"""),"AlexNet")</f>
        <v>AlexNet</v>
      </c>
      <c r="E35" s="6" t="str">
        <f>IFERROR(__xludf.DUMMYFUNCTION("""COMPUTED_VALUE"""),"Visual Similarity")</f>
        <v>Visual Similarity</v>
      </c>
    </row>
    <row r="36" ht="15.75" customHeight="1">
      <c r="A36" s="5" t="str">
        <f>IFERROR(__xludf.DUMMYFUNCTION("""COMPUTED_VALUE"""),"SCOPUS-000295")</f>
        <v>SCOPUS-000295</v>
      </c>
      <c r="B36" s="5" t="str">
        <f>IFERROR(__xludf.DUMMYFUNCTION("""COMPUTED_VALUE"""),"SCOPUS-000295-1")</f>
        <v>SCOPUS-000295-1</v>
      </c>
      <c r="C36" s="5" t="str">
        <f>IFERROR(__xludf.DUMMYFUNCTION("""COMPUTED_VALUE"""),"TECHNICAL")</f>
        <v>TECHNICAL</v>
      </c>
      <c r="D36" s="6" t="str">
        <f>IFERROR(__xludf.DUMMYFUNCTION("""COMPUTED_VALUE"""),"Grid R-CNN")</f>
        <v>Grid R-CNN</v>
      </c>
      <c r="E36" s="6" t="str">
        <f>IFERROR(__xludf.DUMMYFUNCTION("""COMPUTED_VALUE"""),"Computational Resource")</f>
        <v>Computational Resource</v>
      </c>
    </row>
    <row r="37" ht="15.75" customHeight="1">
      <c r="A37" s="5" t="str">
        <f>IFERROR(__xludf.DUMMYFUNCTION("""COMPUTED_VALUE"""),"SCOPUS-000611")</f>
        <v>SCOPUS-000611</v>
      </c>
      <c r="B37" s="5" t="str">
        <f>IFERROR(__xludf.DUMMYFUNCTION("""COMPUTED_VALUE"""),"SCOPUS-000611-1")</f>
        <v>SCOPUS-000611-1</v>
      </c>
      <c r="C37" s="5" t="str">
        <f>IFERROR(__xludf.DUMMYFUNCTION("""COMPUTED_VALUE"""),"TECHNICAL")</f>
        <v>TECHNICAL</v>
      </c>
      <c r="D37" s="6" t="str">
        <f>IFERROR(__xludf.DUMMYFUNCTION("""COMPUTED_VALUE"""),"Base Model")</f>
        <v>Base Model</v>
      </c>
      <c r="E37" s="6" t="str">
        <f>IFERROR(__xludf.DUMMYFUNCTION("""COMPUTED_VALUE"""),"Computational Resource")</f>
        <v>Computational Resource</v>
      </c>
    </row>
    <row r="38" ht="15.75" customHeight="1">
      <c r="A38" s="5" t="str">
        <f>IFERROR(__xludf.DUMMYFUNCTION("""COMPUTED_VALUE"""),"SCOPUS-000611")</f>
        <v>SCOPUS-000611</v>
      </c>
      <c r="B38" s="5" t="str">
        <f>IFERROR(__xludf.DUMMYFUNCTION("""COMPUTED_VALUE"""),"SCOPUS-000611-2")</f>
        <v>SCOPUS-000611-2</v>
      </c>
      <c r="C38" s="5" t="str">
        <f>IFERROR(__xludf.DUMMYFUNCTION("""COMPUTED_VALUE"""),"DATA")</f>
        <v>DATA</v>
      </c>
      <c r="D38" s="6" t="str">
        <f>IFERROR(__xludf.DUMMYFUNCTION("""COMPUTED_VALUE"""),"Base Model")</f>
        <v>Base Model</v>
      </c>
      <c r="E38" s="6" t="str">
        <f>IFERROR(__xludf.DUMMYFUNCTION("""COMPUTED_VALUE"""),"Class Imbalance")</f>
        <v>Class Imbalance</v>
      </c>
    </row>
    <row r="39" ht="15.75" customHeight="1">
      <c r="A39" s="5" t="str">
        <f>IFERROR(__xludf.DUMMYFUNCTION("""COMPUTED_VALUE"""),"SCOPUS-000738")</f>
        <v>SCOPUS-000738</v>
      </c>
      <c r="B39" s="5" t="str">
        <f>IFERROR(__xludf.DUMMYFUNCTION("""COMPUTED_VALUE"""),"SCOPUS-000738-1")</f>
        <v>SCOPUS-000738-1</v>
      </c>
      <c r="C39" s="5" t="str">
        <f>IFERROR(__xludf.DUMMYFUNCTION("""COMPUTED_VALUE"""),"TECHNICAL")</f>
        <v>TECHNICAL</v>
      </c>
      <c r="D39" s="6" t="str">
        <f>IFERROR(__xludf.DUMMYFUNCTION("""COMPUTED_VALUE"""),"Deeplab")</f>
        <v>Deeplab</v>
      </c>
      <c r="E39" s="6" t="str">
        <f>IFERROR(__xludf.DUMMYFUNCTION("""COMPUTED_VALUE"""),"Computational Resource")</f>
        <v>Computational Resource</v>
      </c>
    </row>
    <row r="40" ht="15.75" customHeight="1">
      <c r="A40" s="5" t="str">
        <f>IFERROR(__xludf.DUMMYFUNCTION("""COMPUTED_VALUE"""),"SCOPUS-000738")</f>
        <v>SCOPUS-000738</v>
      </c>
      <c r="B40" s="5" t="str">
        <f>IFERROR(__xludf.DUMMYFUNCTION("""COMPUTED_VALUE"""),"SCOPUS-000738-2")</f>
        <v>SCOPUS-000738-2</v>
      </c>
      <c r="C40" s="5" t="str">
        <f>IFERROR(__xludf.DUMMYFUNCTION("""COMPUTED_VALUE"""),"DATA")</f>
        <v>DATA</v>
      </c>
      <c r="D40" s="6" t="str">
        <f>IFERROR(__xludf.DUMMYFUNCTION("""COMPUTED_VALUE"""),"UNet")</f>
        <v>UNet</v>
      </c>
      <c r="E40" s="6" t="str">
        <f>IFERROR(__xludf.DUMMYFUNCTION("""COMPUTED_VALUE"""),"Class Imbalance")</f>
        <v>Class Imbalance</v>
      </c>
    </row>
    <row r="41" ht="15.75" customHeight="1">
      <c r="A41" s="5" t="str">
        <f>IFERROR(__xludf.DUMMYFUNCTION("""COMPUTED_VALUE"""),"SCOPUS-000114")</f>
        <v>SCOPUS-000114</v>
      </c>
      <c r="B41" s="5" t="str">
        <f>IFERROR(__xludf.DUMMYFUNCTION("""COMPUTED_VALUE"""),"SCOPUS-000114-1")</f>
        <v>SCOPUS-000114-1</v>
      </c>
      <c r="C41" s="5" t="str">
        <f>IFERROR(__xludf.DUMMYFUNCTION("""COMPUTED_VALUE"""),"ENVIRONMENTAL")</f>
        <v>ENVIRONMENTAL</v>
      </c>
      <c r="D41" s="6" t="str">
        <f>IFERROR(__xludf.DUMMYFUNCTION("""COMPUTED_VALUE"""),"SVM")</f>
        <v>SVM</v>
      </c>
      <c r="E41" s="6" t="str">
        <f>IFERROR(__xludf.DUMMYFUNCTION("""COMPUTED_VALUE"""),"Environmental Variation")</f>
        <v>Environmental Variation</v>
      </c>
    </row>
    <row r="42" ht="15.75" customHeight="1">
      <c r="A42" s="5" t="str">
        <f>IFERROR(__xludf.DUMMYFUNCTION("""COMPUTED_VALUE"""),"SCOPUS-000366")</f>
        <v>SCOPUS-000366</v>
      </c>
      <c r="B42" s="5" t="str">
        <f>IFERROR(__xludf.DUMMYFUNCTION("""COMPUTED_VALUE"""),"SCOPUS-000366-1")</f>
        <v>SCOPUS-000366-1</v>
      </c>
      <c r="C42" s="5" t="str">
        <f>IFERROR(__xludf.DUMMYFUNCTION("""COMPUTED_VALUE"""),"DATA")</f>
        <v>DATA</v>
      </c>
      <c r="D42" s="6" t="str">
        <f>IFERROR(__xludf.DUMMYFUNCTION("""COMPUTED_VALUE"""),"LBP")</f>
        <v>LBP</v>
      </c>
      <c r="E42" s="6" t="str">
        <f>IFERROR(__xludf.DUMMYFUNCTION("""COMPUTED_VALUE"""),"Data Scarcity")</f>
        <v>Data Scarcity</v>
      </c>
    </row>
    <row r="43" ht="15.75" customHeight="1">
      <c r="A43" s="5" t="str">
        <f>IFERROR(__xludf.DUMMYFUNCTION("""COMPUTED_VALUE"""),"SCOPUS-000286")</f>
        <v>SCOPUS-000286</v>
      </c>
      <c r="B43" s="5" t="str">
        <f>IFERROR(__xludf.DUMMYFUNCTION("""COMPUTED_VALUE"""),"SCOPUS-000286-1")</f>
        <v>SCOPUS-000286-1</v>
      </c>
      <c r="C43" s="5" t="str">
        <f>IFERROR(__xludf.DUMMYFUNCTION("""COMPUTED_VALUE"""),"IMAGING")</f>
        <v>IMAGING</v>
      </c>
      <c r="D43" s="6" t="str">
        <f>IFERROR(__xludf.DUMMYFUNCTION("""COMPUTED_VALUE"""),"Faster-RCNN")</f>
        <v>Faster-RCNN</v>
      </c>
      <c r="E43" s="6" t="str">
        <f>IFERROR(__xludf.DUMMYFUNCTION("""COMPUTED_VALUE"""),"Small Object Detection")</f>
        <v>Small Object Detection</v>
      </c>
    </row>
    <row r="44" ht="15.75" customHeight="1">
      <c r="A44" s="5" t="str">
        <f>IFERROR(__xludf.DUMMYFUNCTION("""COMPUTED_VALUE"""),"SCOPUS-000283")</f>
        <v>SCOPUS-000283</v>
      </c>
      <c r="B44" s="5" t="str">
        <f>IFERROR(__xludf.DUMMYFUNCTION("""COMPUTED_VALUE"""),"SCOPUS-000283-1")</f>
        <v>SCOPUS-000283-1</v>
      </c>
      <c r="C44" s="5" t="str">
        <f>IFERROR(__xludf.DUMMYFUNCTION("""COMPUTED_VALUE"""),"IMAGING")</f>
        <v>IMAGING</v>
      </c>
      <c r="D44" s="6" t="str">
        <f>IFERROR(__xludf.DUMMYFUNCTION("""COMPUTED_VALUE"""),"SSD")</f>
        <v>SSD</v>
      </c>
      <c r="E44" s="6" t="str">
        <f>IFERROR(__xludf.DUMMYFUNCTION("""COMPUTED_VALUE"""),"Small Object Detection")</f>
        <v>Small Object Detection</v>
      </c>
    </row>
    <row r="45" ht="15.75" customHeight="1">
      <c r="A45" s="5" t="str">
        <f>IFERROR(__xludf.DUMMYFUNCTION("""COMPUTED_VALUE"""),"SCOPUS-000153")</f>
        <v>SCOPUS-000153</v>
      </c>
      <c r="B45" s="5" t="str">
        <f>IFERROR(__xludf.DUMMYFUNCTION("""COMPUTED_VALUE"""),"SCOPUS-000153-3")</f>
        <v>SCOPUS-000153-3</v>
      </c>
      <c r="C45" s="5" t="str">
        <f>IFERROR(__xludf.DUMMYFUNCTION("""COMPUTED_VALUE"""),"DATA")</f>
        <v>DATA</v>
      </c>
      <c r="D45" s="6" t="str">
        <f>IFERROR(__xludf.DUMMYFUNCTION("""COMPUTED_VALUE"""),"PAN")</f>
        <v>PAN</v>
      </c>
      <c r="E45" s="6" t="str">
        <f>IFERROR(__xludf.DUMMYFUNCTION("""COMPUTED_VALUE"""),"Annotation")</f>
        <v>Annotation</v>
      </c>
    </row>
    <row r="46" ht="15.75" customHeight="1">
      <c r="A46" s="5" t="str">
        <f>IFERROR(__xludf.DUMMYFUNCTION("""COMPUTED_VALUE"""),"SCOPUS-000276")</f>
        <v>SCOPUS-000276</v>
      </c>
      <c r="B46" s="5" t="str">
        <f>IFERROR(__xludf.DUMMYFUNCTION("""COMPUTED_VALUE"""),"SCOPUS-000276-1")</f>
        <v>SCOPUS-000276-1</v>
      </c>
      <c r="C46" s="5" t="str">
        <f>IFERROR(__xludf.DUMMYFUNCTION("""COMPUTED_VALUE"""),"IMAGING")</f>
        <v>IMAGING</v>
      </c>
      <c r="D46" s="6" t="str">
        <f>IFERROR(__xludf.DUMMYFUNCTION("""COMPUTED_VALUE"""),"MatchNet")</f>
        <v>MatchNet</v>
      </c>
      <c r="E46" s="6" t="str">
        <f>IFERROR(__xludf.DUMMYFUNCTION("""COMPUTED_VALUE"""),"Visual Similarity")</f>
        <v>Visual Similarity</v>
      </c>
    </row>
    <row r="47" ht="15.75" customHeight="1">
      <c r="A47" s="5" t="str">
        <f>IFERROR(__xludf.DUMMYFUNCTION("""COMPUTED_VALUE"""),"SCOPUS-000276")</f>
        <v>SCOPUS-000276</v>
      </c>
      <c r="B47" s="5" t="str">
        <f>IFERROR(__xludf.DUMMYFUNCTION("""COMPUTED_VALUE"""),"SCOPUS-000276-2")</f>
        <v>SCOPUS-000276-2</v>
      </c>
      <c r="C47" s="5" t="str">
        <f>IFERROR(__xludf.DUMMYFUNCTION("""COMPUTED_VALUE"""),"DATA")</f>
        <v>DATA</v>
      </c>
      <c r="D47" s="6" t="str">
        <f>IFERROR(__xludf.DUMMYFUNCTION("""COMPUTED_VALUE"""),"MatchNet")</f>
        <v>MatchNet</v>
      </c>
      <c r="E47" s="6" t="str">
        <f>IFERROR(__xludf.DUMMYFUNCTION("""COMPUTED_VALUE"""),"Data Scarcity")</f>
        <v>Data Scarcity</v>
      </c>
    </row>
    <row r="48" ht="15.75" customHeight="1">
      <c r="A48" s="5" t="str">
        <f>IFERROR(__xludf.DUMMYFUNCTION("""COMPUTED_VALUE"""),"SCOPUS-000246")</f>
        <v>SCOPUS-000246</v>
      </c>
      <c r="B48" s="5" t="str">
        <f>IFERROR(__xludf.DUMMYFUNCTION("""COMPUTED_VALUE"""),"SCOPUS-000246-1")</f>
        <v>SCOPUS-000246-1</v>
      </c>
      <c r="C48" s="5" t="str">
        <f>IFERROR(__xludf.DUMMYFUNCTION("""COMPUTED_VALUE"""),"ENVIRONMENTAL")</f>
        <v>ENVIRONMENTAL</v>
      </c>
      <c r="D48" s="6" t="str">
        <f>IFERROR(__xludf.DUMMYFUNCTION("""COMPUTED_VALUE"""),"ESL")</f>
        <v>ESL</v>
      </c>
      <c r="E48" s="6" t="str">
        <f>IFERROR(__xludf.DUMMYFUNCTION("""COMPUTED_VALUE"""),"Environmental Variation")</f>
        <v>Environmental Variation</v>
      </c>
    </row>
    <row r="49" ht="15.75" customHeight="1">
      <c r="A49" s="5" t="str">
        <f>IFERROR(__xludf.DUMMYFUNCTION("""COMPUTED_VALUE"""),"SCOPUS-000599")</f>
        <v>SCOPUS-000599</v>
      </c>
      <c r="B49" s="5" t="str">
        <f>IFERROR(__xludf.DUMMYFUNCTION("""COMPUTED_VALUE"""),"SCOPUS-000599-1")</f>
        <v>SCOPUS-000599-1</v>
      </c>
      <c r="C49" s="5" t="str">
        <f>IFERROR(__xludf.DUMMYFUNCTION("""COMPUTED_VALUE"""),"TECHNICAL")</f>
        <v>TECHNICAL</v>
      </c>
      <c r="D49" s="6" t="str">
        <f>IFERROR(__xludf.DUMMYFUNCTION("""COMPUTED_VALUE"""),"CNN")</f>
        <v>CNN</v>
      </c>
      <c r="E49" s="6" t="str">
        <f>IFERROR(__xludf.DUMMYFUNCTION("""COMPUTED_VALUE"""),"Model Generalization")</f>
        <v>Model Generalization</v>
      </c>
    </row>
    <row r="50" ht="15.75" customHeight="1">
      <c r="A50" s="5" t="str">
        <f>IFERROR(__xludf.DUMMYFUNCTION("""COMPUTED_VALUE"""),"SCOPUS-000280")</f>
        <v>SCOPUS-000280</v>
      </c>
      <c r="B50" s="5" t="str">
        <f>IFERROR(__xludf.DUMMYFUNCTION("""COMPUTED_VALUE"""),"SCOPUS-000280-1")</f>
        <v>SCOPUS-000280-1</v>
      </c>
      <c r="C50" s="5" t="str">
        <f>IFERROR(__xludf.DUMMYFUNCTION("""COMPUTED_VALUE"""),"IMAGING")</f>
        <v>IMAGING</v>
      </c>
      <c r="D50" s="6" t="str">
        <f>IFERROR(__xludf.DUMMYFUNCTION("""COMPUTED_VALUE"""),"YOLOv8n")</f>
        <v>YOLOv8n</v>
      </c>
      <c r="E50" s="6" t="str">
        <f>IFERROR(__xludf.DUMMYFUNCTION("""COMPUTED_VALUE"""),"Small Object Detection")</f>
        <v>Small Object Detection</v>
      </c>
    </row>
    <row r="51" ht="15.75" customHeight="1">
      <c r="A51" s="5" t="str">
        <f>IFERROR(__xludf.DUMMYFUNCTION("""COMPUTED_VALUE"""),"SCOPUS-000063")</f>
        <v>SCOPUS-000063</v>
      </c>
      <c r="B51" s="5" t="str">
        <f>IFERROR(__xludf.DUMMYFUNCTION("""COMPUTED_VALUE"""),"SCOPUS-000063-1")</f>
        <v>SCOPUS-000063-1</v>
      </c>
      <c r="C51" s="5" t="str">
        <f>IFERROR(__xludf.DUMMYFUNCTION("""COMPUTED_VALUE"""),"DATA")</f>
        <v>DATA</v>
      </c>
      <c r="D51" s="6" t="str">
        <f>IFERROR(__xludf.DUMMYFUNCTION("""COMPUTED_VALUE"""),"FasterRCNN (VGG16)")</f>
        <v>FasterRCNN (VGG16)</v>
      </c>
      <c r="E51" s="6" t="str">
        <f>IFERROR(__xludf.DUMMYFUNCTION("""COMPUTED_VALUE"""),"Data Scarcity")</f>
        <v>Data Scarcity</v>
      </c>
    </row>
    <row r="52" ht="15.75" customHeight="1">
      <c r="A52" s="5" t="str">
        <f>IFERROR(__xludf.DUMMYFUNCTION("""COMPUTED_VALUE"""),"SCOPUS-000063")</f>
        <v>SCOPUS-000063</v>
      </c>
      <c r="B52" s="5" t="str">
        <f>IFERROR(__xludf.DUMMYFUNCTION("""COMPUTED_VALUE"""),"SCOPUS-000063-2")</f>
        <v>SCOPUS-000063-2</v>
      </c>
      <c r="C52" s="5" t="str">
        <f>IFERROR(__xludf.DUMMYFUNCTION("""COMPUTED_VALUE"""),"IMAGING")</f>
        <v>IMAGING</v>
      </c>
      <c r="D52" s="6" t="str">
        <f>IFERROR(__xludf.DUMMYFUNCTION("""COMPUTED_VALUE"""),"FasterRCNN (VGG16)")</f>
        <v>FasterRCNN (VGG16)</v>
      </c>
      <c r="E52" s="6" t="str">
        <f>IFERROR(__xludf.DUMMYFUNCTION("""COMPUTED_VALUE"""),"Visual Similarity")</f>
        <v>Visual Similarity</v>
      </c>
    </row>
    <row r="53" ht="15.75" customHeight="1">
      <c r="A53" s="5" t="str">
        <f>IFERROR(__xludf.DUMMYFUNCTION("""COMPUTED_VALUE"""),"SCOPUS-000017")</f>
        <v>SCOPUS-000017</v>
      </c>
      <c r="B53" s="5" t="str">
        <f>IFERROR(__xludf.DUMMYFUNCTION("""COMPUTED_VALUE"""),"SCOPUS-000017-1")</f>
        <v>SCOPUS-000017-1</v>
      </c>
      <c r="C53" s="5" t="str">
        <f>IFERROR(__xludf.DUMMYFUNCTION("""COMPUTED_VALUE"""),"IMAGING")</f>
        <v>IMAGING</v>
      </c>
      <c r="D53" s="6" t="str">
        <f>IFERROR(__xludf.DUMMYFUNCTION("""COMPUTED_VALUE"""),"DeepLabV3+ MobileNetV2")</f>
        <v>DeepLabV3+ MobileNetV2</v>
      </c>
      <c r="E53" s="6" t="str">
        <f>IFERROR(__xludf.DUMMYFUNCTION("""COMPUTED_VALUE"""),"Boundary Issues")</f>
        <v>Boundary Issues</v>
      </c>
    </row>
    <row r="54" ht="15.75" customHeight="1">
      <c r="A54" s="5" t="str">
        <f>IFERROR(__xludf.DUMMYFUNCTION("""COMPUTED_VALUE"""),"SCOPUS-000017")</f>
        <v>SCOPUS-000017</v>
      </c>
      <c r="B54" s="5" t="str">
        <f>IFERROR(__xludf.DUMMYFUNCTION("""COMPUTED_VALUE"""),"SCOPUS-000017-2")</f>
        <v>SCOPUS-000017-2</v>
      </c>
      <c r="C54" s="5" t="str">
        <f>IFERROR(__xludf.DUMMYFUNCTION("""COMPUTED_VALUE"""),"ENVIRONMENTAL")</f>
        <v>ENVIRONMENTAL</v>
      </c>
      <c r="D54" s="6" t="str">
        <f>IFERROR(__xludf.DUMMYFUNCTION("""COMPUTED_VALUE"""),"DeepLabV3+ MobileNetV2")</f>
        <v>DeepLabV3+ MobileNetV2</v>
      </c>
      <c r="E54" s="6" t="str">
        <f>IFERROR(__xludf.DUMMYFUNCTION("""COMPUTED_VALUE"""),"Environmental Variation")</f>
        <v>Environmental Variation</v>
      </c>
    </row>
    <row r="55" ht="15.75" customHeight="1">
      <c r="A55" s="5" t="str">
        <f>IFERROR(__xludf.DUMMYFUNCTION("""COMPUTED_VALUE"""),"SCOPUS-000017")</f>
        <v>SCOPUS-000017</v>
      </c>
      <c r="B55" s="5" t="str">
        <f>IFERROR(__xludf.DUMMYFUNCTION("""COMPUTED_VALUE"""),"SCOPUS-000017-3")</f>
        <v>SCOPUS-000017-3</v>
      </c>
      <c r="C55" s="5" t="str">
        <f>IFERROR(__xludf.DUMMYFUNCTION("""COMPUTED_VALUE"""),"DATA")</f>
        <v>DATA</v>
      </c>
      <c r="D55" s="6" t="str">
        <f>IFERROR(__xludf.DUMMYFUNCTION("""COMPUTED_VALUE"""),"DeepLabV3+ MobileNetV2")</f>
        <v>DeepLabV3+ MobileNetV2</v>
      </c>
      <c r="E55" s="6" t="str">
        <f>IFERROR(__xludf.DUMMYFUNCTION("""COMPUTED_VALUE"""),"Class Imbalance")</f>
        <v>Class Imbalance</v>
      </c>
    </row>
    <row r="56" ht="15.75" customHeight="1">
      <c r="A56" s="5" t="str">
        <f>IFERROR(__xludf.DUMMYFUNCTION("""COMPUTED_VALUE"""),"SCOPUS-000244")</f>
        <v>SCOPUS-000244</v>
      </c>
      <c r="B56" s="5" t="str">
        <f>IFERROR(__xludf.DUMMYFUNCTION("""COMPUTED_VALUE"""),"SCOPUS-000244-1")</f>
        <v>SCOPUS-000244-1</v>
      </c>
      <c r="C56" s="5" t="str">
        <f>IFERROR(__xludf.DUMMYFUNCTION("""COMPUTED_VALUE"""),"DATA")</f>
        <v>DATA</v>
      </c>
      <c r="D56" s="6" t="str">
        <f>IFERROR(__xludf.DUMMYFUNCTION("""COMPUTED_VALUE"""),"BYOL")</f>
        <v>BYOL</v>
      </c>
      <c r="E56" s="6" t="str">
        <f>IFERROR(__xludf.DUMMYFUNCTION("""COMPUTED_VALUE"""),"Class Imbalance")</f>
        <v>Class Imbalance</v>
      </c>
    </row>
    <row r="57" ht="15.75" customHeight="1">
      <c r="A57" s="5" t="str">
        <f>IFERROR(__xludf.DUMMYFUNCTION("""COMPUTED_VALUE"""),"SCOPUS-000244")</f>
        <v>SCOPUS-000244</v>
      </c>
      <c r="B57" s="5" t="str">
        <f>IFERROR(__xludf.DUMMYFUNCTION("""COMPUTED_VALUE"""),"SCOPUS-000244-2")</f>
        <v>SCOPUS-000244-2</v>
      </c>
      <c r="C57" s="5" t="str">
        <f>IFERROR(__xludf.DUMMYFUNCTION("""COMPUTED_VALUE"""),"DATA")</f>
        <v>DATA</v>
      </c>
      <c r="D57" s="6" t="str">
        <f>IFERROR(__xludf.DUMMYFUNCTION("""COMPUTED_VALUE"""),"BYOL")</f>
        <v>BYOL</v>
      </c>
      <c r="E57" s="6" t="str">
        <f>IFERROR(__xludf.DUMMYFUNCTION("""COMPUTED_VALUE"""),"Annotation")</f>
        <v>Annotation</v>
      </c>
    </row>
    <row r="58" ht="15.75" customHeight="1">
      <c r="A58" s="5" t="str">
        <f>IFERROR(__xludf.DUMMYFUNCTION("""COMPUTED_VALUE"""),"SCOPUS-000064")</f>
        <v>SCOPUS-000064</v>
      </c>
      <c r="B58" s="5" t="str">
        <f>IFERROR(__xludf.DUMMYFUNCTION("""COMPUTED_VALUE"""),"SCOPUS-000064-1")</f>
        <v>SCOPUS-000064-1</v>
      </c>
      <c r="C58" s="5" t="str">
        <f>IFERROR(__xludf.DUMMYFUNCTION("""COMPUTED_VALUE"""),"IMAGING")</f>
        <v>IMAGING</v>
      </c>
      <c r="D58" s="6" t="str">
        <f>IFERROR(__xludf.DUMMYFUNCTION("""COMPUTED_VALUE"""),"Fast R-CNN")</f>
        <v>Fast R-CNN</v>
      </c>
      <c r="E58" s="6" t="str">
        <f>IFERROR(__xludf.DUMMYFUNCTION("""COMPUTED_VALUE"""),"Visual Similarity")</f>
        <v>Visual Similarity</v>
      </c>
    </row>
    <row r="59" ht="15.75" customHeight="1">
      <c r="A59" s="5" t="str">
        <f>IFERROR(__xludf.DUMMYFUNCTION("""COMPUTED_VALUE"""),"SCOPUS-000064")</f>
        <v>SCOPUS-000064</v>
      </c>
      <c r="B59" s="5" t="str">
        <f>IFERROR(__xludf.DUMMYFUNCTION("""COMPUTED_VALUE"""),"SCOPUS-000064-2")</f>
        <v>SCOPUS-000064-2</v>
      </c>
      <c r="C59" s="5" t="str">
        <f>IFERROR(__xludf.DUMMYFUNCTION("""COMPUTED_VALUE"""),"IMAGING")</f>
        <v>IMAGING</v>
      </c>
      <c r="D59" s="6" t="str">
        <f>IFERROR(__xludf.DUMMYFUNCTION("""COMPUTED_VALUE"""),"Fast R-CNN")</f>
        <v>Fast R-CNN</v>
      </c>
      <c r="E59" s="6" t="str">
        <f>IFERROR(__xludf.DUMMYFUNCTION("""COMPUTED_VALUE"""),"Image Quality")</f>
        <v>Image Quality</v>
      </c>
    </row>
    <row r="60" ht="15.75" customHeight="1">
      <c r="A60" s="5" t="str">
        <f>IFERROR(__xludf.DUMMYFUNCTION("""COMPUTED_VALUE"""),"SCOPUS-000320")</f>
        <v>SCOPUS-000320</v>
      </c>
      <c r="B60" s="5" t="str">
        <f>IFERROR(__xludf.DUMMYFUNCTION("""COMPUTED_VALUE"""),"SCOPUS-000320-1")</f>
        <v>SCOPUS-000320-1</v>
      </c>
      <c r="C60" s="5" t="str">
        <f>IFERROR(__xludf.DUMMYFUNCTION("""COMPUTED_VALUE"""),"DATA")</f>
        <v>DATA</v>
      </c>
      <c r="D60" s="6"/>
      <c r="E60" s="6" t="str">
        <f>IFERROR(__xludf.DUMMYFUNCTION("""COMPUTED_VALUE"""),"Class Imbalance")</f>
        <v>Class Imbalance</v>
      </c>
    </row>
    <row r="61" ht="15.75" customHeight="1">
      <c r="A61" s="5" t="str">
        <f>IFERROR(__xludf.DUMMYFUNCTION("""COMPUTED_VALUE"""),"SCOPUS-000086")</f>
        <v>SCOPUS-000086</v>
      </c>
      <c r="B61" s="5" t="str">
        <f>IFERROR(__xludf.DUMMYFUNCTION("""COMPUTED_VALUE"""),"SCOPUS-000086-1")</f>
        <v>SCOPUS-000086-1</v>
      </c>
      <c r="C61" s="5" t="str">
        <f>IFERROR(__xludf.DUMMYFUNCTION("""COMPUTED_VALUE"""),"DATA")</f>
        <v>DATA</v>
      </c>
      <c r="D61" s="6" t="str">
        <f>IFERROR(__xludf.DUMMYFUNCTION("""COMPUTED_VALUE"""),"Supervised")</f>
        <v>Supervised</v>
      </c>
      <c r="E61" s="6" t="str">
        <f>IFERROR(__xludf.DUMMYFUNCTION("""COMPUTED_VALUE"""),"Data Scarcity")</f>
        <v>Data Scarcity</v>
      </c>
    </row>
    <row r="62" ht="15.75" customHeight="1">
      <c r="A62" s="5" t="str">
        <f>IFERROR(__xludf.DUMMYFUNCTION("""COMPUTED_VALUE"""),"SCOPUS-000652")</f>
        <v>SCOPUS-000652</v>
      </c>
      <c r="B62" s="5" t="str">
        <f>IFERROR(__xludf.DUMMYFUNCTION("""COMPUTED_VALUE"""),"SCOPUS-000652-1")</f>
        <v>SCOPUS-000652-1</v>
      </c>
      <c r="C62" s="5" t="str">
        <f>IFERROR(__xludf.DUMMYFUNCTION("""COMPUTED_VALUE"""),"IMAGING")</f>
        <v>IMAGING</v>
      </c>
      <c r="D62" s="6" t="str">
        <f>IFERROR(__xludf.DUMMYFUNCTION("""COMPUTED_VALUE"""),"Vegetation Index")</f>
        <v>Vegetation Index</v>
      </c>
      <c r="E62" s="6" t="str">
        <f>IFERROR(__xludf.DUMMYFUNCTION("""COMPUTED_VALUE"""),"Visual Similarity")</f>
        <v>Visual Similarity</v>
      </c>
    </row>
    <row r="63" ht="15.75" customHeight="1">
      <c r="A63" s="5" t="str">
        <f>IFERROR(__xludf.DUMMYFUNCTION("""COMPUTED_VALUE"""),"SCOPUS-000652")</f>
        <v>SCOPUS-000652</v>
      </c>
      <c r="B63" s="5" t="str">
        <f>IFERROR(__xludf.DUMMYFUNCTION("""COMPUTED_VALUE"""),"SCOPUS-000652-2")</f>
        <v>SCOPUS-000652-2</v>
      </c>
      <c r="C63" s="5" t="str">
        <f>IFERROR(__xludf.DUMMYFUNCTION("""COMPUTED_VALUE"""),"ENVIRONMENTAL")</f>
        <v>ENVIRONMENTAL</v>
      </c>
      <c r="D63" s="6"/>
      <c r="E63" s="6" t="str">
        <f>IFERROR(__xludf.DUMMYFUNCTION("""COMPUTED_VALUE"""),"Occlusion")</f>
        <v>Occlusion</v>
      </c>
    </row>
    <row r="64" ht="15.75" customHeight="1">
      <c r="A64" s="5" t="str">
        <f>IFERROR(__xludf.DUMMYFUNCTION("""COMPUTED_VALUE"""),"SCOPUS-000146")</f>
        <v>SCOPUS-000146</v>
      </c>
      <c r="B64" s="5" t="str">
        <f>IFERROR(__xludf.DUMMYFUNCTION("""COMPUTED_VALUE"""),"SCOPUS-000146-1")</f>
        <v>SCOPUS-000146-1</v>
      </c>
      <c r="C64" s="5" t="str">
        <f>IFERROR(__xludf.DUMMYFUNCTION("""COMPUTED_VALUE"""),"TECHNICAL")</f>
        <v>TECHNICAL</v>
      </c>
      <c r="D64" s="6" t="str">
        <f>IFERROR(__xludf.DUMMYFUNCTION("""COMPUTED_VALUE"""),"VGG-16")</f>
        <v>VGG-16</v>
      </c>
      <c r="E64" s="6" t="str">
        <f>IFERROR(__xludf.DUMMYFUNCTION("""COMPUTED_VALUE"""),"Computational Resource")</f>
        <v>Computational Resource</v>
      </c>
    </row>
    <row r="65" ht="15.75" customHeight="1">
      <c r="A65" s="5" t="str">
        <f>IFERROR(__xludf.DUMMYFUNCTION("""COMPUTED_VALUE"""),"SCOPUS-000146")</f>
        <v>SCOPUS-000146</v>
      </c>
      <c r="B65" s="5" t="str">
        <f>IFERROR(__xludf.DUMMYFUNCTION("""COMPUTED_VALUE"""),"SCOPUS-000146-2")</f>
        <v>SCOPUS-000146-2</v>
      </c>
      <c r="C65" s="5" t="str">
        <f>IFERROR(__xludf.DUMMYFUNCTION("""COMPUTED_VALUE"""),"TECHNICAL")</f>
        <v>TECHNICAL</v>
      </c>
      <c r="D65" s="6" t="str">
        <f>IFERROR(__xludf.DUMMYFUNCTION("""COMPUTED_VALUE"""),"Unfolded/tabular HSI approaches")</f>
        <v>Unfolded/tabular HSI approaches</v>
      </c>
      <c r="E65" s="6" t="str">
        <f>IFERROR(__xludf.DUMMYFUNCTION("""COMPUTED_VALUE"""),"Feature Representation")</f>
        <v>Feature Representation</v>
      </c>
    </row>
    <row r="66" ht="15.75" customHeight="1">
      <c r="A66" s="5" t="str">
        <f>IFERROR(__xludf.DUMMYFUNCTION("""COMPUTED_VALUE"""),"SCOPUS-000407")</f>
        <v>SCOPUS-000407</v>
      </c>
      <c r="B66" s="5" t="str">
        <f>IFERROR(__xludf.DUMMYFUNCTION("""COMPUTED_VALUE"""),"SCOPUS-000407-1")</f>
        <v>SCOPUS-000407-1</v>
      </c>
      <c r="C66" s="5" t="str">
        <f>IFERROR(__xludf.DUMMYFUNCTION("""COMPUTED_VALUE"""),"ENVIRONMENTAL")</f>
        <v>ENVIRONMENTAL</v>
      </c>
      <c r="D66" s="6" t="str">
        <f>IFERROR(__xludf.DUMMYFUNCTION("""COMPUTED_VALUE"""),"Yolov7")</f>
        <v>Yolov7</v>
      </c>
      <c r="E66" s="6" t="str">
        <f>IFERROR(__xludf.DUMMYFUNCTION("""COMPUTED_VALUE"""),"Background Complexity")</f>
        <v>Background Complexity</v>
      </c>
    </row>
    <row r="67" ht="15.75" customHeight="1">
      <c r="A67" s="5" t="str">
        <f>IFERROR(__xludf.DUMMYFUNCTION("""COMPUTED_VALUE"""),"SCOPUS-000352")</f>
        <v>SCOPUS-000352</v>
      </c>
      <c r="B67" s="5" t="str">
        <f>IFERROR(__xludf.DUMMYFUNCTION("""COMPUTED_VALUE"""),"SCOPUS-000352-1")</f>
        <v>SCOPUS-000352-1</v>
      </c>
      <c r="C67" s="5" t="str">
        <f>IFERROR(__xludf.DUMMYFUNCTION("""COMPUTED_VALUE"""),"TECHNICAL")</f>
        <v>TECHNICAL</v>
      </c>
      <c r="D67" s="6" t="str">
        <f>IFERROR(__xludf.DUMMYFUNCTION("""COMPUTED_VALUE"""),"UNet")</f>
        <v>UNet</v>
      </c>
      <c r="E67" s="6" t="str">
        <f>IFERROR(__xludf.DUMMYFUNCTION("""COMPUTED_VALUE"""),"Computational Resource")</f>
        <v>Computational Resource</v>
      </c>
    </row>
    <row r="68" ht="15.75" customHeight="1">
      <c r="A68" s="5" t="str">
        <f>IFERROR(__xludf.DUMMYFUNCTION("""COMPUTED_VALUE"""),"SCOPUS-000352")</f>
        <v>SCOPUS-000352</v>
      </c>
      <c r="B68" s="5" t="str">
        <f>IFERROR(__xludf.DUMMYFUNCTION("""COMPUTED_VALUE"""),"SCOPUS-000352-2")</f>
        <v>SCOPUS-000352-2</v>
      </c>
      <c r="C68" s="5" t="str">
        <f>IFERROR(__xludf.DUMMYFUNCTION("""COMPUTED_VALUE"""),"DATA")</f>
        <v>DATA</v>
      </c>
      <c r="D68" s="6"/>
      <c r="E68" s="6" t="str">
        <f>IFERROR(__xludf.DUMMYFUNCTION("""COMPUTED_VALUE"""),"Data Scarcity")</f>
        <v>Data Scarcity</v>
      </c>
    </row>
    <row r="69" ht="15.75" customHeight="1">
      <c r="A69" s="5" t="str">
        <f>IFERROR(__xludf.DUMMYFUNCTION("""COMPUTED_VALUE"""),"SCOPUS-000175")</f>
        <v>SCOPUS-000175</v>
      </c>
      <c r="B69" s="5" t="str">
        <f>IFERROR(__xludf.DUMMYFUNCTION("""COMPUTED_VALUE"""),"SCOPUS-000175-1")</f>
        <v>SCOPUS-000175-1</v>
      </c>
      <c r="C69" s="5" t="str">
        <f>IFERROR(__xludf.DUMMYFUNCTION("""COMPUTED_VALUE"""),"IMAGING")</f>
        <v>IMAGING</v>
      </c>
      <c r="D69" s="6" t="str">
        <f>IFERROR(__xludf.DUMMYFUNCTION("""COMPUTED_VALUE"""),"YOLOv8n")</f>
        <v>YOLOv8n</v>
      </c>
      <c r="E69" s="6" t="str">
        <f>IFERROR(__xludf.DUMMYFUNCTION("""COMPUTED_VALUE"""),"Visual Similarity")</f>
        <v>Visual Similarity</v>
      </c>
    </row>
    <row r="70" ht="15.75" customHeight="1">
      <c r="A70" s="5" t="str">
        <f>IFERROR(__xludf.DUMMYFUNCTION("""COMPUTED_VALUE"""),"SCOPUS-000175")</f>
        <v>SCOPUS-000175</v>
      </c>
      <c r="B70" s="5" t="str">
        <f>IFERROR(__xludf.DUMMYFUNCTION("""COMPUTED_VALUE"""),"SCOPUS-000175-2")</f>
        <v>SCOPUS-000175-2</v>
      </c>
      <c r="C70" s="5" t="str">
        <f>IFERROR(__xludf.DUMMYFUNCTION("""COMPUTED_VALUE"""),"ENVIRONMENTAL")</f>
        <v>ENVIRONMENTAL</v>
      </c>
      <c r="D70" s="6"/>
      <c r="E70" s="6" t="str">
        <f>IFERROR(__xludf.DUMMYFUNCTION("""COMPUTED_VALUE"""),"Occlusion")</f>
        <v>Occlusion</v>
      </c>
    </row>
    <row r="71" ht="15.75" customHeight="1">
      <c r="A71" s="5" t="str">
        <f>IFERROR(__xludf.DUMMYFUNCTION("""COMPUTED_VALUE"""),"SCOPUS-000574")</f>
        <v>SCOPUS-000574</v>
      </c>
      <c r="B71" s="5" t="str">
        <f>IFERROR(__xludf.DUMMYFUNCTION("""COMPUTED_VALUE"""),"SCOPUS-000574-1")</f>
        <v>SCOPUS-000574-1</v>
      </c>
      <c r="C71" s="5" t="str">
        <f>IFERROR(__xludf.DUMMYFUNCTION("""COMPUTED_VALUE"""),"ENVIRONMENTAL")</f>
        <v>ENVIRONMENTAL</v>
      </c>
      <c r="D71" s="6" t="str">
        <f>IFERROR(__xludf.DUMMYFUNCTION("""COMPUTED_VALUE"""),"DeepLab V3+")</f>
        <v>DeepLab V3+</v>
      </c>
      <c r="E71" s="6" t="str">
        <f>IFERROR(__xludf.DUMMYFUNCTION("""COMPUTED_VALUE"""),"Domain Shift")</f>
        <v>Domain Shift</v>
      </c>
    </row>
    <row r="72" ht="15.75" customHeight="1">
      <c r="A72" s="5" t="str">
        <f>IFERROR(__xludf.DUMMYFUNCTION("""COMPUTED_VALUE"""),"SCOPUS-000358")</f>
        <v>SCOPUS-000358</v>
      </c>
      <c r="B72" s="5" t="str">
        <f>IFERROR(__xludf.DUMMYFUNCTION("""COMPUTED_VALUE"""),"SCOPUS-000358-1")</f>
        <v>SCOPUS-000358-1</v>
      </c>
      <c r="C72" s="5" t="str">
        <f>IFERROR(__xludf.DUMMYFUNCTION("""COMPUTED_VALUE"""),"IMAGING")</f>
        <v>IMAGING</v>
      </c>
      <c r="D72" s="6" t="str">
        <f>IFERROR(__xludf.DUMMYFUNCTION("""COMPUTED_VALUE"""),"SegNet")</f>
        <v>SegNet</v>
      </c>
      <c r="E72" s="6" t="str">
        <f>IFERROR(__xludf.DUMMYFUNCTION("""COMPUTED_VALUE"""),"Visual Similarity")</f>
        <v>Visual Similarity</v>
      </c>
    </row>
    <row r="73" ht="15.75" customHeight="1">
      <c r="A73" s="5" t="str">
        <f>IFERROR(__xludf.DUMMYFUNCTION("""COMPUTED_VALUE"""),"SCOPUS-000265")</f>
        <v>SCOPUS-000265</v>
      </c>
      <c r="B73" s="5" t="str">
        <f>IFERROR(__xludf.DUMMYFUNCTION("""COMPUTED_VALUE"""),"SCOPUS-000265-1")</f>
        <v>SCOPUS-000265-1</v>
      </c>
      <c r="C73" s="5" t="str">
        <f>IFERROR(__xludf.DUMMYFUNCTION("""COMPUTED_VALUE"""),"ENVIRONMENTAL")</f>
        <v>ENVIRONMENTAL</v>
      </c>
      <c r="D73" s="6" t="str">
        <f>IFERROR(__xludf.DUMMYFUNCTION("""COMPUTED_VALUE"""),"Faster RCNN")</f>
        <v>Faster RCNN</v>
      </c>
      <c r="E73" s="6" t="str">
        <f>IFERROR(__xludf.DUMMYFUNCTION("""COMPUTED_VALUE"""),"Occlusion")</f>
        <v>Occlusion</v>
      </c>
    </row>
    <row r="74" ht="15.75" customHeight="1">
      <c r="A74" s="5" t="str">
        <f>IFERROR(__xludf.DUMMYFUNCTION("""COMPUTED_VALUE"""),"SCOPUS-000265")</f>
        <v>SCOPUS-000265</v>
      </c>
      <c r="B74" s="5" t="str">
        <f>IFERROR(__xludf.DUMMYFUNCTION("""COMPUTED_VALUE"""),"SCOPUS-000265-2")</f>
        <v>SCOPUS-000265-2</v>
      </c>
      <c r="C74" s="5" t="str">
        <f>IFERROR(__xludf.DUMMYFUNCTION("""COMPUTED_VALUE"""),"IMAGING")</f>
        <v>IMAGING</v>
      </c>
      <c r="D74" s="6" t="str">
        <f>IFERROR(__xludf.DUMMYFUNCTION("""COMPUTED_VALUE"""),"Faster RCNN")</f>
        <v>Faster RCNN</v>
      </c>
      <c r="E74" s="6" t="str">
        <f>IFERROR(__xludf.DUMMYFUNCTION("""COMPUTED_VALUE"""),"Scale Variation")</f>
        <v>Scale Variation</v>
      </c>
    </row>
    <row r="75" ht="15.75" customHeight="1">
      <c r="A75" s="5" t="str">
        <f>IFERROR(__xludf.DUMMYFUNCTION("""COMPUTED_VALUE"""),"SCOPUS-000563")</f>
        <v>SCOPUS-000563</v>
      </c>
      <c r="B75" s="5" t="str">
        <f>IFERROR(__xludf.DUMMYFUNCTION("""COMPUTED_VALUE"""),"SCOPUS-000563-1")</f>
        <v>SCOPUS-000563-1</v>
      </c>
      <c r="C75" s="5" t="str">
        <f>IFERROR(__xludf.DUMMYFUNCTION("""COMPUTED_VALUE"""),"TECHNICAL")</f>
        <v>TECHNICAL</v>
      </c>
      <c r="D75" s="6" t="str">
        <f>IFERROR(__xludf.DUMMYFUNCTION("""COMPUTED_VALUE"""),"SSD-ResNet")</f>
        <v>SSD-ResNet</v>
      </c>
      <c r="E75" s="6" t="str">
        <f>IFERROR(__xludf.DUMMYFUNCTION("""COMPUTED_VALUE"""),"Inference Efficiency")</f>
        <v>Inference Efficiency</v>
      </c>
    </row>
    <row r="76" ht="15.75" customHeight="1">
      <c r="A76" s="5" t="str">
        <f>IFERROR(__xludf.DUMMYFUNCTION("""COMPUTED_VALUE"""),"SCOPUS-000563")</f>
        <v>SCOPUS-000563</v>
      </c>
      <c r="B76" s="5" t="str">
        <f>IFERROR(__xludf.DUMMYFUNCTION("""COMPUTED_VALUE"""),"SCOPUS-000563-2")</f>
        <v>SCOPUS-000563-2</v>
      </c>
      <c r="C76" s="5" t="str">
        <f>IFERROR(__xludf.DUMMYFUNCTION("""COMPUTED_VALUE"""),"IMAGING")</f>
        <v>IMAGING</v>
      </c>
      <c r="D76" s="6" t="str">
        <f>IFERROR(__xludf.DUMMYFUNCTION("""COMPUTED_VALUE"""),"SSD-ResNet")</f>
        <v>SSD-ResNet</v>
      </c>
      <c r="E76" s="6" t="str">
        <f>IFERROR(__xludf.DUMMYFUNCTION("""COMPUTED_VALUE"""),"Small Object Detection")</f>
        <v>Small Object Detection</v>
      </c>
    </row>
    <row r="77" ht="15.75" customHeight="1">
      <c r="A77" s="5" t="str">
        <f>IFERROR(__xludf.DUMMYFUNCTION("""COMPUTED_VALUE"""),"SCOPUS-000433")</f>
        <v>SCOPUS-000433</v>
      </c>
      <c r="B77" s="5" t="str">
        <f>IFERROR(__xludf.DUMMYFUNCTION("""COMPUTED_VALUE"""),"SCOPUS-000433-1")</f>
        <v>SCOPUS-000433-1</v>
      </c>
      <c r="C77" s="5" t="str">
        <f>IFERROR(__xludf.DUMMYFUNCTION("""COMPUTED_VALUE"""),"IMAGING")</f>
        <v>IMAGING</v>
      </c>
      <c r="D77" s="6" t="str">
        <f>IFERROR(__xludf.DUMMYFUNCTION("""COMPUTED_VALUE"""),"SVM")</f>
        <v>SVM</v>
      </c>
      <c r="E77" s="6" t="str">
        <f>IFERROR(__xludf.DUMMYFUNCTION("""COMPUTED_VALUE"""),"Visual Similarity")</f>
        <v>Visual Similarity</v>
      </c>
    </row>
    <row r="78" ht="15.75" customHeight="1">
      <c r="A78" s="5" t="str">
        <f>IFERROR(__xludf.DUMMYFUNCTION("""COMPUTED_VALUE"""),"SCOPUS-000433")</f>
        <v>SCOPUS-000433</v>
      </c>
      <c r="B78" s="5" t="str">
        <f>IFERROR(__xludf.DUMMYFUNCTION("""COMPUTED_VALUE"""),"SCOPUS-000433-2")</f>
        <v>SCOPUS-000433-2</v>
      </c>
      <c r="C78" s="5" t="str">
        <f>IFERROR(__xludf.DUMMYFUNCTION("""COMPUTED_VALUE"""),"TECHNICAL")</f>
        <v>TECHNICAL</v>
      </c>
      <c r="D78" s="6" t="str">
        <f>IFERROR(__xludf.DUMMYFUNCTION("""COMPUTED_VALUE"""),"Faster-RCNN")</f>
        <v>Faster-RCNN</v>
      </c>
      <c r="E78" s="6" t="str">
        <f>IFERROR(__xludf.DUMMYFUNCTION("""COMPUTED_VALUE"""),"Model Generalization")</f>
        <v>Model Generalization</v>
      </c>
    </row>
    <row r="79" ht="15.75" customHeight="1">
      <c r="A79" s="5" t="str">
        <f>IFERROR(__xludf.DUMMYFUNCTION("""COMPUTED_VALUE"""),"SCOPUS-000333")</f>
        <v>SCOPUS-000333</v>
      </c>
      <c r="B79" s="5" t="str">
        <f>IFERROR(__xludf.DUMMYFUNCTION("""COMPUTED_VALUE"""),"SCOPUS-000333-1")</f>
        <v>SCOPUS-000333-1</v>
      </c>
      <c r="C79" s="5" t="str">
        <f>IFERROR(__xludf.DUMMYFUNCTION("""COMPUTED_VALUE"""),"DATA")</f>
        <v>DATA</v>
      </c>
      <c r="D79" s="6" t="str">
        <f>IFERROR(__xludf.DUMMYFUNCTION("""COMPUTED_VALUE"""),"GAN-based")</f>
        <v>GAN-based</v>
      </c>
      <c r="E79" s="6" t="str">
        <f>IFERROR(__xludf.DUMMYFUNCTION("""COMPUTED_VALUE"""),"Data Scarcity")</f>
        <v>Data Scarcity</v>
      </c>
    </row>
    <row r="80" ht="15.75" customHeight="1">
      <c r="A80" s="5" t="str">
        <f>IFERROR(__xludf.DUMMYFUNCTION("""COMPUTED_VALUE"""),"SCOPUS-000333")</f>
        <v>SCOPUS-000333</v>
      </c>
      <c r="B80" s="5" t="str">
        <f>IFERROR(__xludf.DUMMYFUNCTION("""COMPUTED_VALUE"""),"SCOPUS-000333-2")</f>
        <v>SCOPUS-000333-2</v>
      </c>
      <c r="C80" s="5" t="str">
        <f>IFERROR(__xludf.DUMMYFUNCTION("""COMPUTED_VALUE"""),"DATA")</f>
        <v>DATA</v>
      </c>
      <c r="D80" s="6" t="str">
        <f>IFERROR(__xludf.DUMMYFUNCTION("""COMPUTED_VALUE"""),"GAN-based")</f>
        <v>GAN-based</v>
      </c>
      <c r="E80" s="6" t="str">
        <f>IFERROR(__xludf.DUMMYFUNCTION("""COMPUTED_VALUE"""),"Annotation")</f>
        <v>Annotation</v>
      </c>
    </row>
    <row r="81" ht="15.75" customHeight="1">
      <c r="A81" s="5" t="str">
        <f>IFERROR(__xludf.DUMMYFUNCTION("""COMPUTED_VALUE"""),"SCOPUS-000391")</f>
        <v>SCOPUS-000391</v>
      </c>
      <c r="B81" s="5" t="str">
        <f>IFERROR(__xludf.DUMMYFUNCTION("""COMPUTED_VALUE"""),"SCOPUS-000391-1")</f>
        <v>SCOPUS-000391-1</v>
      </c>
      <c r="C81" s="5" t="str">
        <f>IFERROR(__xludf.DUMMYFUNCTION("""COMPUTED_VALUE"""),"DATA")</f>
        <v>DATA</v>
      </c>
      <c r="D81" s="6" t="str">
        <f>IFERROR(__xludf.DUMMYFUNCTION("""COMPUTED_VALUE"""),"SVM")</f>
        <v>SVM</v>
      </c>
      <c r="E81" s="6" t="str">
        <f>IFERROR(__xludf.DUMMYFUNCTION("""COMPUTED_VALUE"""),"Annotation")</f>
        <v>Annotation</v>
      </c>
    </row>
    <row r="82" ht="15.75" customHeight="1">
      <c r="A82" s="5" t="str">
        <f>IFERROR(__xludf.DUMMYFUNCTION("""COMPUTED_VALUE"""),"SCOPUS-000391")</f>
        <v>SCOPUS-000391</v>
      </c>
      <c r="B82" s="5" t="str">
        <f>IFERROR(__xludf.DUMMYFUNCTION("""COMPUTED_VALUE"""),"SCOPUS-000391-2")</f>
        <v>SCOPUS-000391-2</v>
      </c>
      <c r="C82" s="5" t="str">
        <f>IFERROR(__xludf.DUMMYFUNCTION("""COMPUTED_VALUE"""),"IMAGING")</f>
        <v>IMAGING</v>
      </c>
      <c r="D82" s="6" t="str">
        <f>IFERROR(__xludf.DUMMYFUNCTION("""COMPUTED_VALUE"""),"KNN")</f>
        <v>KNN</v>
      </c>
      <c r="E82" s="6" t="str">
        <f>IFERROR(__xludf.DUMMYFUNCTION("""COMPUTED_VALUE"""),"Visual Similarity")</f>
        <v>Visual Similarity</v>
      </c>
    </row>
    <row r="83" ht="15.75" customHeight="1">
      <c r="A83" s="5" t="str">
        <f>IFERROR(__xludf.DUMMYFUNCTION("""COMPUTED_VALUE"""),"SCOPUS-000637")</f>
        <v>SCOPUS-000637</v>
      </c>
      <c r="B83" s="5" t="str">
        <f>IFERROR(__xludf.DUMMYFUNCTION("""COMPUTED_VALUE"""),"SCOPUS-000637-1")</f>
        <v>SCOPUS-000637-1</v>
      </c>
      <c r="C83" s="5" t="str">
        <f>IFERROR(__xludf.DUMMYFUNCTION("""COMPUTED_VALUE"""),"DATA")</f>
        <v>DATA</v>
      </c>
      <c r="D83" s="6" t="str">
        <f>IFERROR(__xludf.DUMMYFUNCTION("""COMPUTED_VALUE"""),"YOLOv5")</f>
        <v>YOLOv5</v>
      </c>
      <c r="E83" s="6" t="str">
        <f>IFERROR(__xludf.DUMMYFUNCTION("""COMPUTED_VALUE"""),"Class Imbalance")</f>
        <v>Class Imbalance</v>
      </c>
    </row>
    <row r="84" ht="15.75" customHeight="1">
      <c r="A84" s="5" t="str">
        <f>IFERROR(__xludf.DUMMYFUNCTION("""COMPUTED_VALUE"""),"SCOPUS-000637")</f>
        <v>SCOPUS-000637</v>
      </c>
      <c r="B84" s="5" t="str">
        <f>IFERROR(__xludf.DUMMYFUNCTION("""COMPUTED_VALUE"""),"SCOPUS-000637-2")</f>
        <v>SCOPUS-000637-2</v>
      </c>
      <c r="C84" s="5" t="str">
        <f>IFERROR(__xludf.DUMMYFUNCTION("""COMPUTED_VALUE"""),"IMAGING")</f>
        <v>IMAGING</v>
      </c>
      <c r="D84" s="6" t="str">
        <f>IFERROR(__xludf.DUMMYFUNCTION("""COMPUTED_VALUE"""),"YOLOv5")</f>
        <v>YOLOv5</v>
      </c>
      <c r="E84" s="6" t="str">
        <f>IFERROR(__xludf.DUMMYFUNCTION("""COMPUTED_VALUE"""),"Small Object Detection")</f>
        <v>Small Object Detection</v>
      </c>
    </row>
    <row r="85" ht="15.75" customHeight="1">
      <c r="A85" s="5" t="str">
        <f>IFERROR(__xludf.DUMMYFUNCTION("""COMPUTED_VALUE"""),"SCOPUS-000700")</f>
        <v>SCOPUS-000700</v>
      </c>
      <c r="B85" s="5" t="str">
        <f>IFERROR(__xludf.DUMMYFUNCTION("""COMPUTED_VALUE"""),"SCOPUS-000700-1")</f>
        <v>SCOPUS-000700-1</v>
      </c>
      <c r="C85" s="5" t="str">
        <f>IFERROR(__xludf.DUMMYFUNCTION("""COMPUTED_VALUE"""),"DATA")</f>
        <v>DATA</v>
      </c>
      <c r="D85" s="6" t="str">
        <f>IFERROR(__xludf.DUMMYFUNCTION("""COMPUTED_VALUE"""),"U-Net")</f>
        <v>U-Net</v>
      </c>
      <c r="E85" s="6" t="str">
        <f>IFERROR(__xludf.DUMMYFUNCTION("""COMPUTED_VALUE"""),"Data Scarcity")</f>
        <v>Data Scarcity</v>
      </c>
    </row>
    <row r="86" ht="15.75" customHeight="1">
      <c r="A86" s="5" t="str">
        <f>IFERROR(__xludf.DUMMYFUNCTION("""COMPUTED_VALUE"""),"SCOPUS-000700")</f>
        <v>SCOPUS-000700</v>
      </c>
      <c r="B86" s="5" t="str">
        <f>IFERROR(__xludf.DUMMYFUNCTION("""COMPUTED_VALUE"""),"SCOPUS-000700-2")</f>
        <v>SCOPUS-000700-2</v>
      </c>
      <c r="C86" s="5" t="str">
        <f>IFERROR(__xludf.DUMMYFUNCTION("""COMPUTED_VALUE"""),"DATA")</f>
        <v>DATA</v>
      </c>
      <c r="D86" s="6" t="str">
        <f>IFERROR(__xludf.DUMMYFUNCTION("""COMPUTED_VALUE"""),"SVM with 2nd order PK")</f>
        <v>SVM with 2nd order PK</v>
      </c>
      <c r="E86" s="6" t="str">
        <f>IFERROR(__xludf.DUMMYFUNCTION("""COMPUTED_VALUE"""),"Class Imbalance")</f>
        <v>Class Imbalance</v>
      </c>
    </row>
    <row r="87" ht="15.75" customHeight="1">
      <c r="A87" s="5" t="str">
        <f>IFERROR(__xludf.DUMMYFUNCTION("""COMPUTED_VALUE"""),"SCOPUS-000719")</f>
        <v>SCOPUS-000719</v>
      </c>
      <c r="B87" s="5" t="str">
        <f>IFERROR(__xludf.DUMMYFUNCTION("""COMPUTED_VALUE"""),"SCOPUS-000719-1")</f>
        <v>SCOPUS-000719-1</v>
      </c>
      <c r="C87" s="5" t="str">
        <f>IFERROR(__xludf.DUMMYFUNCTION("""COMPUTED_VALUE"""),"IMAGING")</f>
        <v>IMAGING</v>
      </c>
      <c r="D87" s="6" t="str">
        <f>IFERROR(__xludf.DUMMYFUNCTION("""COMPUTED_VALUE"""),"RSS*")</f>
        <v>RSS*</v>
      </c>
      <c r="E87" s="6" t="str">
        <f>IFERROR(__xludf.DUMMYFUNCTION("""COMPUTED_VALUE"""),"Small Object Detection")</f>
        <v>Small Object Detection</v>
      </c>
    </row>
    <row r="88" ht="15.75" customHeight="1">
      <c r="A88" s="5" t="str">
        <f>IFERROR(__xludf.DUMMYFUNCTION("""COMPUTED_VALUE"""),"SCOPUS-000719")</f>
        <v>SCOPUS-000719</v>
      </c>
      <c r="B88" s="5" t="str">
        <f>IFERROR(__xludf.DUMMYFUNCTION("""COMPUTED_VALUE"""),"SCOPUS-000719-2")</f>
        <v>SCOPUS-000719-2</v>
      </c>
      <c r="C88" s="5" t="str">
        <f>IFERROR(__xludf.DUMMYFUNCTION("""COMPUTED_VALUE"""),"TECHNICAL")</f>
        <v>TECHNICAL</v>
      </c>
      <c r="D88" s="6" t="str">
        <f>IFERROR(__xludf.DUMMYFUNCTION("""COMPUTED_VALUE"""),"RSS*")</f>
        <v>RSS*</v>
      </c>
      <c r="E88" s="6" t="str">
        <f>IFERROR(__xludf.DUMMYFUNCTION("""COMPUTED_VALUE"""),"Feature Representation")</f>
        <v>Feature Representation</v>
      </c>
    </row>
    <row r="89" ht="15.75" customHeight="1">
      <c r="A89" s="5" t="str">
        <f>IFERROR(__xludf.DUMMYFUNCTION("""COMPUTED_VALUE"""),"SCOPUS-000713")</f>
        <v>SCOPUS-000713</v>
      </c>
      <c r="B89" s="5" t="str">
        <f>IFERROR(__xludf.DUMMYFUNCTION("""COMPUTED_VALUE"""),"SCOPUS-000713-1")</f>
        <v>SCOPUS-000713-1</v>
      </c>
      <c r="C89" s="5" t="str">
        <f>IFERROR(__xludf.DUMMYFUNCTION("""COMPUTED_VALUE"""),"ENVIRONMENTAL")</f>
        <v>ENVIRONMENTAL</v>
      </c>
      <c r="D89" s="6" t="str">
        <f>IFERROR(__xludf.DUMMYFUNCTION("""COMPUTED_VALUE"""),"Milioto's CNN")</f>
        <v>Milioto's CNN</v>
      </c>
      <c r="E89" s="6" t="str">
        <f>IFERROR(__xludf.DUMMYFUNCTION("""COMPUTED_VALUE"""),"Environmental Variation")</f>
        <v>Environmental Variation</v>
      </c>
    </row>
    <row r="90" ht="15.75" customHeight="1">
      <c r="A90" s="5" t="str">
        <f>IFERROR(__xludf.DUMMYFUNCTION("""COMPUTED_VALUE"""),"SCOPUS-000713")</f>
        <v>SCOPUS-000713</v>
      </c>
      <c r="B90" s="5" t="str">
        <f>IFERROR(__xludf.DUMMYFUNCTION("""COMPUTED_VALUE"""),"SCOPUS-000713-2")</f>
        <v>SCOPUS-000713-2</v>
      </c>
      <c r="C90" s="5" t="str">
        <f>IFERROR(__xludf.DUMMYFUNCTION("""COMPUTED_VALUE"""),"DATA")</f>
        <v>DATA</v>
      </c>
      <c r="D90" s="6" t="str">
        <f>IFERROR(__xludf.DUMMYFUNCTION("""COMPUTED_VALUE"""),"Milioto's CNN")</f>
        <v>Milioto's CNN</v>
      </c>
      <c r="E90" s="6" t="str">
        <f>IFERROR(__xludf.DUMMYFUNCTION("""COMPUTED_VALUE"""),"Data Scarcity")</f>
        <v>Data Scarcity</v>
      </c>
    </row>
    <row r="91" ht="15.75" customHeight="1">
      <c r="A91" s="5" t="str">
        <f>IFERROR(__xludf.DUMMYFUNCTION("""COMPUTED_VALUE"""),"SCOPUS-000448")</f>
        <v>SCOPUS-000448</v>
      </c>
      <c r="B91" s="5" t="str">
        <f>IFERROR(__xludf.DUMMYFUNCTION("""COMPUTED_VALUE"""),"SCOPUS-000448-1")</f>
        <v>SCOPUS-000448-1</v>
      </c>
      <c r="C91" s="5" t="str">
        <f>IFERROR(__xludf.DUMMYFUNCTION("""COMPUTED_VALUE"""),"TECHNICAL")</f>
        <v>TECHNICAL</v>
      </c>
      <c r="D91" s="6" t="str">
        <f>IFERROR(__xludf.DUMMYFUNCTION("""COMPUTED_VALUE"""),"ResNet50")</f>
        <v>ResNet50</v>
      </c>
      <c r="E91" s="6" t="str">
        <f>IFERROR(__xludf.DUMMYFUNCTION("""COMPUTED_VALUE"""),"Computational Resource")</f>
        <v>Computational Resource</v>
      </c>
    </row>
    <row r="92" ht="15.75" customHeight="1">
      <c r="A92" s="5" t="str">
        <f>IFERROR(__xludf.DUMMYFUNCTION("""COMPUTED_VALUE"""),"SCOPUS-000448")</f>
        <v>SCOPUS-000448</v>
      </c>
      <c r="B92" s="5" t="str">
        <f>IFERROR(__xludf.DUMMYFUNCTION("""COMPUTED_VALUE"""),"SCOPUS-000448-2")</f>
        <v>SCOPUS-000448-2</v>
      </c>
      <c r="C92" s="5" t="str">
        <f>IFERROR(__xludf.DUMMYFUNCTION("""COMPUTED_VALUE"""),"DATA")</f>
        <v>DATA</v>
      </c>
      <c r="D92" s="6" t="str">
        <f>IFERROR(__xludf.DUMMYFUNCTION("""COMPUTED_VALUE"""),"MobileNetV2")</f>
        <v>MobileNetV2</v>
      </c>
      <c r="E92" s="6" t="str">
        <f>IFERROR(__xludf.DUMMYFUNCTION("""COMPUTED_VALUE"""),"Class Imbalance")</f>
        <v>Class Imbalance</v>
      </c>
    </row>
    <row r="93" ht="15.75" customHeight="1">
      <c r="A93" s="5" t="str">
        <f>IFERROR(__xludf.DUMMYFUNCTION("""COMPUTED_VALUE"""),"SCOPUS-000375")</f>
        <v>SCOPUS-000375</v>
      </c>
      <c r="B93" s="5" t="str">
        <f>IFERROR(__xludf.DUMMYFUNCTION("""COMPUTED_VALUE"""),"SCOPUS-000375-1")</f>
        <v>SCOPUS-000375-1</v>
      </c>
      <c r="C93" s="5" t="str">
        <f>IFERROR(__xludf.DUMMYFUNCTION("""COMPUTED_VALUE"""),"IMAGING")</f>
        <v>IMAGING</v>
      </c>
      <c r="D93" s="6" t="str">
        <f>IFERROR(__xludf.DUMMYFUNCTION("""COMPUTED_VALUE"""),"YOLOv7")</f>
        <v>YOLOv7</v>
      </c>
      <c r="E93" s="6" t="str">
        <f>IFERROR(__xludf.DUMMYFUNCTION("""COMPUTED_VALUE"""),"Small Object Detection")</f>
        <v>Small Object Detection</v>
      </c>
    </row>
    <row r="94" ht="15.75" customHeight="1">
      <c r="A94" s="5" t="str">
        <f>IFERROR(__xludf.DUMMYFUNCTION("""COMPUTED_VALUE"""),"SCOPUS-000375")</f>
        <v>SCOPUS-000375</v>
      </c>
      <c r="B94" s="5" t="str">
        <f>IFERROR(__xludf.DUMMYFUNCTION("""COMPUTED_VALUE"""),"SCOPUS-000375-2")</f>
        <v>SCOPUS-000375-2</v>
      </c>
      <c r="C94" s="5" t="str">
        <f>IFERROR(__xludf.DUMMYFUNCTION("""COMPUTED_VALUE"""),"ENVIRONMENTAL")</f>
        <v>ENVIRONMENTAL</v>
      </c>
      <c r="D94" s="6" t="str">
        <f>IFERROR(__xludf.DUMMYFUNCTION("""COMPUTED_VALUE"""),"YOLOv7")</f>
        <v>YOLOv7</v>
      </c>
      <c r="E94" s="6" t="str">
        <f>IFERROR(__xludf.DUMMYFUNCTION("""COMPUTED_VALUE"""),"Occlusion")</f>
        <v>Occlusion</v>
      </c>
    </row>
    <row r="95" ht="15.75" customHeight="1">
      <c r="A95" s="5" t="str">
        <f>IFERROR(__xludf.DUMMYFUNCTION("""COMPUTED_VALUE"""),"SCOPUS-000375")</f>
        <v>SCOPUS-000375</v>
      </c>
      <c r="B95" s="5" t="str">
        <f>IFERROR(__xludf.DUMMYFUNCTION("""COMPUTED_VALUE"""),"SCOPUS-000375-3")</f>
        <v>SCOPUS-000375-3</v>
      </c>
      <c r="C95" s="5" t="str">
        <f>IFERROR(__xludf.DUMMYFUNCTION("""COMPUTED_VALUE"""),"ENVIRONMENTAL")</f>
        <v>ENVIRONMENTAL</v>
      </c>
      <c r="D95" s="6" t="str">
        <f>IFERROR(__xludf.DUMMYFUNCTION("""COMPUTED_VALUE"""),"YOLOv7")</f>
        <v>YOLOv7</v>
      </c>
      <c r="E95" s="6" t="str">
        <f>IFERROR(__xludf.DUMMYFUNCTION("""COMPUTED_VALUE"""),"Background Complexity")</f>
        <v>Background Complexity</v>
      </c>
    </row>
    <row r="96" ht="15.75" customHeight="1">
      <c r="A96" s="5" t="str">
        <f>IFERROR(__xludf.DUMMYFUNCTION("""COMPUTED_VALUE"""),"SCOPUS-000261")</f>
        <v>SCOPUS-000261</v>
      </c>
      <c r="B96" s="5" t="str">
        <f>IFERROR(__xludf.DUMMYFUNCTION("""COMPUTED_VALUE"""),"SCOPUS-000261-1")</f>
        <v>SCOPUS-000261-1</v>
      </c>
      <c r="C96" s="5" t="str">
        <f>IFERROR(__xludf.DUMMYFUNCTION("""COMPUTED_VALUE"""),"ENVIRONMENTAL")</f>
        <v>ENVIRONMENTAL</v>
      </c>
      <c r="D96" s="6" t="str">
        <f>IFERROR(__xludf.DUMMYFUNCTION("""COMPUTED_VALUE"""),"Models trained from scratch")</f>
        <v>Models trained from scratch</v>
      </c>
      <c r="E96" s="6" t="str">
        <f>IFERROR(__xludf.DUMMYFUNCTION("""COMPUTED_VALUE"""),"Morphological Variation")</f>
        <v>Morphological Variation</v>
      </c>
    </row>
    <row r="97" ht="15.75" customHeight="1">
      <c r="A97" s="5" t="str">
        <f>IFERROR(__xludf.DUMMYFUNCTION("""COMPUTED_VALUE"""),"SCOPUS-000261")</f>
        <v>SCOPUS-000261</v>
      </c>
      <c r="B97" s="5" t="str">
        <f>IFERROR(__xludf.DUMMYFUNCTION("""COMPUTED_VALUE"""),"SCOPUS-000261-2")</f>
        <v>SCOPUS-000261-2</v>
      </c>
      <c r="C97" s="5" t="str">
        <f>IFERROR(__xludf.DUMMYFUNCTION("""COMPUTED_VALUE"""),"DATA")</f>
        <v>DATA</v>
      </c>
      <c r="D97" s="6" t="str">
        <f>IFERROR(__xludf.DUMMYFUNCTION("""COMPUTED_VALUE"""),"Models trained from scratch")</f>
        <v>Models trained from scratch</v>
      </c>
      <c r="E97" s="6" t="str">
        <f>IFERROR(__xludf.DUMMYFUNCTION("""COMPUTED_VALUE"""),"Class Imbalance")</f>
        <v>Class Imbalance</v>
      </c>
    </row>
    <row r="98" ht="15.75" customHeight="1">
      <c r="A98" s="5" t="str">
        <f>IFERROR(__xludf.DUMMYFUNCTION("""COMPUTED_VALUE"""),"SCOPUS-000584")</f>
        <v>SCOPUS-000584</v>
      </c>
      <c r="B98" s="5" t="str">
        <f>IFERROR(__xludf.DUMMYFUNCTION("""COMPUTED_VALUE"""),"SCOPUS-000584-1")</f>
        <v>SCOPUS-000584-1</v>
      </c>
      <c r="C98" s="5" t="str">
        <f>IFERROR(__xludf.DUMMYFUNCTION("""COMPUTED_VALUE"""),"ENVIRONMENTAL")</f>
        <v>ENVIRONMENTAL</v>
      </c>
      <c r="D98" s="6" t="str">
        <f>IFERROR(__xludf.DUMMYFUNCTION("""COMPUTED_VALUE"""),"YOLOv4-tiny")</f>
        <v>YOLOv4-tiny</v>
      </c>
      <c r="E98" s="6" t="str">
        <f>IFERROR(__xludf.DUMMYFUNCTION("""COMPUTED_VALUE"""),"Environmental Variation")</f>
        <v>Environmental Variation</v>
      </c>
    </row>
    <row r="99" ht="15.75" customHeight="1">
      <c r="A99" s="5" t="str">
        <f>IFERROR(__xludf.DUMMYFUNCTION("""COMPUTED_VALUE"""),"SCOPUS-000584")</f>
        <v>SCOPUS-000584</v>
      </c>
      <c r="B99" s="5" t="str">
        <f>IFERROR(__xludf.DUMMYFUNCTION("""COMPUTED_VALUE"""),"SCOPUS-000584-2")</f>
        <v>SCOPUS-000584-2</v>
      </c>
      <c r="C99" s="5" t="str">
        <f>IFERROR(__xludf.DUMMYFUNCTION("""COMPUTED_VALUE"""),"ENVIRONMENTAL")</f>
        <v>ENVIRONMENTAL</v>
      </c>
      <c r="D99" s="6" t="str">
        <f>IFERROR(__xludf.DUMMYFUNCTION("""COMPUTED_VALUE"""),"YOLOv4-tiny")</f>
        <v>YOLOv4-tiny</v>
      </c>
      <c r="E99" s="6" t="str">
        <f>IFERROR(__xludf.DUMMYFUNCTION("""COMPUTED_VALUE"""),"Occlusion")</f>
        <v>Occlusion</v>
      </c>
    </row>
    <row r="100" ht="15.75" customHeight="1">
      <c r="A100" s="5" t="str">
        <f>IFERROR(__xludf.DUMMYFUNCTION("""COMPUTED_VALUE"""),"SCOPUS-000584")</f>
        <v>SCOPUS-000584</v>
      </c>
      <c r="B100" s="5" t="str">
        <f>IFERROR(__xludf.DUMMYFUNCTION("""COMPUTED_VALUE"""),"SCOPUS-000584-3")</f>
        <v>SCOPUS-000584-3</v>
      </c>
      <c r="C100" s="5" t="str">
        <f>IFERROR(__xludf.DUMMYFUNCTION("""COMPUTED_VALUE"""),"TECHNICAL")</f>
        <v>TECHNICAL</v>
      </c>
      <c r="D100" s="6" t="str">
        <f>IFERROR(__xludf.DUMMYFUNCTION("""COMPUTED_VALUE"""),"Faster R-CNN")</f>
        <v>Faster R-CNN</v>
      </c>
      <c r="E100" s="6" t="str">
        <f>IFERROR(__xludf.DUMMYFUNCTION("""COMPUTED_VALUE"""),"Computational Resource")</f>
        <v>Computational Resource</v>
      </c>
    </row>
    <row r="101" ht="15.75" customHeight="1">
      <c r="A101" s="5" t="str">
        <f>IFERROR(__xludf.DUMMYFUNCTION("""COMPUTED_VALUE"""),"WEBSCI-000524")</f>
        <v>WEBSCI-000524</v>
      </c>
      <c r="B101" s="5" t="str">
        <f>IFERROR(__xludf.DUMMYFUNCTION("""COMPUTED_VALUE"""),"WEBSCI-000524-1")</f>
        <v>WEBSCI-000524-1</v>
      </c>
      <c r="C101" s="5" t="str">
        <f>IFERROR(__xludf.DUMMYFUNCTION("""COMPUTED_VALUE"""),"TECHNICAL")</f>
        <v>TECHNICAL</v>
      </c>
      <c r="D101" s="6" t="str">
        <f>IFERROR(__xludf.DUMMYFUNCTION("""COMPUTED_VALUE"""),"DeepLabV3")</f>
        <v>DeepLabV3</v>
      </c>
      <c r="E101" s="6" t="str">
        <f>IFERROR(__xludf.DUMMYFUNCTION("""COMPUTED_VALUE"""),"Computational Resource")</f>
        <v>Computational Resource</v>
      </c>
    </row>
    <row r="102" ht="15.75" customHeight="1">
      <c r="A102" s="5" t="str">
        <f>IFERROR(__xludf.DUMMYFUNCTION("""COMPUTED_VALUE"""),"SCOPUS-000370")</f>
        <v>SCOPUS-000370</v>
      </c>
      <c r="B102" s="5" t="str">
        <f>IFERROR(__xludf.DUMMYFUNCTION("""COMPUTED_VALUE"""),"SCOPUS-000370-1")</f>
        <v>SCOPUS-000370-1</v>
      </c>
      <c r="C102" s="5" t="str">
        <f>IFERROR(__xludf.DUMMYFUNCTION("""COMPUTED_VALUE"""),"IMAGING")</f>
        <v>IMAGING</v>
      </c>
      <c r="D102" s="6" t="str">
        <f>IFERROR(__xludf.DUMMYFUNCTION("""COMPUTED_VALUE"""),"Traditional approach")</f>
        <v>Traditional approach</v>
      </c>
      <c r="E102" s="6" t="str">
        <f>IFERROR(__xludf.DUMMYFUNCTION("""COMPUTED_VALUE"""),"Visual Similarity")</f>
        <v>Visual Similarity</v>
      </c>
    </row>
    <row r="103" ht="15.75" customHeight="1">
      <c r="A103" s="5" t="str">
        <f>IFERROR(__xludf.DUMMYFUNCTION("""COMPUTED_VALUE"""),"SCOPUS-000370")</f>
        <v>SCOPUS-000370</v>
      </c>
      <c r="B103" s="5" t="str">
        <f>IFERROR(__xludf.DUMMYFUNCTION("""COMPUTED_VALUE"""),"SCOPUS-000370-2")</f>
        <v>SCOPUS-000370-2</v>
      </c>
      <c r="C103" s="5" t="str">
        <f>IFERROR(__xludf.DUMMYFUNCTION("""COMPUTED_VALUE"""),"DATA")</f>
        <v>DATA</v>
      </c>
      <c r="D103" s="6" t="str">
        <f>IFERROR(__xludf.DUMMYFUNCTION("""COMPUTED_VALUE"""),"Traditional approach")</f>
        <v>Traditional approach</v>
      </c>
      <c r="E103" s="6" t="str">
        <f>IFERROR(__xludf.DUMMYFUNCTION("""COMPUTED_VALUE"""),"Class Imbalance")</f>
        <v>Class Imbalance</v>
      </c>
    </row>
    <row r="104" ht="15.75" customHeight="1">
      <c r="A104" s="5" t="str">
        <f>IFERROR(__xludf.DUMMYFUNCTION("""COMPUTED_VALUE"""),"SCOPUS-000370")</f>
        <v>SCOPUS-000370</v>
      </c>
      <c r="B104" s="5" t="str">
        <f>IFERROR(__xludf.DUMMYFUNCTION("""COMPUTED_VALUE"""),"SCOPUS-000370-3")</f>
        <v>SCOPUS-000370-3</v>
      </c>
      <c r="C104" s="5" t="str">
        <f>IFERROR(__xludf.DUMMYFUNCTION("""COMPUTED_VALUE"""),"ENVIRONMENTAL")</f>
        <v>ENVIRONMENTAL</v>
      </c>
      <c r="D104" s="6" t="str">
        <f>IFERROR(__xludf.DUMMYFUNCTION("""COMPUTED_VALUE"""),"Traditional approach")</f>
        <v>Traditional approach</v>
      </c>
      <c r="E104" s="6" t="str">
        <f>IFERROR(__xludf.DUMMYFUNCTION("""COMPUTED_VALUE"""),"Morphological Variation")</f>
        <v>Morphological Variation</v>
      </c>
    </row>
    <row r="105" ht="15.75" customHeight="1">
      <c r="A105" s="5" t="str">
        <f>IFERROR(__xludf.DUMMYFUNCTION("""COMPUTED_VALUE"""),"SCOPUS-000706")</f>
        <v>SCOPUS-000706</v>
      </c>
      <c r="B105" s="5" t="str">
        <f>IFERROR(__xludf.DUMMYFUNCTION("""COMPUTED_VALUE"""),"SCOPUS-000706-1")</f>
        <v>SCOPUS-000706-1</v>
      </c>
      <c r="C105" s="5" t="str">
        <f>IFERROR(__xludf.DUMMYFUNCTION("""COMPUTED_VALUE"""),"TECHNICAL")</f>
        <v>TECHNICAL</v>
      </c>
      <c r="D105" s="6" t="str">
        <f>IFERROR(__xludf.DUMMYFUNCTION("""COMPUTED_VALUE"""),"ResNet and VGGNet")</f>
        <v>ResNet and VGGNet</v>
      </c>
      <c r="E105" s="6" t="str">
        <f>IFERROR(__xludf.DUMMYFUNCTION("""COMPUTED_VALUE"""),"Computational Resource")</f>
        <v>Computational Resource</v>
      </c>
    </row>
    <row r="106" ht="15.75" customHeight="1">
      <c r="A106" s="5" t="str">
        <f>IFERROR(__xludf.DUMMYFUNCTION("""COMPUTED_VALUE"""),"SCOPUS-000013")</f>
        <v>SCOPUS-000013</v>
      </c>
      <c r="B106" s="5" t="str">
        <f>IFERROR(__xludf.DUMMYFUNCTION("""COMPUTED_VALUE"""),"SCOPUS-000013-1")</f>
        <v>SCOPUS-000013-1</v>
      </c>
      <c r="C106" s="5" t="str">
        <f>IFERROR(__xludf.DUMMYFUNCTION("""COMPUTED_VALUE"""),"DATA")</f>
        <v>DATA</v>
      </c>
      <c r="D106" s="6" t="str">
        <f>IFERROR(__xludf.DUMMYFUNCTION("""COMPUTED_VALUE"""),"YOLOv7")</f>
        <v>YOLOv7</v>
      </c>
      <c r="E106" s="6" t="str">
        <f>IFERROR(__xludf.DUMMYFUNCTION("""COMPUTED_VALUE"""),"Data Scarcity")</f>
        <v>Data Scarcity</v>
      </c>
    </row>
    <row r="107" ht="15.75" customHeight="1">
      <c r="A107" s="5" t="str">
        <f>IFERROR(__xludf.DUMMYFUNCTION("""COMPUTED_VALUE"""),"SCOPUS-000013")</f>
        <v>SCOPUS-000013</v>
      </c>
      <c r="B107" s="5" t="str">
        <f>IFERROR(__xludf.DUMMYFUNCTION("""COMPUTED_VALUE"""),"SCOPUS-000013-2")</f>
        <v>SCOPUS-000013-2</v>
      </c>
      <c r="C107" s="5" t="str">
        <f>IFERROR(__xludf.DUMMYFUNCTION("""COMPUTED_VALUE"""),"ENVIRONMENTAL")</f>
        <v>ENVIRONMENTAL</v>
      </c>
      <c r="D107" s="6" t="str">
        <f>IFERROR(__xludf.DUMMYFUNCTION("""COMPUTED_VALUE"""),"Existing few-shot detectors (FSOD)")</f>
        <v>Existing few-shot detectors (FSOD)</v>
      </c>
      <c r="E107" s="6" t="str">
        <f>IFERROR(__xludf.DUMMYFUNCTION("""COMPUTED_VALUE"""),"Occlusion")</f>
        <v>Occlusion</v>
      </c>
    </row>
    <row r="108" ht="15.75" customHeight="1">
      <c r="A108" s="5" t="str">
        <f>IFERROR(__xludf.DUMMYFUNCTION("""COMPUTED_VALUE"""),"SCOPUS-000642")</f>
        <v>SCOPUS-000642</v>
      </c>
      <c r="B108" s="5" t="str">
        <f>IFERROR(__xludf.DUMMYFUNCTION("""COMPUTED_VALUE"""),"SCOPUS-000642-1")</f>
        <v>SCOPUS-000642-1</v>
      </c>
      <c r="C108" s="5" t="str">
        <f>IFERROR(__xludf.DUMMYFUNCTION("""COMPUTED_VALUE"""),"TECHNICAL")</f>
        <v>TECHNICAL</v>
      </c>
      <c r="D108" s="6" t="str">
        <f>IFERROR(__xludf.DUMMYFUNCTION("""COMPUTED_VALUE"""),"YOLOv8")</f>
        <v>YOLOv8</v>
      </c>
      <c r="E108" s="6" t="str">
        <f>IFERROR(__xludf.DUMMYFUNCTION("""COMPUTED_VALUE"""),"Computational Resource")</f>
        <v>Computational Resource</v>
      </c>
    </row>
    <row r="109" ht="15.75" customHeight="1">
      <c r="A109" s="5" t="str">
        <f>IFERROR(__xludf.DUMMYFUNCTION("""COMPUTED_VALUE"""),"SCOPUS-000132")</f>
        <v>SCOPUS-000132</v>
      </c>
      <c r="B109" s="5" t="str">
        <f>IFERROR(__xludf.DUMMYFUNCTION("""COMPUTED_VALUE"""),"SCOPUS-000132-1")</f>
        <v>SCOPUS-000132-1</v>
      </c>
      <c r="C109" s="5" t="str">
        <f>IFERROR(__xludf.DUMMYFUNCTION("""COMPUTED_VALUE"""),"IMAGING")</f>
        <v>IMAGING</v>
      </c>
      <c r="D109" s="6"/>
      <c r="E109" s="6" t="str">
        <f>IFERROR(__xludf.DUMMYFUNCTION("""COMPUTED_VALUE"""),"Visual Similarity")</f>
        <v>Visual Similarity</v>
      </c>
    </row>
    <row r="110" ht="15.75" customHeight="1">
      <c r="A110" s="5" t="str">
        <f>IFERROR(__xludf.DUMMYFUNCTION("""COMPUTED_VALUE"""),"SCOPUS-000132")</f>
        <v>SCOPUS-000132</v>
      </c>
      <c r="B110" s="5" t="str">
        <f>IFERROR(__xludf.DUMMYFUNCTION("""COMPUTED_VALUE"""),"SCOPUS-000132-2")</f>
        <v>SCOPUS-000132-2</v>
      </c>
      <c r="C110" s="5" t="str">
        <f>IFERROR(__xludf.DUMMYFUNCTION("""COMPUTED_VALUE"""),"ENVIRONMENTAL")</f>
        <v>ENVIRONMENTAL</v>
      </c>
      <c r="D110" s="6"/>
      <c r="E110" s="6" t="str">
        <f>IFERROR(__xludf.DUMMYFUNCTION("""COMPUTED_VALUE"""),"Environmental Variation")</f>
        <v>Environmental Variation</v>
      </c>
    </row>
    <row r="111" ht="15.75" customHeight="1">
      <c r="A111" s="5" t="str">
        <f>IFERROR(__xludf.DUMMYFUNCTION("""COMPUTED_VALUE"""),"SCOPUS-000132")</f>
        <v>SCOPUS-000132</v>
      </c>
      <c r="B111" s="5" t="str">
        <f>IFERROR(__xludf.DUMMYFUNCTION("""COMPUTED_VALUE"""),"SCOPUS-000132-3")</f>
        <v>SCOPUS-000132-3</v>
      </c>
      <c r="C111" s="5" t="str">
        <f>IFERROR(__xludf.DUMMYFUNCTION("""COMPUTED_VALUE"""),"TECHNICAL")</f>
        <v>TECHNICAL</v>
      </c>
      <c r="D111" s="6" t="str">
        <f>IFERROR(__xludf.DUMMYFUNCTION("""COMPUTED_VALUE"""),"Deep learning models")</f>
        <v>Deep learning models</v>
      </c>
      <c r="E111" s="6" t="str">
        <f>IFERROR(__xludf.DUMMYFUNCTION("""COMPUTED_VALUE"""),"Computational Resource")</f>
        <v>Computational Resource</v>
      </c>
    </row>
    <row r="112" ht="15.75" customHeight="1">
      <c r="A112" s="5" t="str">
        <f>IFERROR(__xludf.DUMMYFUNCTION("""COMPUTED_VALUE"""),"SCOPUS-000121")</f>
        <v>SCOPUS-000121</v>
      </c>
      <c r="B112" s="5" t="str">
        <f>IFERROR(__xludf.DUMMYFUNCTION("""COMPUTED_VALUE"""),"SCOPUS-000121-1")</f>
        <v>SCOPUS-000121-1</v>
      </c>
      <c r="C112" s="5" t="str">
        <f>IFERROR(__xludf.DUMMYFUNCTION("""COMPUTED_VALUE"""),"IMAGING")</f>
        <v>IMAGING</v>
      </c>
      <c r="D112" s="6" t="str">
        <f>IFERROR(__xludf.DUMMYFUNCTION("""COMPUTED_VALUE"""),"RT-DETR")</f>
        <v>RT-DETR</v>
      </c>
      <c r="E112" s="6" t="str">
        <f>IFERROR(__xludf.DUMMYFUNCTION("""COMPUTED_VALUE"""),"Scale Variation")</f>
        <v>Scale Variation</v>
      </c>
    </row>
    <row r="113" ht="15.75" customHeight="1">
      <c r="A113" s="5" t="str">
        <f>IFERROR(__xludf.DUMMYFUNCTION("""COMPUTED_VALUE"""),"SCOPUS-000121")</f>
        <v>SCOPUS-000121</v>
      </c>
      <c r="B113" s="5" t="str">
        <f>IFERROR(__xludf.DUMMYFUNCTION("""COMPUTED_VALUE"""),"SCOPUS-000121-2")</f>
        <v>SCOPUS-000121-2</v>
      </c>
      <c r="C113" s="5" t="str">
        <f>IFERROR(__xludf.DUMMYFUNCTION("""COMPUTED_VALUE"""),"DATA")</f>
        <v>DATA</v>
      </c>
      <c r="D113" s="6" t="str">
        <f>IFERROR(__xludf.DUMMYFUNCTION("""COMPUTED_VALUE"""),"Focal loss")</f>
        <v>Focal loss</v>
      </c>
      <c r="E113" s="6" t="str">
        <f>IFERROR(__xludf.DUMMYFUNCTION("""COMPUTED_VALUE"""),"Class Imbalance")</f>
        <v>Class Imbalance</v>
      </c>
    </row>
    <row r="114" ht="15.75" customHeight="1">
      <c r="A114" s="5" t="str">
        <f>IFERROR(__xludf.DUMMYFUNCTION("""COMPUTED_VALUE"""),"SCOPUS-000267")</f>
        <v>SCOPUS-000267</v>
      </c>
      <c r="B114" s="5" t="str">
        <f>IFERROR(__xludf.DUMMYFUNCTION("""COMPUTED_VALUE"""),"SCOPUS-000267-1")</f>
        <v>SCOPUS-000267-1</v>
      </c>
      <c r="C114" s="5" t="str">
        <f>IFERROR(__xludf.DUMMYFUNCTION("""COMPUTED_VALUE"""),"ENVIRONMENTAL")</f>
        <v>ENVIRONMENTAL</v>
      </c>
      <c r="D114" s="6" t="str">
        <f>IFERROR(__xludf.DUMMYFUNCTION("""COMPUTED_VALUE"""),"Separate ground/UAV processing")</f>
        <v>Separate ground/UAV processing</v>
      </c>
      <c r="E114" s="6" t="str">
        <f>IFERROR(__xludf.DUMMYFUNCTION("""COMPUTED_VALUE"""),"Domain Shift")</f>
        <v>Domain Shift</v>
      </c>
    </row>
    <row r="115" ht="15.75" customHeight="1">
      <c r="A115" s="5" t="str">
        <f>IFERROR(__xludf.DUMMYFUNCTION("""COMPUTED_VALUE"""),"SCOPUS-000267")</f>
        <v>SCOPUS-000267</v>
      </c>
      <c r="B115" s="5" t="str">
        <f>IFERROR(__xludf.DUMMYFUNCTION("""COMPUTED_VALUE"""),"SCOPUS-000267-2")</f>
        <v>SCOPUS-000267-2</v>
      </c>
      <c r="C115" s="5" t="str">
        <f>IFERROR(__xludf.DUMMYFUNCTION("""COMPUTED_VALUE"""),"DATA")</f>
        <v>DATA</v>
      </c>
      <c r="D115" s="6" t="str">
        <f>IFERROR(__xludf.DUMMYFUNCTION("""COMPUTED_VALUE"""),"Standard cross-entropy loss")</f>
        <v>Standard cross-entropy loss</v>
      </c>
      <c r="E115" s="6" t="str">
        <f>IFERROR(__xludf.DUMMYFUNCTION("""COMPUTED_VALUE"""),"Class Imbalance")</f>
        <v>Class Imbalance</v>
      </c>
    </row>
    <row r="116" ht="15.75" customHeight="1">
      <c r="A116" s="5" t="str">
        <f>IFERROR(__xludf.DUMMYFUNCTION("""COMPUTED_VALUE"""),"SCOPUS-000013")</f>
        <v>SCOPUS-000013</v>
      </c>
      <c r="B116" s="5" t="str">
        <f>IFERROR(__xludf.DUMMYFUNCTION("""COMPUTED_VALUE"""),"SCOPUS-000013-3")</f>
        <v>SCOPUS-000013-3</v>
      </c>
      <c r="C116" s="5" t="str">
        <f>IFERROR(__xludf.DUMMYFUNCTION("""COMPUTED_VALUE"""),"IMAGING")</f>
        <v>IMAGING</v>
      </c>
      <c r="D116" s="6" t="str">
        <f>IFERROR(__xludf.DUMMYFUNCTION("""COMPUTED_VALUE"""),"YOLOv7")</f>
        <v>YOLOv7</v>
      </c>
      <c r="E116" s="6" t="str">
        <f>IFERROR(__xludf.DUMMYFUNCTION("""COMPUTED_VALUE"""),"Visual Similarity")</f>
        <v>Visual Similarity</v>
      </c>
    </row>
    <row r="117" ht="15.75" customHeight="1">
      <c r="A117" s="5" t="str">
        <f>IFERROR(__xludf.DUMMYFUNCTION("""COMPUTED_VALUE"""),"SCOPUS-000013")</f>
        <v>SCOPUS-000013</v>
      </c>
      <c r="B117" s="5" t="str">
        <f>IFERROR(__xludf.DUMMYFUNCTION("""COMPUTED_VALUE"""),"SCOPUS-000013-4")</f>
        <v>SCOPUS-000013-4</v>
      </c>
      <c r="C117" s="5" t="str">
        <f>IFERROR(__xludf.DUMMYFUNCTION("""COMPUTED_VALUE"""),"IMAGING")</f>
        <v>IMAGING</v>
      </c>
      <c r="D117" s="6" t="str">
        <f>IFERROR(__xludf.DUMMYFUNCTION("""COMPUTED_VALUE"""),"YOLOv7")</f>
        <v>YOLOv7</v>
      </c>
      <c r="E117" s="6" t="str">
        <f>IFERROR(__xludf.DUMMYFUNCTION("""COMPUTED_VALUE"""),"Small Object Detection")</f>
        <v>Small Object Detection</v>
      </c>
    </row>
    <row r="118" ht="15.75" customHeight="1">
      <c r="A118" s="5" t="str">
        <f>IFERROR(__xludf.DUMMYFUNCTION("""COMPUTED_VALUE"""),"SCOPUS-000013")</f>
        <v>SCOPUS-000013</v>
      </c>
      <c r="B118" s="5" t="str">
        <f>IFERROR(__xludf.DUMMYFUNCTION("""COMPUTED_VALUE"""),"SCOPUS-000013-5")</f>
        <v>SCOPUS-000013-5</v>
      </c>
      <c r="C118" s="5" t="str">
        <f>IFERROR(__xludf.DUMMYFUNCTION("""COMPUTED_VALUE"""),"DATA")</f>
        <v>DATA</v>
      </c>
      <c r="D118" s="6" t="str">
        <f>IFERROR(__xludf.DUMMYFUNCTION("""COMPUTED_VALUE"""),"YOLOv7")</f>
        <v>YOLOv7</v>
      </c>
      <c r="E118" s="6" t="str">
        <f>IFERROR(__xludf.DUMMYFUNCTION("""COMPUTED_VALUE"""),"Class Imbalance")</f>
        <v>Class Imbalance</v>
      </c>
    </row>
    <row r="119" ht="15.75" customHeight="1">
      <c r="A119" s="5" t="str">
        <f>IFERROR(__xludf.DUMMYFUNCTION("""COMPUTED_VALUE"""),"SCOPUS-000246")</f>
        <v>SCOPUS-000246</v>
      </c>
      <c r="B119" s="5" t="str">
        <f>IFERROR(__xludf.DUMMYFUNCTION("""COMPUTED_VALUE"""),"SCOPUS-000246-2")</f>
        <v>SCOPUS-000246-2</v>
      </c>
      <c r="C119" s="5" t="str">
        <f>IFERROR(__xludf.DUMMYFUNCTION("""COMPUTED_VALUE"""),"ENVIRONMENTAL")</f>
        <v>ENVIRONMENTAL</v>
      </c>
      <c r="D119" s="6" t="str">
        <f>IFERROR(__xludf.DUMMYFUNCTION("""COMPUTED_VALUE"""),"ESL")</f>
        <v>ESL</v>
      </c>
      <c r="E119" s="6" t="str">
        <f>IFERROR(__xludf.DUMMYFUNCTION("""COMPUTED_VALUE"""),"Background Complexity")</f>
        <v>Background Complexity</v>
      </c>
    </row>
    <row r="120" ht="15.75" customHeight="1">
      <c r="A120" s="5" t="str">
        <f>IFERROR(__xludf.DUMMYFUNCTION("""COMPUTED_VALUE"""),"SCOPUS-000246")</f>
        <v>SCOPUS-000246</v>
      </c>
      <c r="B120" s="5" t="str">
        <f>IFERROR(__xludf.DUMMYFUNCTION("""COMPUTED_VALUE"""),"SCOPUS-000246-3")</f>
        <v>SCOPUS-000246-3</v>
      </c>
      <c r="C120" s="5" t="str">
        <f>IFERROR(__xludf.DUMMYFUNCTION("""COMPUTED_VALUE"""),"ENVIRONMENTAL")</f>
        <v>ENVIRONMENTAL</v>
      </c>
      <c r="D120" s="6" t="str">
        <f>IFERROR(__xludf.DUMMYFUNCTION("""COMPUTED_VALUE"""),"ESL")</f>
        <v>ESL</v>
      </c>
      <c r="E120" s="6" t="str">
        <f>IFERROR(__xludf.DUMMYFUNCTION("""COMPUTED_VALUE"""),"Occlusion")</f>
        <v>Occlusion</v>
      </c>
    </row>
    <row r="121" ht="15.75" customHeight="1">
      <c r="A121" s="5" t="str">
        <f>IFERROR(__xludf.DUMMYFUNCTION("""COMPUTED_VALUE"""),"SCOPUS-000246")</f>
        <v>SCOPUS-000246</v>
      </c>
      <c r="B121" s="5" t="str">
        <f>IFERROR(__xludf.DUMMYFUNCTION("""COMPUTED_VALUE"""),"SCOPUS-000246-4")</f>
        <v>SCOPUS-000246-4</v>
      </c>
      <c r="C121" s="5" t="str">
        <f>IFERROR(__xludf.DUMMYFUNCTION("""COMPUTED_VALUE"""),"IMAGING")</f>
        <v>IMAGING</v>
      </c>
      <c r="D121" s="6" t="str">
        <f>IFERROR(__xludf.DUMMYFUNCTION("""COMPUTED_VALUE"""),"ESL")</f>
        <v>ESL</v>
      </c>
      <c r="E121" s="6" t="str">
        <f>IFERROR(__xludf.DUMMYFUNCTION("""COMPUTED_VALUE"""),"Small Object Detection")</f>
        <v>Small Object Detection</v>
      </c>
    </row>
    <row r="122" ht="15.75" customHeight="1">
      <c r="A122" s="5" t="str">
        <f>IFERROR(__xludf.DUMMYFUNCTION("""COMPUTED_VALUE"""),"SCOPUS-000574")</f>
        <v>SCOPUS-000574</v>
      </c>
      <c r="B122" s="5" t="str">
        <f>IFERROR(__xludf.DUMMYFUNCTION("""COMPUTED_VALUE"""),"SCOPUS-000574-2")</f>
        <v>SCOPUS-000574-2</v>
      </c>
      <c r="C122" s="5" t="str">
        <f>IFERROR(__xludf.DUMMYFUNCTION("""COMPUTED_VALUE"""),"IMAGING")</f>
        <v>IMAGING</v>
      </c>
      <c r="D122" s="6" t="str">
        <f>IFERROR(__xludf.DUMMYFUNCTION("""COMPUTED_VALUE"""),"DeepLab V3+")</f>
        <v>DeepLab V3+</v>
      </c>
      <c r="E122" s="6" t="str">
        <f>IFERROR(__xludf.DUMMYFUNCTION("""COMPUTED_VALUE"""),"Visual Similarity")</f>
        <v>Visual Similarity</v>
      </c>
    </row>
    <row r="123" ht="15.75" customHeight="1">
      <c r="A123" s="5" t="str">
        <f>IFERROR(__xludf.DUMMYFUNCTION("""COMPUTED_VALUE"""),"SCOPUS-000574")</f>
        <v>SCOPUS-000574</v>
      </c>
      <c r="B123" s="5" t="str">
        <f>IFERROR(__xludf.DUMMYFUNCTION("""COMPUTED_VALUE"""),"SCOPUS-000574-3")</f>
        <v>SCOPUS-000574-3</v>
      </c>
      <c r="C123" s="5" t="str">
        <f>IFERROR(__xludf.DUMMYFUNCTION("""COMPUTED_VALUE"""),"ENVIRONMENTAL")</f>
        <v>ENVIRONMENTAL</v>
      </c>
      <c r="D123" s="6" t="str">
        <f>IFERROR(__xludf.DUMMYFUNCTION("""COMPUTED_VALUE"""),"DeepLab V3+")</f>
        <v>DeepLab V3+</v>
      </c>
      <c r="E123" s="6" t="str">
        <f>IFERROR(__xludf.DUMMYFUNCTION("""COMPUTED_VALUE"""),"Occlusion")</f>
        <v>Occlusion</v>
      </c>
    </row>
    <row r="124" ht="15.75" customHeight="1">
      <c r="A124" s="5" t="str">
        <f>IFERROR(__xludf.DUMMYFUNCTION("""COMPUTED_VALUE"""),"SCOPUS-000574")</f>
        <v>SCOPUS-000574</v>
      </c>
      <c r="B124" s="5" t="str">
        <f>IFERROR(__xludf.DUMMYFUNCTION("""COMPUTED_VALUE"""),"SCOPUS-000574-4")</f>
        <v>SCOPUS-000574-4</v>
      </c>
      <c r="C124" s="5" t="str">
        <f>IFERROR(__xludf.DUMMYFUNCTION("""COMPUTED_VALUE"""),"ENVIRONMENTAL")</f>
        <v>ENVIRONMENTAL</v>
      </c>
      <c r="D124" s="6" t="str">
        <f>IFERROR(__xludf.DUMMYFUNCTION("""COMPUTED_VALUE"""),"DeepLab V3+")</f>
        <v>DeepLab V3+</v>
      </c>
      <c r="E124" s="6" t="str">
        <f>IFERROR(__xludf.DUMMYFUNCTION("""COMPUTED_VALUE"""),"Environmental Variation")</f>
        <v>Environmental Variation</v>
      </c>
    </row>
    <row r="125" ht="15.75" customHeight="1">
      <c r="A125" s="5" t="str">
        <f>IFERROR(__xludf.DUMMYFUNCTION("""COMPUTED_VALUE"""),"SCOPUS-000574")</f>
        <v>SCOPUS-000574</v>
      </c>
      <c r="B125" s="5" t="str">
        <f>IFERROR(__xludf.DUMMYFUNCTION("""COMPUTED_VALUE"""),"SCOPUS-000574-5")</f>
        <v>SCOPUS-000574-5</v>
      </c>
      <c r="C125" s="5" t="str">
        <f>IFERROR(__xludf.DUMMYFUNCTION("""COMPUTED_VALUE"""),"IMAGING")</f>
        <v>IMAGING</v>
      </c>
      <c r="D125" s="6" t="str">
        <f>IFERROR(__xludf.DUMMYFUNCTION("""COMPUTED_VALUE"""),"DeepLab V3+")</f>
        <v>DeepLab V3+</v>
      </c>
      <c r="E125" s="6" t="str">
        <f>IFERROR(__xludf.DUMMYFUNCTION("""COMPUTED_VALUE"""),"Image Quality")</f>
        <v>Image Quality</v>
      </c>
    </row>
    <row r="126" ht="15.75" customHeight="1">
      <c r="A126" s="5" t="str">
        <f>IFERROR(__xludf.DUMMYFUNCTION("""COMPUTED_VALUE"""),"SCOPUS-000574")</f>
        <v>SCOPUS-000574</v>
      </c>
      <c r="B126" s="5" t="str">
        <f>IFERROR(__xludf.DUMMYFUNCTION("""COMPUTED_VALUE"""),"SCOPUS-000574-6")</f>
        <v>SCOPUS-000574-6</v>
      </c>
      <c r="C126" s="5" t="str">
        <f>IFERROR(__xludf.DUMMYFUNCTION("""COMPUTED_VALUE"""),"IMAGING")</f>
        <v>IMAGING</v>
      </c>
      <c r="D126" s="6" t="str">
        <f>IFERROR(__xludf.DUMMYFUNCTION("""COMPUTED_VALUE"""),"DeepLab V3+")</f>
        <v>DeepLab V3+</v>
      </c>
      <c r="E126" s="6" t="str">
        <f>IFERROR(__xludf.DUMMYFUNCTION("""COMPUTED_VALUE"""),"Image Quality")</f>
        <v>Image Quality</v>
      </c>
    </row>
    <row r="127" ht="15.75" customHeight="1">
      <c r="A127" s="5" t="str">
        <f>IFERROR(__xludf.DUMMYFUNCTION("""COMPUTED_VALUE"""),"SCOPUS-000139")</f>
        <v>SCOPUS-000139</v>
      </c>
      <c r="B127" s="5" t="str">
        <f>IFERROR(__xludf.DUMMYFUNCTION("""COMPUTED_VALUE"""),"SCOPUS-000139-3")</f>
        <v>SCOPUS-000139-3</v>
      </c>
      <c r="C127" s="5" t="str">
        <f>IFERROR(__xludf.DUMMYFUNCTION("""COMPUTED_VALUE"""),"IMAGING")</f>
        <v>IMAGING</v>
      </c>
      <c r="D127" s="6" t="str">
        <f>IFERROR(__xludf.DUMMYFUNCTION("""COMPUTED_VALUE"""),"YOLOv10n")</f>
        <v>YOLOv10n</v>
      </c>
      <c r="E127" s="6" t="str">
        <f>IFERROR(__xludf.DUMMYFUNCTION("""COMPUTED_VALUE"""),"Image Quality")</f>
        <v>Image Quality</v>
      </c>
    </row>
    <row r="128" ht="15.75" customHeight="1">
      <c r="A128" s="5" t="str">
        <f>IFERROR(__xludf.DUMMYFUNCTION("""COMPUTED_VALUE"""),"SCOPUS-000139")</f>
        <v>SCOPUS-000139</v>
      </c>
      <c r="B128" s="5" t="str">
        <f>IFERROR(__xludf.DUMMYFUNCTION("""COMPUTED_VALUE"""),"SCOPUS-000139-4")</f>
        <v>SCOPUS-000139-4</v>
      </c>
      <c r="C128" s="5" t="str">
        <f>IFERROR(__xludf.DUMMYFUNCTION("""COMPUTED_VALUE"""),"IMAGING")</f>
        <v>IMAGING</v>
      </c>
      <c r="D128" s="6" t="str">
        <f>IFERROR(__xludf.DUMMYFUNCTION("""COMPUTED_VALUE"""),"YOLOv10n")</f>
        <v>YOLOv10n</v>
      </c>
      <c r="E128" s="6" t="str">
        <f>IFERROR(__xludf.DUMMYFUNCTION("""COMPUTED_VALUE"""),"Small Object Detection")</f>
        <v>Small Object Detection</v>
      </c>
    </row>
    <row r="129" ht="15.75" customHeight="1">
      <c r="A129" s="5" t="str">
        <f>IFERROR(__xludf.DUMMYFUNCTION("""COMPUTED_VALUE"""),"SCOPUS-000086")</f>
        <v>SCOPUS-000086</v>
      </c>
      <c r="B129" s="5" t="str">
        <f>IFERROR(__xludf.DUMMYFUNCTION("""COMPUTED_VALUE"""),"SCOPUS-000086-2")</f>
        <v>SCOPUS-000086-2</v>
      </c>
      <c r="C129" s="5" t="str">
        <f>IFERROR(__xludf.DUMMYFUNCTION("""COMPUTED_VALUE"""),"TECHNICAL")</f>
        <v>TECHNICAL</v>
      </c>
      <c r="D129" s="6" t="str">
        <f>IFERROR(__xludf.DUMMYFUNCTION("""COMPUTED_VALUE"""),"Supervised")</f>
        <v>Supervised</v>
      </c>
      <c r="E129" s="6" t="str">
        <f>IFERROR(__xludf.DUMMYFUNCTION("""COMPUTED_VALUE"""),"Model Generalization")</f>
        <v>Model Generalization</v>
      </c>
    </row>
    <row r="130" ht="15.75" customHeight="1">
      <c r="A130" s="5" t="str">
        <f>IFERROR(__xludf.DUMMYFUNCTION("""COMPUTED_VALUE"""),"SCOPUS-000086")</f>
        <v>SCOPUS-000086</v>
      </c>
      <c r="B130" s="5" t="str">
        <f>IFERROR(__xludf.DUMMYFUNCTION("""COMPUTED_VALUE"""),"SCOPUS-000086-3")</f>
        <v>SCOPUS-000086-3</v>
      </c>
      <c r="C130" s="5" t="str">
        <f>IFERROR(__xludf.DUMMYFUNCTION("""COMPUTED_VALUE"""),"DATA")</f>
        <v>DATA</v>
      </c>
      <c r="D130" s="6" t="str">
        <f>IFERROR(__xludf.DUMMYFUNCTION("""COMPUTED_VALUE"""),"Supervised")</f>
        <v>Supervised</v>
      </c>
      <c r="E130" s="6" t="str">
        <f>IFERROR(__xludf.DUMMYFUNCTION("""COMPUTED_VALUE"""),"Annotation")</f>
        <v>Annotation</v>
      </c>
    </row>
    <row r="131" ht="15.75" customHeight="1">
      <c r="A131" s="5" t="str">
        <f>IFERROR(__xludf.DUMMYFUNCTION("""COMPUTED_VALUE"""),"SCOPUS-000391")</f>
        <v>SCOPUS-000391</v>
      </c>
      <c r="B131" s="5" t="str">
        <f>IFERROR(__xludf.DUMMYFUNCTION("""COMPUTED_VALUE"""),"SCOPUS-000391-3")</f>
        <v>SCOPUS-000391-3</v>
      </c>
      <c r="C131" s="5" t="str">
        <f>IFERROR(__xludf.DUMMYFUNCTION("""COMPUTED_VALUE"""),"DATA")</f>
        <v>DATA</v>
      </c>
      <c r="D131" s="6" t="str">
        <f>IFERROR(__xludf.DUMMYFUNCTION("""COMPUTED_VALUE"""),"SVM")</f>
        <v>SVM</v>
      </c>
      <c r="E131" s="6" t="str">
        <f>IFERROR(__xludf.DUMMYFUNCTION("""COMPUTED_VALUE"""),"Data Scarcity")</f>
        <v>Data Scarcity</v>
      </c>
    </row>
    <row r="132" ht="15.75" customHeight="1">
      <c r="A132" s="5" t="str">
        <f>IFERROR(__xludf.DUMMYFUNCTION("""COMPUTED_VALUE"""),"SCOPUS-000265")</f>
        <v>SCOPUS-000265</v>
      </c>
      <c r="B132" s="5" t="str">
        <f>IFERROR(__xludf.DUMMYFUNCTION("""COMPUTED_VALUE"""),"SCOPUS-000265-3")</f>
        <v>SCOPUS-000265-3</v>
      </c>
      <c r="C132" s="5" t="str">
        <f>IFERROR(__xludf.DUMMYFUNCTION("""COMPUTED_VALUE"""),"DATA")</f>
        <v>DATA</v>
      </c>
      <c r="D132" s="6" t="str">
        <f>IFERROR(__xludf.DUMMYFUNCTION("""COMPUTED_VALUE"""),"Faster RCNN")</f>
        <v>Faster RCNN</v>
      </c>
      <c r="E132" s="6" t="str">
        <f>IFERROR(__xludf.DUMMYFUNCTION("""COMPUTED_VALUE"""),"Class Imbalance")</f>
        <v>Class Imbalance</v>
      </c>
    </row>
    <row r="133" ht="15.75" customHeight="1">
      <c r="A133" s="5" t="str">
        <f>IFERROR(__xludf.DUMMYFUNCTION("""COMPUTED_VALUE"""),"SCOPUS-000370")</f>
        <v>SCOPUS-000370</v>
      </c>
      <c r="B133" s="5" t="str">
        <f>IFERROR(__xludf.DUMMYFUNCTION("""COMPUTED_VALUE"""),"SCOPUS-000370-4")</f>
        <v>SCOPUS-000370-4</v>
      </c>
      <c r="C133" s="5" t="str">
        <f>IFERROR(__xludf.DUMMYFUNCTION("""COMPUTED_VALUE"""),"IMAGING")</f>
        <v>IMAGING</v>
      </c>
      <c r="D133" s="6" t="str">
        <f>IFERROR(__xludf.DUMMYFUNCTION("""COMPUTED_VALUE"""),"Traditional approach")</f>
        <v>Traditional approach</v>
      </c>
      <c r="E133" s="6" t="str">
        <f>IFERROR(__xludf.DUMMYFUNCTION("""COMPUTED_VALUE"""),"Image Quality")</f>
        <v>Image Quality</v>
      </c>
    </row>
    <row r="134" ht="15.75" customHeight="1">
      <c r="A134" s="5" t="str">
        <f>IFERROR(__xludf.DUMMYFUNCTION("""COMPUTED_VALUE"""),"SCOPUS-000014")</f>
        <v>SCOPUS-000014</v>
      </c>
      <c r="B134" s="5" t="str">
        <f>IFERROR(__xludf.DUMMYFUNCTION("""COMPUTED_VALUE"""),"SCOPUS-000014-2")</f>
        <v>SCOPUS-000014-2</v>
      </c>
      <c r="C134" s="5" t="str">
        <f>IFERROR(__xludf.DUMMYFUNCTION("""COMPUTED_VALUE"""),"DATA")</f>
        <v>DATA</v>
      </c>
      <c r="D134" s="6" t="str">
        <f>IFERROR(__xludf.DUMMYFUNCTION("""COMPUTED_VALUE"""),"RetinaNet")</f>
        <v>RetinaNet</v>
      </c>
      <c r="E134" s="6" t="str">
        <f>IFERROR(__xludf.DUMMYFUNCTION("""COMPUTED_VALUE"""),"Data Scarcity")</f>
        <v>Data Scarcity</v>
      </c>
    </row>
    <row r="135" ht="15.75" customHeight="1">
      <c r="A135" s="5" t="str">
        <f>IFERROR(__xludf.DUMMYFUNCTION("""COMPUTED_VALUE"""),"SCOPUS-000014")</f>
        <v>SCOPUS-000014</v>
      </c>
      <c r="B135" s="5" t="str">
        <f>IFERROR(__xludf.DUMMYFUNCTION("""COMPUTED_VALUE"""),"SCOPUS-000014-3")</f>
        <v>SCOPUS-000014-3</v>
      </c>
      <c r="C135" s="5" t="str">
        <f>IFERROR(__xludf.DUMMYFUNCTION("""COMPUTED_VALUE"""),"IMAGING")</f>
        <v>IMAGING</v>
      </c>
      <c r="D135" s="6" t="str">
        <f>IFERROR(__xludf.DUMMYFUNCTION("""COMPUTED_VALUE"""),"RetinaNet")</f>
        <v>RetinaNet</v>
      </c>
      <c r="E135" s="6" t="str">
        <f>IFERROR(__xludf.DUMMYFUNCTION("""COMPUTED_VALUE"""),"Small Object Detection")</f>
        <v>Small Object Detection</v>
      </c>
    </row>
    <row r="136" ht="15.75" customHeight="1">
      <c r="A136" s="5" t="str">
        <f>IFERROR(__xludf.DUMMYFUNCTION("""COMPUTED_VALUE"""),"SCOPUS-000014")</f>
        <v>SCOPUS-000014</v>
      </c>
      <c r="B136" s="5" t="str">
        <f>IFERROR(__xludf.DUMMYFUNCTION("""COMPUTED_VALUE"""),"SCOPUS-000014-4")</f>
        <v>SCOPUS-000014-4</v>
      </c>
      <c r="C136" s="5" t="str">
        <f>IFERROR(__xludf.DUMMYFUNCTION("""COMPUTED_VALUE"""),"DATA")</f>
        <v>DATA</v>
      </c>
      <c r="D136" s="6" t="str">
        <f>IFERROR(__xludf.DUMMYFUNCTION("""COMPUTED_VALUE"""),"RetinaNet")</f>
        <v>RetinaNet</v>
      </c>
      <c r="E136" s="6" t="str">
        <f>IFERROR(__xludf.DUMMYFUNCTION("""COMPUTED_VALUE"""),"Class Imbalance")</f>
        <v>Class Imbalance</v>
      </c>
    </row>
    <row r="137" ht="15.75" customHeight="1">
      <c r="A137" s="5" t="str">
        <f>IFERROR(__xludf.DUMMYFUNCTION("""COMPUTED_VALUE"""),"SCOPUS-000045")</f>
        <v>SCOPUS-000045</v>
      </c>
      <c r="B137" s="5" t="str">
        <f>IFERROR(__xludf.DUMMYFUNCTION("""COMPUTED_VALUE"""),"SCOPUS-000045-2")</f>
        <v>SCOPUS-000045-2</v>
      </c>
      <c r="C137" s="5" t="str">
        <f>IFERROR(__xludf.DUMMYFUNCTION("""COMPUTED_VALUE"""),"DATA")</f>
        <v>DATA</v>
      </c>
      <c r="D137" s="6" t="str">
        <f>IFERROR(__xludf.DUMMYFUNCTION("""COMPUTED_VALUE"""),"Bonnet")</f>
        <v>Bonnet</v>
      </c>
      <c r="E137" s="6" t="str">
        <f>IFERROR(__xludf.DUMMYFUNCTION("""COMPUTED_VALUE"""),"Annotation")</f>
        <v>Annotation</v>
      </c>
    </row>
    <row r="138" ht="15.75" customHeight="1">
      <c r="A138" s="5" t="str">
        <f>IFERROR(__xludf.DUMMYFUNCTION("""COMPUTED_VALUE"""),"SCOPUS-000045")</f>
        <v>SCOPUS-000045</v>
      </c>
      <c r="B138" s="5" t="str">
        <f>IFERROR(__xludf.DUMMYFUNCTION("""COMPUTED_VALUE"""),"SCOPUS-000045-3")</f>
        <v>SCOPUS-000045-3</v>
      </c>
      <c r="C138" s="5" t="str">
        <f>IFERROR(__xludf.DUMMYFUNCTION("""COMPUTED_VALUE"""),"ENVIRONMENTAL")</f>
        <v>ENVIRONMENTAL</v>
      </c>
      <c r="D138" s="6" t="str">
        <f>IFERROR(__xludf.DUMMYFUNCTION("""COMPUTED_VALUE"""),"Bonnet")</f>
        <v>Bonnet</v>
      </c>
      <c r="E138" s="6" t="str">
        <f>IFERROR(__xludf.DUMMYFUNCTION("""COMPUTED_VALUE"""),"Environmental Variation")</f>
        <v>Environmental Variation</v>
      </c>
    </row>
    <row r="139" ht="15.75" customHeight="1">
      <c r="A139" s="5" t="str">
        <f>IFERROR(__xludf.DUMMYFUNCTION("""COMPUTED_VALUE"""),"SCOPUS-000045")</f>
        <v>SCOPUS-000045</v>
      </c>
      <c r="B139" s="5" t="str">
        <f>IFERROR(__xludf.DUMMYFUNCTION("""COMPUTED_VALUE"""),"SCOPUS-000045-4")</f>
        <v>SCOPUS-000045-4</v>
      </c>
      <c r="C139" s="5" t="str">
        <f>IFERROR(__xludf.DUMMYFUNCTION("""COMPUTED_VALUE"""),"ENVIRONMENTAL")</f>
        <v>ENVIRONMENTAL</v>
      </c>
      <c r="D139" s="6" t="str">
        <f>IFERROR(__xludf.DUMMYFUNCTION("""COMPUTED_VALUE"""),"Bonnet")</f>
        <v>Bonnet</v>
      </c>
      <c r="E139" s="6" t="str">
        <f>IFERROR(__xludf.DUMMYFUNCTION("""COMPUTED_VALUE"""),"Morphological Variation")</f>
        <v>Morphological Variation</v>
      </c>
    </row>
    <row r="140" ht="15.75" customHeight="1">
      <c r="A140" s="5" t="str">
        <f>IFERROR(__xludf.DUMMYFUNCTION("""COMPUTED_VALUE"""),"SCOPUS-000114")</f>
        <v>SCOPUS-000114</v>
      </c>
      <c r="B140" s="5" t="str">
        <f>IFERROR(__xludf.DUMMYFUNCTION("""COMPUTED_VALUE"""),"SCOPUS-000114-2")</f>
        <v>SCOPUS-000114-2</v>
      </c>
      <c r="C140" s="5" t="str">
        <f>IFERROR(__xludf.DUMMYFUNCTION("""COMPUTED_VALUE"""),"DATA")</f>
        <v>DATA</v>
      </c>
      <c r="D140" s="6" t="str">
        <f>IFERROR(__xludf.DUMMYFUNCTION("""COMPUTED_VALUE"""),"SVM")</f>
        <v>SVM</v>
      </c>
      <c r="E140" s="6" t="str">
        <f>IFERROR(__xludf.DUMMYFUNCTION("""COMPUTED_VALUE"""),"Annotation")</f>
        <v>Annotation</v>
      </c>
    </row>
    <row r="141" ht="15.75" customHeight="1">
      <c r="A141" s="5" t="str">
        <f>IFERROR(__xludf.DUMMYFUNCTION("""COMPUTED_VALUE"""),"SCOPUS-000114")</f>
        <v>SCOPUS-000114</v>
      </c>
      <c r="B141" s="5" t="str">
        <f>IFERROR(__xludf.DUMMYFUNCTION("""COMPUTED_VALUE"""),"SCOPUS-000114-3")</f>
        <v>SCOPUS-000114-3</v>
      </c>
      <c r="C141" s="5" t="str">
        <f>IFERROR(__xludf.DUMMYFUNCTION("""COMPUTED_VALUE"""),"TECHNICAL")</f>
        <v>TECHNICAL</v>
      </c>
      <c r="D141" s="6" t="str">
        <f>IFERROR(__xludf.DUMMYFUNCTION("""COMPUTED_VALUE"""),"SVM")</f>
        <v>SVM</v>
      </c>
      <c r="E141" s="6" t="str">
        <f>IFERROR(__xludf.DUMMYFUNCTION("""COMPUTED_VALUE"""),"Computational Resource")</f>
        <v>Computational Resource</v>
      </c>
    </row>
    <row r="142" ht="15.75" customHeight="1">
      <c r="A142" s="5" t="str">
        <f>IFERROR(__xludf.DUMMYFUNCTION("""COMPUTED_VALUE"""),"SCOPUS-000132")</f>
        <v>SCOPUS-000132</v>
      </c>
      <c r="B142" s="5" t="str">
        <f>IFERROR(__xludf.DUMMYFUNCTION("""COMPUTED_VALUE"""),"SCOPUS-000132-4")</f>
        <v>SCOPUS-000132-4</v>
      </c>
      <c r="C142" s="5" t="str">
        <f>IFERROR(__xludf.DUMMYFUNCTION("""COMPUTED_VALUE"""),"DATA")</f>
        <v>DATA</v>
      </c>
      <c r="D142" s="6"/>
      <c r="E142" s="6" t="str">
        <f>IFERROR(__xludf.DUMMYFUNCTION("""COMPUTED_VALUE"""),"Class Imbalance")</f>
        <v>Class Imbalance</v>
      </c>
    </row>
    <row r="143" ht="15.75" customHeight="1">
      <c r="A143" s="5" t="str">
        <f>IFERROR(__xludf.DUMMYFUNCTION("""COMPUTED_VALUE"""),"SCOPUS-000333")</f>
        <v>SCOPUS-000333</v>
      </c>
      <c r="B143" s="5" t="str">
        <f>IFERROR(__xludf.DUMMYFUNCTION("""COMPUTED_VALUE"""),"SCOPUS-000333-3")</f>
        <v>SCOPUS-000333-3</v>
      </c>
      <c r="C143" s="5" t="str">
        <f>IFERROR(__xludf.DUMMYFUNCTION("""COMPUTED_VALUE"""),"ENVIRONMENTAL")</f>
        <v>ENVIRONMENTAL</v>
      </c>
      <c r="D143" s="6" t="str">
        <f>IFERROR(__xludf.DUMMYFUNCTION("""COMPUTED_VALUE"""),"GAN-based")</f>
        <v>GAN-based</v>
      </c>
      <c r="E143" s="6" t="str">
        <f>IFERROR(__xludf.DUMMYFUNCTION("""COMPUTED_VALUE"""),"Background Complexity")</f>
        <v>Background Complexity</v>
      </c>
    </row>
    <row r="144" ht="15.75" customHeight="1">
      <c r="A144" s="5" t="str">
        <f>IFERROR(__xludf.DUMMYFUNCTION("""COMPUTED_VALUE"""),"SCOPUS-000333")</f>
        <v>SCOPUS-000333</v>
      </c>
      <c r="B144" s="5" t="str">
        <f>IFERROR(__xludf.DUMMYFUNCTION("""COMPUTED_VALUE"""),"SCOPUS-000333-4")</f>
        <v>SCOPUS-000333-4</v>
      </c>
      <c r="C144" s="5" t="str">
        <f>IFERROR(__xludf.DUMMYFUNCTION("""COMPUTED_VALUE"""),"ENVIRONMENTAL")</f>
        <v>ENVIRONMENTAL</v>
      </c>
      <c r="D144" s="6" t="str">
        <f>IFERROR(__xludf.DUMMYFUNCTION("""COMPUTED_VALUE"""),"GAN-based")</f>
        <v>GAN-based</v>
      </c>
      <c r="E144" s="6" t="str">
        <f>IFERROR(__xludf.DUMMYFUNCTION("""COMPUTED_VALUE"""),"Occlusion")</f>
        <v>Occlusion</v>
      </c>
    </row>
    <row r="145" ht="15.75" customHeight="1">
      <c r="A145" s="5" t="str">
        <f>IFERROR(__xludf.DUMMYFUNCTION("""COMPUTED_VALUE"""),"SCOPUS-000333")</f>
        <v>SCOPUS-000333</v>
      </c>
      <c r="B145" s="5" t="str">
        <f>IFERROR(__xludf.DUMMYFUNCTION("""COMPUTED_VALUE"""),"SCOPUS-000333-5")</f>
        <v>SCOPUS-000333-5</v>
      </c>
      <c r="C145" s="5" t="str">
        <f>IFERROR(__xludf.DUMMYFUNCTION("""COMPUTED_VALUE"""),"ENVIRONMENTAL")</f>
        <v>ENVIRONMENTAL</v>
      </c>
      <c r="D145" s="6" t="str">
        <f>IFERROR(__xludf.DUMMYFUNCTION("""COMPUTED_VALUE"""),"GAN-based")</f>
        <v>GAN-based</v>
      </c>
      <c r="E145" s="6" t="str">
        <f>IFERROR(__xludf.DUMMYFUNCTION("""COMPUTED_VALUE"""),"Morphological Variation")</f>
        <v>Morphological Variation</v>
      </c>
    </row>
    <row r="146" ht="15.75" customHeight="1">
      <c r="A146" s="5" t="str">
        <f>IFERROR(__xludf.DUMMYFUNCTION("""COMPUTED_VALUE"""),"SCOPUS-000323")</f>
        <v>SCOPUS-000323</v>
      </c>
      <c r="B146" s="5" t="str">
        <f>IFERROR(__xludf.DUMMYFUNCTION("""COMPUTED_VALUE"""),"SCOPUS-000323-2")</f>
        <v>SCOPUS-000323-2</v>
      </c>
      <c r="C146" s="5" t="str">
        <f>IFERROR(__xludf.DUMMYFUNCTION("""COMPUTED_VALUE"""),"DATA")</f>
        <v>DATA</v>
      </c>
      <c r="D146" s="6" t="str">
        <f>IFERROR(__xludf.DUMMYFUNCTION("""COMPUTED_VALUE"""),"AlexNet")</f>
        <v>AlexNet</v>
      </c>
      <c r="E146" s="6" t="str">
        <f>IFERROR(__xludf.DUMMYFUNCTION("""COMPUTED_VALUE"""),"Data Scarcity")</f>
        <v>Data Scarcity</v>
      </c>
    </row>
    <row r="147" ht="15.75" customHeight="1">
      <c r="A147" s="5" t="str">
        <f>IFERROR(__xludf.DUMMYFUNCTION("""COMPUTED_VALUE"""),"SCOPUS-000323")</f>
        <v>SCOPUS-000323</v>
      </c>
      <c r="B147" s="5" t="str">
        <f>IFERROR(__xludf.DUMMYFUNCTION("""COMPUTED_VALUE"""),"SCOPUS-000323-3")</f>
        <v>SCOPUS-000323-3</v>
      </c>
      <c r="C147" s="5" t="str">
        <f>IFERROR(__xludf.DUMMYFUNCTION("""COMPUTED_VALUE"""),"ENVIRONMENTAL")</f>
        <v>ENVIRONMENTAL</v>
      </c>
      <c r="D147" s="6" t="str">
        <f>IFERROR(__xludf.DUMMYFUNCTION("""COMPUTED_VALUE"""),"AlexNet")</f>
        <v>AlexNet</v>
      </c>
      <c r="E147" s="6" t="str">
        <f>IFERROR(__xludf.DUMMYFUNCTION("""COMPUTED_VALUE"""),"Environmental Variation")</f>
        <v>Environmental Variation</v>
      </c>
    </row>
    <row r="148" ht="15.75" customHeight="1">
      <c r="A148" s="5" t="str">
        <f>IFERROR(__xludf.DUMMYFUNCTION("""COMPUTED_VALUE"""),"SCOPUS-000063")</f>
        <v>SCOPUS-000063</v>
      </c>
      <c r="B148" s="5" t="str">
        <f>IFERROR(__xludf.DUMMYFUNCTION("""COMPUTED_VALUE"""),"SCOPUS-000063-3")</f>
        <v>SCOPUS-000063-3</v>
      </c>
      <c r="C148" s="5" t="str">
        <f>IFERROR(__xludf.DUMMYFUNCTION("""COMPUTED_VALUE"""),"TECHNICAL")</f>
        <v>TECHNICAL</v>
      </c>
      <c r="D148" s="6" t="str">
        <f>IFERROR(__xludf.DUMMYFUNCTION("""COMPUTED_VALUE"""),"FasterRCNN (VGG16)")</f>
        <v>FasterRCNN (VGG16)</v>
      </c>
      <c r="E148" s="6" t="str">
        <f>IFERROR(__xludf.DUMMYFUNCTION("""COMPUTED_VALUE"""),"Computational Resource")</f>
        <v>Computational Resource</v>
      </c>
    </row>
    <row r="149" ht="15.75" customHeight="1">
      <c r="A149" s="5" t="str">
        <f>IFERROR(__xludf.DUMMYFUNCTION("""COMPUTED_VALUE"""),"SCOPUS-000063")</f>
        <v>SCOPUS-000063</v>
      </c>
      <c r="B149" s="5" t="str">
        <f>IFERROR(__xludf.DUMMYFUNCTION("""COMPUTED_VALUE"""),"SCOPUS-000063-4")</f>
        <v>SCOPUS-000063-4</v>
      </c>
      <c r="C149" s="5" t="str">
        <f>IFERROR(__xludf.DUMMYFUNCTION("""COMPUTED_VALUE"""),"IMAGING")</f>
        <v>IMAGING</v>
      </c>
      <c r="D149" s="6" t="str">
        <f>IFERROR(__xludf.DUMMYFUNCTION("""COMPUTED_VALUE"""),"FasterRCNN (VGG16)")</f>
        <v>FasterRCNN (VGG16)</v>
      </c>
      <c r="E149" s="6" t="str">
        <f>IFERROR(__xludf.DUMMYFUNCTION("""COMPUTED_VALUE"""),"Image Quality")</f>
        <v>Image Quality</v>
      </c>
    </row>
    <row r="150" ht="15.75" customHeight="1">
      <c r="A150" s="5" t="str">
        <f>IFERROR(__xludf.DUMMYFUNCTION("""COMPUTED_VALUE"""),"SCOPUS-000175")</f>
        <v>SCOPUS-000175</v>
      </c>
      <c r="B150" s="5" t="str">
        <f>IFERROR(__xludf.DUMMYFUNCTION("""COMPUTED_VALUE"""),"SCOPUS-000175-3")</f>
        <v>SCOPUS-000175-3</v>
      </c>
      <c r="C150" s="5" t="str">
        <f>IFERROR(__xludf.DUMMYFUNCTION("""COMPUTED_VALUE"""),"ENVIRONMENTAL")</f>
        <v>ENVIRONMENTAL</v>
      </c>
      <c r="D150" s="6" t="str">
        <f>IFERROR(__xludf.DUMMYFUNCTION("""COMPUTED_VALUE"""),"YOLOv8n")</f>
        <v>YOLOv8n</v>
      </c>
      <c r="E150" s="6" t="str">
        <f>IFERROR(__xludf.DUMMYFUNCTION("""COMPUTED_VALUE"""),"Morphological Variation")</f>
        <v>Morphological Variation</v>
      </c>
    </row>
    <row r="151" ht="15.75" customHeight="1">
      <c r="A151" s="5" t="str">
        <f>IFERROR(__xludf.DUMMYFUNCTION("""COMPUTED_VALUE"""),"SCOPUS-000370")</f>
        <v>SCOPUS-000370</v>
      </c>
      <c r="B151" s="5" t="str">
        <f>IFERROR(__xludf.DUMMYFUNCTION("""COMPUTED_VALUE"""),"SCOPUS-000370-5")</f>
        <v>SCOPUS-000370-5</v>
      </c>
      <c r="C151" s="5" t="str">
        <f>IFERROR(__xludf.DUMMYFUNCTION("""COMPUTED_VALUE"""),"DATA")</f>
        <v>DATA</v>
      </c>
      <c r="D151" s="6" t="str">
        <f>IFERROR(__xludf.DUMMYFUNCTION("""COMPUTED_VALUE"""),"Traditional approach")</f>
        <v>Traditional approach</v>
      </c>
      <c r="E151" s="6" t="str">
        <f>IFERROR(__xludf.DUMMYFUNCTION("""COMPUTED_VALUE"""),"Data Scarcity")</f>
        <v>Data Scarcity</v>
      </c>
    </row>
    <row r="152" ht="15.75" customHeight="1">
      <c r="A152" s="5" t="str">
        <f>IFERROR(__xludf.DUMMYFUNCTION("""COMPUTED_VALUE"""),"SCOPUS-000370")</f>
        <v>SCOPUS-000370</v>
      </c>
      <c r="B152" s="5" t="str">
        <f>IFERROR(__xludf.DUMMYFUNCTION("""COMPUTED_VALUE"""),"SCOPUS-000370-6")</f>
        <v>SCOPUS-000370-6</v>
      </c>
      <c r="C152" s="5" t="str">
        <f>IFERROR(__xludf.DUMMYFUNCTION("""COMPUTED_VALUE"""),"ENVIRONMENTAL")</f>
        <v>ENVIRONMENTAL</v>
      </c>
      <c r="D152" s="6" t="str">
        <f>IFERROR(__xludf.DUMMYFUNCTION("""COMPUTED_VALUE"""),"Traditional approach")</f>
        <v>Traditional approach</v>
      </c>
      <c r="E152" s="6" t="str">
        <f>IFERROR(__xludf.DUMMYFUNCTION("""COMPUTED_VALUE"""),"Background Complexity")</f>
        <v>Background Complexity</v>
      </c>
    </row>
    <row r="153" ht="15.75" customHeight="1">
      <c r="A153" s="5" t="str">
        <f>IFERROR(__xludf.DUMMYFUNCTION("""COMPUTED_VALUE"""),"SCOPUS-000391")</f>
        <v>SCOPUS-000391</v>
      </c>
      <c r="B153" s="5" t="str">
        <f>IFERROR(__xludf.DUMMYFUNCTION("""COMPUTED_VALUE"""),"SCOPUS-000391-4")</f>
        <v>SCOPUS-000391-4</v>
      </c>
      <c r="C153" s="5" t="str">
        <f>IFERROR(__xludf.DUMMYFUNCTION("""COMPUTED_VALUE"""),"TECHNICAL")</f>
        <v>TECHNICAL</v>
      </c>
      <c r="D153" s="6" t="str">
        <f>IFERROR(__xludf.DUMMYFUNCTION("""COMPUTED_VALUE"""),"SVM")</f>
        <v>SVM</v>
      </c>
      <c r="E153" s="6" t="str">
        <f>IFERROR(__xludf.DUMMYFUNCTION("""COMPUTED_VALUE"""),"Computational Resource")</f>
        <v>Computational Resource</v>
      </c>
    </row>
    <row r="154" ht="15.75" customHeight="1">
      <c r="A154" s="5" t="str">
        <f>IFERROR(__xludf.DUMMYFUNCTION("""COMPUTED_VALUE"""),"SCOPUS-000391")</f>
        <v>SCOPUS-000391</v>
      </c>
      <c r="B154" s="5" t="str">
        <f>IFERROR(__xludf.DUMMYFUNCTION("""COMPUTED_VALUE"""),"SCOPUS-000391-5")</f>
        <v>SCOPUS-000391-5</v>
      </c>
      <c r="C154" s="5" t="str">
        <f>IFERROR(__xludf.DUMMYFUNCTION("""COMPUTED_VALUE"""),"DATA")</f>
        <v>DATA</v>
      </c>
      <c r="D154" s="6" t="str">
        <f>IFERROR(__xludf.DUMMYFUNCTION("""COMPUTED_VALUE"""),"SVM")</f>
        <v>SVM</v>
      </c>
      <c r="E154" s="6" t="str">
        <f>IFERROR(__xludf.DUMMYFUNCTION("""COMPUTED_VALUE"""),"Data Scarcity")</f>
        <v>Data Scarcity</v>
      </c>
    </row>
    <row r="155" ht="15.75" customHeight="1">
      <c r="A155" s="5" t="str">
        <f>IFERROR(__xludf.DUMMYFUNCTION("""COMPUTED_VALUE"""),"SCOPUS-000358")</f>
        <v>SCOPUS-000358</v>
      </c>
      <c r="B155" s="5" t="str">
        <f>IFERROR(__xludf.DUMMYFUNCTION("""COMPUTED_VALUE"""),"SCOPUS-000358-2")</f>
        <v>SCOPUS-000358-2</v>
      </c>
      <c r="C155" s="5" t="str">
        <f>IFERROR(__xludf.DUMMYFUNCTION("""COMPUTED_VALUE"""),"IMAGING")</f>
        <v>IMAGING</v>
      </c>
      <c r="D155" s="6" t="str">
        <f>IFERROR(__xludf.DUMMYFUNCTION("""COMPUTED_VALUE"""),"SegNet")</f>
        <v>SegNet</v>
      </c>
      <c r="E155" s="6" t="str">
        <f>IFERROR(__xludf.DUMMYFUNCTION("""COMPUTED_VALUE"""),"Scale Variation")</f>
        <v>Scale Variation</v>
      </c>
    </row>
    <row r="156" ht="15.75" customHeight="1">
      <c r="A156" s="5" t="str">
        <f>IFERROR(__xludf.DUMMYFUNCTION("""COMPUTED_VALUE"""),"SCOPUS-000358")</f>
        <v>SCOPUS-000358</v>
      </c>
      <c r="B156" s="5" t="str">
        <f>IFERROR(__xludf.DUMMYFUNCTION("""COMPUTED_VALUE"""),"SCOPUS-000358-3")</f>
        <v>SCOPUS-000358-3</v>
      </c>
      <c r="C156" s="5" t="str">
        <f>IFERROR(__xludf.DUMMYFUNCTION("""COMPUTED_VALUE"""),"TECHNICAL")</f>
        <v>TECHNICAL</v>
      </c>
      <c r="D156" s="6" t="str">
        <f>IFERROR(__xludf.DUMMYFUNCTION("""COMPUTED_VALUE"""),"SegNet")</f>
        <v>SegNet</v>
      </c>
      <c r="E156" s="6" t="str">
        <f>IFERROR(__xludf.DUMMYFUNCTION("""COMPUTED_VALUE"""),"Feature Representation")</f>
        <v>Feature Representation</v>
      </c>
    </row>
    <row r="157" ht="15.75" customHeight="1">
      <c r="A157" s="5" t="str">
        <f>IFERROR(__xludf.DUMMYFUNCTION("""COMPUTED_VALUE"""),"SCOPUS-000473")</f>
        <v>SCOPUS-000473</v>
      </c>
      <c r="B157" s="5" t="str">
        <f>IFERROR(__xludf.DUMMYFUNCTION("""COMPUTED_VALUE"""),"SCOPUS-000473-3")</f>
        <v>SCOPUS-000473-3</v>
      </c>
      <c r="C157" s="5" t="str">
        <f>IFERROR(__xludf.DUMMYFUNCTION("""COMPUTED_VALUE"""),"IMAGING")</f>
        <v>IMAGING</v>
      </c>
      <c r="D157" s="6" t="str">
        <f>IFERROR(__xludf.DUMMYFUNCTION("""COMPUTED_VALUE"""),"Efficientnet-V2-L")</f>
        <v>Efficientnet-V2-L</v>
      </c>
      <c r="E157" s="6" t="str">
        <f>IFERROR(__xludf.DUMMYFUNCTION("""COMPUTED_VALUE"""),"Visual Similarity")</f>
        <v>Visual Similarity</v>
      </c>
    </row>
    <row r="158" ht="15.75" customHeight="1">
      <c r="A158" s="5" t="str">
        <f>IFERROR(__xludf.DUMMYFUNCTION("""COMPUTED_VALUE"""),"SCOPUS-000352")</f>
        <v>SCOPUS-000352</v>
      </c>
      <c r="B158" s="5" t="str">
        <f>IFERROR(__xludf.DUMMYFUNCTION("""COMPUTED_VALUE"""),"SCOPUS-000352-3")</f>
        <v>SCOPUS-000352-3</v>
      </c>
      <c r="C158" s="5" t="str">
        <f>IFERROR(__xludf.DUMMYFUNCTION("""COMPUTED_VALUE"""),"IMAGING")</f>
        <v>IMAGING</v>
      </c>
      <c r="D158" s="6" t="str">
        <f>IFERROR(__xludf.DUMMYFUNCTION("""COMPUTED_VALUE"""),"UNet")</f>
        <v>UNet</v>
      </c>
      <c r="E158" s="6" t="str">
        <f>IFERROR(__xludf.DUMMYFUNCTION("""COMPUTED_VALUE"""),"Visual Similarity")</f>
        <v>Visual Similarity</v>
      </c>
    </row>
    <row r="159" ht="15.75" customHeight="1">
      <c r="A159" s="5" t="str">
        <f>IFERROR(__xludf.DUMMYFUNCTION("""COMPUTED_VALUE"""),"SCOPUS-000352")</f>
        <v>SCOPUS-000352</v>
      </c>
      <c r="B159" s="5" t="str">
        <f>IFERROR(__xludf.DUMMYFUNCTION("""COMPUTED_VALUE"""),"SCOPUS-000352-4")</f>
        <v>SCOPUS-000352-4</v>
      </c>
      <c r="C159" s="5" t="str">
        <f>IFERROR(__xludf.DUMMYFUNCTION("""COMPUTED_VALUE"""),"ENVIRONMENTAL")</f>
        <v>ENVIRONMENTAL</v>
      </c>
      <c r="D159" s="6" t="str">
        <f>IFERROR(__xludf.DUMMYFUNCTION("""COMPUTED_VALUE"""),"UNet")</f>
        <v>UNet</v>
      </c>
      <c r="E159" s="6" t="str">
        <f>IFERROR(__xludf.DUMMYFUNCTION("""COMPUTED_VALUE"""),"Background Complexity")</f>
        <v>Background Complexity</v>
      </c>
    </row>
    <row r="160" ht="15.75" customHeight="1">
      <c r="A160" s="5" t="str">
        <f>IFERROR(__xludf.DUMMYFUNCTION("""COMPUTED_VALUE"""),"SCOPUS-000352")</f>
        <v>SCOPUS-000352</v>
      </c>
      <c r="B160" s="5" t="str">
        <f>IFERROR(__xludf.DUMMYFUNCTION("""COMPUTED_VALUE"""),"SCOPUS-000352-5")</f>
        <v>SCOPUS-000352-5</v>
      </c>
      <c r="C160" s="5" t="str">
        <f>IFERROR(__xludf.DUMMYFUNCTION("""COMPUTED_VALUE"""),"ENVIRONMENTAL")</f>
        <v>ENVIRONMENTAL</v>
      </c>
      <c r="D160" s="6" t="str">
        <f>IFERROR(__xludf.DUMMYFUNCTION("""COMPUTED_VALUE"""),"UNet")</f>
        <v>UNet</v>
      </c>
      <c r="E160" s="6" t="str">
        <f>IFERROR(__xludf.DUMMYFUNCTION("""COMPUTED_VALUE"""),"Occlusion")</f>
        <v>Occlusion</v>
      </c>
    </row>
    <row r="161" ht="15.75" customHeight="1">
      <c r="A161" s="5" t="str">
        <f>IFERROR(__xludf.DUMMYFUNCTION("""COMPUTED_VALUE"""),"SCOPUS-000352")</f>
        <v>SCOPUS-000352</v>
      </c>
      <c r="B161" s="5" t="str">
        <f>IFERROR(__xludf.DUMMYFUNCTION("""COMPUTED_VALUE"""),"SCOPUS-000352-6")</f>
        <v>SCOPUS-000352-6</v>
      </c>
      <c r="C161" s="5" t="str">
        <f>IFERROR(__xludf.DUMMYFUNCTION("""COMPUTED_VALUE"""),"ENVIRONMENTAL")</f>
        <v>ENVIRONMENTAL</v>
      </c>
      <c r="D161" s="6" t="str">
        <f>IFERROR(__xludf.DUMMYFUNCTION("""COMPUTED_VALUE"""),"UNet")</f>
        <v>UNet</v>
      </c>
      <c r="E161" s="6" t="str">
        <f>IFERROR(__xludf.DUMMYFUNCTION("""COMPUTED_VALUE"""),"Environmental Variation")</f>
        <v>Environmental Variation</v>
      </c>
    </row>
    <row r="162" ht="15.75" customHeight="1">
      <c r="A162" s="5" t="str">
        <f>IFERROR(__xludf.DUMMYFUNCTION("""COMPUTED_VALUE"""),"SCOPUS-000722")</f>
        <v>SCOPUS-000722</v>
      </c>
      <c r="B162" s="5" t="str">
        <f>IFERROR(__xludf.DUMMYFUNCTION("""COMPUTED_VALUE"""),"SCOPUS-000722-2")</f>
        <v>SCOPUS-000722-2</v>
      </c>
      <c r="C162" s="5" t="str">
        <f>IFERROR(__xludf.DUMMYFUNCTION("""COMPUTED_VALUE"""),"IMAGING")</f>
        <v>IMAGING</v>
      </c>
      <c r="D162" s="6" t="str">
        <f>IFERROR(__xludf.DUMMYFUNCTION("""COMPUTED_VALUE"""),"DeepLabV3+")</f>
        <v>DeepLabV3+</v>
      </c>
      <c r="E162" s="6" t="str">
        <f>IFERROR(__xludf.DUMMYFUNCTION("""COMPUTED_VALUE"""),"Visual Similarity")</f>
        <v>Visual Similarity</v>
      </c>
    </row>
    <row r="163" ht="15.75" customHeight="1">
      <c r="A163" s="5" t="str">
        <f>IFERROR(__xludf.DUMMYFUNCTION("""COMPUTED_VALUE"""),"SCOPUS-000722")</f>
        <v>SCOPUS-000722</v>
      </c>
      <c r="B163" s="5" t="str">
        <f>IFERROR(__xludf.DUMMYFUNCTION("""COMPUTED_VALUE"""),"SCOPUS-000722-3")</f>
        <v>SCOPUS-000722-3</v>
      </c>
      <c r="C163" s="5" t="str">
        <f>IFERROR(__xludf.DUMMYFUNCTION("""COMPUTED_VALUE"""),"ENVIRONMENTAL")</f>
        <v>ENVIRONMENTAL</v>
      </c>
      <c r="D163" s="6" t="str">
        <f>IFERROR(__xludf.DUMMYFUNCTION("""COMPUTED_VALUE"""),"DeepLabV3+")</f>
        <v>DeepLabV3+</v>
      </c>
      <c r="E163" s="6" t="str">
        <f>IFERROR(__xludf.DUMMYFUNCTION("""COMPUTED_VALUE"""),"Environmental Variation")</f>
        <v>Environmental Variation</v>
      </c>
    </row>
    <row r="164" ht="15.75" customHeight="1">
      <c r="A164" s="5" t="str">
        <f>IFERROR(__xludf.DUMMYFUNCTION("""COMPUTED_VALUE"""),"SCOPUS-000722")</f>
        <v>SCOPUS-000722</v>
      </c>
      <c r="B164" s="5" t="str">
        <f>IFERROR(__xludf.DUMMYFUNCTION("""COMPUTED_VALUE"""),"SCOPUS-000722-4")</f>
        <v>SCOPUS-000722-4</v>
      </c>
      <c r="C164" s="5" t="str">
        <f>IFERROR(__xludf.DUMMYFUNCTION("""COMPUTED_VALUE"""),"ENVIRONMENTAL")</f>
        <v>ENVIRONMENTAL</v>
      </c>
      <c r="D164" s="6" t="str">
        <f>IFERROR(__xludf.DUMMYFUNCTION("""COMPUTED_VALUE"""),"DeepLabV3+")</f>
        <v>DeepLabV3+</v>
      </c>
      <c r="E164" s="6" t="str">
        <f>IFERROR(__xludf.DUMMYFUNCTION("""COMPUTED_VALUE"""),"Background Complexity")</f>
        <v>Background Complexity</v>
      </c>
    </row>
    <row r="165" ht="15.75" customHeight="1">
      <c r="A165" s="5" t="str">
        <f>IFERROR(__xludf.DUMMYFUNCTION("""COMPUTED_VALUE"""),"SCOPUS-000328")</f>
        <v>SCOPUS-000328</v>
      </c>
      <c r="B165" s="5" t="str">
        <f>IFERROR(__xludf.DUMMYFUNCTION("""COMPUTED_VALUE"""),"SCOPUS-000328-2")</f>
        <v>SCOPUS-000328-2</v>
      </c>
      <c r="C165" s="5" t="str">
        <f>IFERROR(__xludf.DUMMYFUNCTION("""COMPUTED_VALUE"""),"IMAGING")</f>
        <v>IMAGING</v>
      </c>
      <c r="D165" s="6"/>
      <c r="E165" s="6" t="str">
        <f>IFERROR(__xludf.DUMMYFUNCTION("""COMPUTED_VALUE"""),"Visual Similarity")</f>
        <v>Visual Similarity</v>
      </c>
    </row>
    <row r="166" ht="15.75" customHeight="1">
      <c r="A166" s="5" t="str">
        <f>IFERROR(__xludf.DUMMYFUNCTION("""COMPUTED_VALUE"""),"SCOPUS-000328")</f>
        <v>SCOPUS-000328</v>
      </c>
      <c r="B166" s="5" t="str">
        <f>IFERROR(__xludf.DUMMYFUNCTION("""COMPUTED_VALUE"""),"SCOPUS-000328-3")</f>
        <v>SCOPUS-000328-3</v>
      </c>
      <c r="C166" s="5" t="str">
        <f>IFERROR(__xludf.DUMMYFUNCTION("""COMPUTED_VALUE"""),"ENVIRONMENTAL")</f>
        <v>ENVIRONMENTAL</v>
      </c>
      <c r="D166" s="6"/>
      <c r="E166" s="6" t="str">
        <f>IFERROR(__xludf.DUMMYFUNCTION("""COMPUTED_VALUE"""),"Occlusion")</f>
        <v>Occlusion</v>
      </c>
    </row>
    <row r="167" ht="15.75" customHeight="1">
      <c r="A167" s="5" t="str">
        <f>IFERROR(__xludf.DUMMYFUNCTION("""COMPUTED_VALUE"""),"SCOPUS-000328")</f>
        <v>SCOPUS-000328</v>
      </c>
      <c r="B167" s="5" t="str">
        <f>IFERROR(__xludf.DUMMYFUNCTION("""COMPUTED_VALUE"""),"SCOPUS-000328-4")</f>
        <v>SCOPUS-000328-4</v>
      </c>
      <c r="C167" s="5" t="str">
        <f>IFERROR(__xludf.DUMMYFUNCTION("""COMPUTED_VALUE"""),"TECHNICAL")</f>
        <v>TECHNICAL</v>
      </c>
      <c r="D167" s="6" t="str">
        <f>IFERROR(__xludf.DUMMYFUNCTION("""COMPUTED_VALUE"""),"Deep CNN backbones / self-attention networks")</f>
        <v>Deep CNN backbones / self-attention networks</v>
      </c>
      <c r="E167" s="6" t="str">
        <f>IFERROR(__xludf.DUMMYFUNCTION("""COMPUTED_VALUE"""),"Computational Resource")</f>
        <v>Computational Resource</v>
      </c>
    </row>
    <row r="168" ht="15.75" customHeight="1">
      <c r="A168" s="5" t="str">
        <f>IFERROR(__xludf.DUMMYFUNCTION("""COMPUTED_VALUE"""),"SCOPUS-000280")</f>
        <v>SCOPUS-000280</v>
      </c>
      <c r="B168" s="5" t="str">
        <f>IFERROR(__xludf.DUMMYFUNCTION("""COMPUTED_VALUE"""),"SCOPUS-000280-2")</f>
        <v>SCOPUS-000280-2</v>
      </c>
      <c r="C168" s="5" t="str">
        <f>IFERROR(__xludf.DUMMYFUNCTION("""COMPUTED_VALUE"""),"IMAGING")</f>
        <v>IMAGING</v>
      </c>
      <c r="D168" s="6" t="str">
        <f>IFERROR(__xludf.DUMMYFUNCTION("""COMPUTED_VALUE"""),"YOLOv8n")</f>
        <v>YOLOv8n</v>
      </c>
      <c r="E168" s="6" t="str">
        <f>IFERROR(__xludf.DUMMYFUNCTION("""COMPUTED_VALUE"""),"Visual Similarity")</f>
        <v>Visual Similarity</v>
      </c>
    </row>
    <row r="169" ht="15.75" customHeight="1">
      <c r="A169" s="5" t="str">
        <f>IFERROR(__xludf.DUMMYFUNCTION("""COMPUTED_VALUE"""),"SCOPUS-000280")</f>
        <v>SCOPUS-000280</v>
      </c>
      <c r="B169" s="5" t="str">
        <f>IFERROR(__xludf.DUMMYFUNCTION("""COMPUTED_VALUE"""),"SCOPUS-000280-3")</f>
        <v>SCOPUS-000280-3</v>
      </c>
      <c r="C169" s="5" t="str">
        <f>IFERROR(__xludf.DUMMYFUNCTION("""COMPUTED_VALUE"""),"ENVIRONMENTAL")</f>
        <v>ENVIRONMENTAL</v>
      </c>
      <c r="D169" s="6" t="str">
        <f>IFERROR(__xludf.DUMMYFUNCTION("""COMPUTED_VALUE"""),"YOLOv8n")</f>
        <v>YOLOv8n</v>
      </c>
      <c r="E169" s="6" t="str">
        <f>IFERROR(__xludf.DUMMYFUNCTION("""COMPUTED_VALUE"""),"Background Complexity")</f>
        <v>Background Complexity</v>
      </c>
    </row>
    <row r="170" ht="15.75" customHeight="1">
      <c r="A170" s="5" t="str">
        <f>IFERROR(__xludf.DUMMYFUNCTION("""COMPUTED_VALUE"""),"SCOPUS-000280")</f>
        <v>SCOPUS-000280</v>
      </c>
      <c r="B170" s="5" t="str">
        <f>IFERROR(__xludf.DUMMYFUNCTION("""COMPUTED_VALUE"""),"SCOPUS-000280-4")</f>
        <v>SCOPUS-000280-4</v>
      </c>
      <c r="C170" s="5" t="str">
        <f>IFERROR(__xludf.DUMMYFUNCTION("""COMPUTED_VALUE"""),"ENVIRONMENTAL")</f>
        <v>ENVIRONMENTAL</v>
      </c>
      <c r="D170" s="6" t="str">
        <f>IFERROR(__xludf.DUMMYFUNCTION("""COMPUTED_VALUE"""),"YOLOv8n")</f>
        <v>YOLOv8n</v>
      </c>
      <c r="E170" s="6" t="str">
        <f>IFERROR(__xludf.DUMMYFUNCTION("""COMPUTED_VALUE"""),"Environmental Variation")</f>
        <v>Environmental Variation</v>
      </c>
    </row>
    <row r="171" ht="15.75" customHeight="1">
      <c r="A171" s="5" t="str">
        <f>IFERROR(__xludf.DUMMYFUNCTION("""COMPUTED_VALUE"""),"SCOPUS-000261")</f>
        <v>SCOPUS-000261</v>
      </c>
      <c r="B171" s="5" t="str">
        <f>IFERROR(__xludf.DUMMYFUNCTION("""COMPUTED_VALUE"""),"SCOPUS-000261-3")</f>
        <v>SCOPUS-000261-3</v>
      </c>
      <c r="C171" s="5" t="str">
        <f>IFERROR(__xludf.DUMMYFUNCTION("""COMPUTED_VALUE"""),"DATA")</f>
        <v>DATA</v>
      </c>
      <c r="D171" s="6" t="str">
        <f>IFERROR(__xludf.DUMMYFUNCTION("""COMPUTED_VALUE"""),"Models trained from scratch")</f>
        <v>Models trained from scratch</v>
      </c>
      <c r="E171" s="6" t="str">
        <f>IFERROR(__xludf.DUMMYFUNCTION("""COMPUTED_VALUE"""),"Data Scarcity")</f>
        <v>Data Scarcity</v>
      </c>
    </row>
    <row r="172" ht="15.75" customHeight="1">
      <c r="A172" s="5" t="str">
        <f>IFERROR(__xludf.DUMMYFUNCTION("""COMPUTED_VALUE"""),"SCOPUS-000261")</f>
        <v>SCOPUS-000261</v>
      </c>
      <c r="B172" s="5" t="str">
        <f>IFERROR(__xludf.DUMMYFUNCTION("""COMPUTED_VALUE"""),"SCOPUS-000261-4")</f>
        <v>SCOPUS-000261-4</v>
      </c>
      <c r="C172" s="5" t="str">
        <f>IFERROR(__xludf.DUMMYFUNCTION("""COMPUTED_VALUE"""),"TECHNICAL")</f>
        <v>TECHNICAL</v>
      </c>
      <c r="D172" s="6" t="str">
        <f>IFERROR(__xludf.DUMMYFUNCTION("""COMPUTED_VALUE"""),"Models trained from scratch")</f>
        <v>Models trained from scratch</v>
      </c>
      <c r="E172" s="6" t="str">
        <f>IFERROR(__xludf.DUMMYFUNCTION("""COMPUTED_VALUE"""),"Computational Resource")</f>
        <v>Computational Resource</v>
      </c>
    </row>
    <row r="173" ht="15.75" customHeight="1">
      <c r="A173" s="5" t="str">
        <f>IFERROR(__xludf.DUMMYFUNCTION("""COMPUTED_VALUE"""),"SCOPUS-000487")</f>
        <v>SCOPUS-000487</v>
      </c>
      <c r="B173" s="5" t="str">
        <f>IFERROR(__xludf.DUMMYFUNCTION("""COMPUTED_VALUE"""),"SCOPUS-000487-2")</f>
        <v>SCOPUS-000487-2</v>
      </c>
      <c r="C173" s="5" t="str">
        <f>IFERROR(__xludf.DUMMYFUNCTION("""COMPUTED_VALUE"""),"DATA")</f>
        <v>DATA</v>
      </c>
      <c r="D173" s="6" t="str">
        <f>IFERROR(__xludf.DUMMYFUNCTION("""COMPUTED_VALUE"""),"SegNet Original")</f>
        <v>SegNet Original</v>
      </c>
      <c r="E173" s="6" t="str">
        <f>IFERROR(__xludf.DUMMYFUNCTION("""COMPUTED_VALUE"""),"Annotation")</f>
        <v>Annotation</v>
      </c>
    </row>
    <row r="174" ht="15.75" customHeight="1">
      <c r="A174" s="5" t="str">
        <f>IFERROR(__xludf.DUMMYFUNCTION("""COMPUTED_VALUE"""),"SCOPUS-000286")</f>
        <v>SCOPUS-000286</v>
      </c>
      <c r="B174" s="5" t="str">
        <f>IFERROR(__xludf.DUMMYFUNCTION("""COMPUTED_VALUE"""),"SCOPUS-000286-2")</f>
        <v>SCOPUS-000286-2</v>
      </c>
      <c r="C174" s="5" t="str">
        <f>IFERROR(__xludf.DUMMYFUNCTION("""COMPUTED_VALUE"""),"ENVIRONMENTAL")</f>
        <v>ENVIRONMENTAL</v>
      </c>
      <c r="D174" s="6" t="str">
        <f>IFERROR(__xludf.DUMMYFUNCTION("""COMPUTED_VALUE"""),"Faster-RCNN")</f>
        <v>Faster-RCNN</v>
      </c>
      <c r="E174" s="6" t="str">
        <f>IFERROR(__xludf.DUMMYFUNCTION("""COMPUTED_VALUE"""),"Environmental Variation")</f>
        <v>Environmental Variation</v>
      </c>
    </row>
    <row r="175" ht="15.75" customHeight="1">
      <c r="A175" s="5" t="str">
        <f>IFERROR(__xludf.DUMMYFUNCTION("""COMPUTED_VALUE"""),"SCOPUS-000286")</f>
        <v>SCOPUS-000286</v>
      </c>
      <c r="B175" s="5" t="str">
        <f>IFERROR(__xludf.DUMMYFUNCTION("""COMPUTED_VALUE"""),"SCOPUS-000286-3")</f>
        <v>SCOPUS-000286-3</v>
      </c>
      <c r="C175" s="5" t="str">
        <f>IFERROR(__xludf.DUMMYFUNCTION("""COMPUTED_VALUE"""),"ENVIRONMENTAL")</f>
        <v>ENVIRONMENTAL</v>
      </c>
      <c r="D175" s="6" t="str">
        <f>IFERROR(__xludf.DUMMYFUNCTION("""COMPUTED_VALUE"""),"Faster-RCNN")</f>
        <v>Faster-RCNN</v>
      </c>
      <c r="E175" s="6" t="str">
        <f>IFERROR(__xludf.DUMMYFUNCTION("""COMPUTED_VALUE"""),"Background Complexity")</f>
        <v>Background Complexity</v>
      </c>
    </row>
    <row r="176" ht="15.75" customHeight="1">
      <c r="A176" s="5" t="str">
        <f>IFERROR(__xludf.DUMMYFUNCTION("""COMPUTED_VALUE"""),"SCOPUS-000153")</f>
        <v>SCOPUS-000153</v>
      </c>
      <c r="B176" s="5" t="str">
        <f>IFERROR(__xludf.DUMMYFUNCTION("""COMPUTED_VALUE"""),"SCOPUS-000153-4")</f>
        <v>SCOPUS-000153-4</v>
      </c>
      <c r="C176" s="5" t="str">
        <f>IFERROR(__xludf.DUMMYFUNCTION("""COMPUTED_VALUE"""),"ENVIRONMENTAL")</f>
        <v>ENVIRONMENTAL</v>
      </c>
      <c r="D176" s="6" t="str">
        <f>IFERROR(__xludf.DUMMYFUNCTION("""COMPUTED_VALUE"""),"UNet")</f>
        <v>UNet</v>
      </c>
      <c r="E176" s="6" t="str">
        <f>IFERROR(__xludf.DUMMYFUNCTION("""COMPUTED_VALUE"""),"Occlusion")</f>
        <v>Occlusion</v>
      </c>
    </row>
    <row r="177" ht="15.75" customHeight="1">
      <c r="A177" s="5" t="str">
        <f>IFERROR(__xludf.DUMMYFUNCTION("""COMPUTED_VALUE"""),"SCOPUS-000153")</f>
        <v>SCOPUS-000153</v>
      </c>
      <c r="B177" s="5" t="str">
        <f>IFERROR(__xludf.DUMMYFUNCTION("""COMPUTED_VALUE"""),"SCOPUS-000153-5")</f>
        <v>SCOPUS-000153-5</v>
      </c>
      <c r="C177" s="5" t="str">
        <f>IFERROR(__xludf.DUMMYFUNCTION("""COMPUTED_VALUE"""),"IMAGING")</f>
        <v>IMAGING</v>
      </c>
      <c r="D177" s="6" t="str">
        <f>IFERROR(__xludf.DUMMYFUNCTION("""COMPUTED_VALUE"""),"UNet")</f>
        <v>UNet</v>
      </c>
      <c r="E177" s="6" t="str">
        <f>IFERROR(__xludf.DUMMYFUNCTION("""COMPUTED_VALUE"""),"Visual Similarity")</f>
        <v>Visual Similarity</v>
      </c>
    </row>
    <row r="178" ht="15.75" customHeight="1">
      <c r="A178" s="5" t="str">
        <f>IFERROR(__xludf.DUMMYFUNCTION("""COMPUTED_VALUE"""),"SCOPUS-000153")</f>
        <v>SCOPUS-000153</v>
      </c>
      <c r="B178" s="5" t="str">
        <f>IFERROR(__xludf.DUMMYFUNCTION("""COMPUTED_VALUE"""),"SCOPUS-000153-6")</f>
        <v>SCOPUS-000153-6</v>
      </c>
      <c r="C178" s="5" t="str">
        <f>IFERROR(__xludf.DUMMYFUNCTION("""COMPUTED_VALUE"""),"ENVIRONMENTAL")</f>
        <v>ENVIRONMENTAL</v>
      </c>
      <c r="D178" s="6" t="str">
        <f>IFERROR(__xludf.DUMMYFUNCTION("""COMPUTED_VALUE"""),"UNet")</f>
        <v>UNet</v>
      </c>
      <c r="E178" s="6" t="str">
        <f>IFERROR(__xludf.DUMMYFUNCTION("""COMPUTED_VALUE"""),"Background Complexity")</f>
        <v>Background Complexity</v>
      </c>
    </row>
    <row r="179" ht="15.75" customHeight="1">
      <c r="A179" s="5" t="str">
        <f>IFERROR(__xludf.DUMMYFUNCTION("""COMPUTED_VALUE"""),"SCOPUS-000276")</f>
        <v>SCOPUS-000276</v>
      </c>
      <c r="B179" s="5" t="str">
        <f>IFERROR(__xludf.DUMMYFUNCTION("""COMPUTED_VALUE"""),"SCOPUS-000276-3")</f>
        <v>SCOPUS-000276-3</v>
      </c>
      <c r="C179" s="5" t="str">
        <f>IFERROR(__xludf.DUMMYFUNCTION("""COMPUTED_VALUE"""),"IMAGING")</f>
        <v>IMAGING</v>
      </c>
      <c r="D179" s="6" t="str">
        <f>IFERROR(__xludf.DUMMYFUNCTION("""COMPUTED_VALUE"""),"MatchNet")</f>
        <v>MatchNet</v>
      </c>
      <c r="E179" s="6" t="str">
        <f>IFERROR(__xludf.DUMMYFUNCTION("""COMPUTED_VALUE"""),"Visual Similarity")</f>
        <v>Visual Similarity</v>
      </c>
    </row>
    <row r="180" ht="15.75" customHeight="1">
      <c r="A180" s="5" t="str">
        <f>IFERROR(__xludf.DUMMYFUNCTION("""COMPUTED_VALUE"""),"SCOPUS-000642")</f>
        <v>SCOPUS-000642</v>
      </c>
      <c r="B180" s="5" t="str">
        <f>IFERROR(__xludf.DUMMYFUNCTION("""COMPUTED_VALUE"""),"SCOPUS-000642-2")</f>
        <v>SCOPUS-000642-2</v>
      </c>
      <c r="C180" s="5" t="str">
        <f>IFERROR(__xludf.DUMMYFUNCTION("""COMPUTED_VALUE"""),"IMAGING")</f>
        <v>IMAGING</v>
      </c>
      <c r="D180" s="6" t="str">
        <f>IFERROR(__xludf.DUMMYFUNCTION("""COMPUTED_VALUE"""),"YOLOv8")</f>
        <v>YOLOv8</v>
      </c>
      <c r="E180" s="6" t="str">
        <f>IFERROR(__xludf.DUMMYFUNCTION("""COMPUTED_VALUE"""),"Small Object Detection")</f>
        <v>Small Object Detection</v>
      </c>
    </row>
    <row r="181" ht="15.75" customHeight="1">
      <c r="A181" s="5" t="str">
        <f>IFERROR(__xludf.DUMMYFUNCTION("""COMPUTED_VALUE"""),"SCOPUS-000448")</f>
        <v>SCOPUS-000448</v>
      </c>
      <c r="B181" s="5" t="str">
        <f>IFERROR(__xludf.DUMMYFUNCTION("""COMPUTED_VALUE"""),"SCOPUS-000448-3")</f>
        <v>SCOPUS-000448-3</v>
      </c>
      <c r="C181" s="5" t="str">
        <f>IFERROR(__xludf.DUMMYFUNCTION("""COMPUTED_VALUE"""),"TECHNICAL")</f>
        <v>TECHNICAL</v>
      </c>
      <c r="D181" s="6" t="str">
        <f>IFERROR(__xludf.DUMMYFUNCTION("""COMPUTED_VALUE"""),"ResNet50")</f>
        <v>ResNet50</v>
      </c>
      <c r="E181" s="6" t="str">
        <f>IFERROR(__xludf.DUMMYFUNCTION("""COMPUTED_VALUE"""),"Computational Resource")</f>
        <v>Computational Resource</v>
      </c>
    </row>
    <row r="182" ht="15.75" customHeight="1">
      <c r="A182" s="5" t="str">
        <f>IFERROR(__xludf.DUMMYFUNCTION("""COMPUTED_VALUE"""),"SCOPUS-000629")</f>
        <v>SCOPUS-000629</v>
      </c>
      <c r="B182" s="5" t="str">
        <f>IFERROR(__xludf.DUMMYFUNCTION("""COMPUTED_VALUE"""),"SCOPUS-000629-2")</f>
        <v>SCOPUS-000629-2</v>
      </c>
      <c r="C182" s="5" t="str">
        <f>IFERROR(__xludf.DUMMYFUNCTION("""COMPUTED_VALUE"""),"IMAGING")</f>
        <v>IMAGING</v>
      </c>
      <c r="D182" s="6" t="str">
        <f>IFERROR(__xludf.DUMMYFUNCTION("""COMPUTED_VALUE"""),"GANs")</f>
        <v>GANs</v>
      </c>
      <c r="E182" s="6" t="str">
        <f>IFERROR(__xludf.DUMMYFUNCTION("""COMPUTED_VALUE"""),"Visual Similarity")</f>
        <v>Visual Similarity</v>
      </c>
    </row>
    <row r="183" ht="15.75" customHeight="1">
      <c r="A183" s="5" t="str">
        <f>IFERROR(__xludf.DUMMYFUNCTION("""COMPUTED_VALUE"""),"SCOPUS-000629")</f>
        <v>SCOPUS-000629</v>
      </c>
      <c r="B183" s="5" t="str">
        <f>IFERROR(__xludf.DUMMYFUNCTION("""COMPUTED_VALUE"""),"SCOPUS-000629-3")</f>
        <v>SCOPUS-000629-3</v>
      </c>
      <c r="C183" s="5" t="str">
        <f>IFERROR(__xludf.DUMMYFUNCTION("""COMPUTED_VALUE"""),"IMAGING")</f>
        <v>IMAGING</v>
      </c>
      <c r="D183" s="6" t="str">
        <f>IFERROR(__xludf.DUMMYFUNCTION("""COMPUTED_VALUE"""),"GANs")</f>
        <v>GANs</v>
      </c>
      <c r="E183" s="6" t="str">
        <f>IFERROR(__xludf.DUMMYFUNCTION("""COMPUTED_VALUE"""),"Small Object Detection")</f>
        <v>Small Object Detection</v>
      </c>
    </row>
    <row r="184" ht="15.75" customHeight="1">
      <c r="A184" s="5" t="str">
        <f>IFERROR(__xludf.DUMMYFUNCTION("""COMPUTED_VALUE"""),"SCOPUS-000629")</f>
        <v>SCOPUS-000629</v>
      </c>
      <c r="B184" s="5" t="str">
        <f>IFERROR(__xludf.DUMMYFUNCTION("""COMPUTED_VALUE"""),"SCOPUS-000629-4")</f>
        <v>SCOPUS-000629-4</v>
      </c>
      <c r="C184" s="5" t="str">
        <f>IFERROR(__xludf.DUMMYFUNCTION("""COMPUTED_VALUE"""),"ENVIRONMENTAL")</f>
        <v>ENVIRONMENTAL</v>
      </c>
      <c r="D184" s="6" t="str">
        <f>IFERROR(__xludf.DUMMYFUNCTION("""COMPUTED_VALUE"""),"GANs")</f>
        <v>GANs</v>
      </c>
      <c r="E184" s="6" t="str">
        <f>IFERROR(__xludf.DUMMYFUNCTION("""COMPUTED_VALUE"""),"Occlusion")</f>
        <v>Occlusion</v>
      </c>
    </row>
    <row r="185" ht="15.75" customHeight="1">
      <c r="A185" s="5" t="str">
        <f>IFERROR(__xludf.DUMMYFUNCTION("""COMPUTED_VALUE"""),"SCOPUS-000629")</f>
        <v>SCOPUS-000629</v>
      </c>
      <c r="B185" s="5" t="str">
        <f>IFERROR(__xludf.DUMMYFUNCTION("""COMPUTED_VALUE"""),"SCOPUS-000629-5")</f>
        <v>SCOPUS-000629-5</v>
      </c>
      <c r="C185" s="5" t="str">
        <f>IFERROR(__xludf.DUMMYFUNCTION("""COMPUTED_VALUE"""),"DATA")</f>
        <v>DATA</v>
      </c>
      <c r="D185" s="6" t="str">
        <f>IFERROR(__xludf.DUMMYFUNCTION("""COMPUTED_VALUE"""),"GANs")</f>
        <v>GANs</v>
      </c>
      <c r="E185" s="6" t="str">
        <f>IFERROR(__xludf.DUMMYFUNCTION("""COMPUTED_VALUE"""),"Annotation")</f>
        <v>Annotation</v>
      </c>
    </row>
    <row r="186" ht="15.75" customHeight="1">
      <c r="A186" s="5" t="str">
        <f>IFERROR(__xludf.DUMMYFUNCTION("""COMPUTED_VALUE"""),"SCOPUS-000246")</f>
        <v>SCOPUS-000246</v>
      </c>
      <c r="B186" s="5" t="str">
        <f>IFERROR(__xludf.DUMMYFUNCTION("""COMPUTED_VALUE"""),"SCOPUS-000246-5")</f>
        <v>SCOPUS-000246-5</v>
      </c>
      <c r="C186" s="5" t="str">
        <f>IFERROR(__xludf.DUMMYFUNCTION("""COMPUTED_VALUE"""),"ENVIRONMENTAL")</f>
        <v>ENVIRONMENTAL</v>
      </c>
      <c r="D186" s="6" t="str">
        <f>IFERROR(__xludf.DUMMYFUNCTION("""COMPUTED_VALUE"""),"ESL")</f>
        <v>ESL</v>
      </c>
      <c r="E186" s="6" t="str">
        <f>IFERROR(__xludf.DUMMYFUNCTION("""COMPUTED_VALUE"""),"Domain Shift")</f>
        <v>Domain Shift</v>
      </c>
    </row>
    <row r="187" ht="15.75" customHeight="1">
      <c r="A187" s="5" t="str">
        <f>IFERROR(__xludf.DUMMYFUNCTION("""COMPUTED_VALUE"""),"SCOPUS-000246")</f>
        <v>SCOPUS-000246</v>
      </c>
      <c r="B187" s="5" t="str">
        <f>IFERROR(__xludf.DUMMYFUNCTION("""COMPUTED_VALUE"""),"SCOPUS-000246-6")</f>
        <v>SCOPUS-000246-6</v>
      </c>
      <c r="C187" s="5" t="str">
        <f>IFERROR(__xludf.DUMMYFUNCTION("""COMPUTED_VALUE"""),"DATA")</f>
        <v>DATA</v>
      </c>
      <c r="D187" s="6" t="str">
        <f>IFERROR(__xludf.DUMMYFUNCTION("""COMPUTED_VALUE"""),"ESL")</f>
        <v>ESL</v>
      </c>
      <c r="E187" s="6" t="str">
        <f>IFERROR(__xludf.DUMMYFUNCTION("""COMPUTED_VALUE"""),"Class Imbalance")</f>
        <v>Class Imbalance</v>
      </c>
    </row>
    <row r="188" ht="15.75" customHeight="1">
      <c r="A188" s="5" t="str">
        <f>IFERROR(__xludf.DUMMYFUNCTION("""COMPUTED_VALUE"""),"SCOPUS-000246")</f>
        <v>SCOPUS-000246</v>
      </c>
      <c r="B188" s="5" t="str">
        <f>IFERROR(__xludf.DUMMYFUNCTION("""COMPUTED_VALUE"""),"SCOPUS-000246-7")</f>
        <v>SCOPUS-000246-7</v>
      </c>
      <c r="C188" s="5" t="str">
        <f>IFERROR(__xludf.DUMMYFUNCTION("""COMPUTED_VALUE"""),"IMAGING")</f>
        <v>IMAGING</v>
      </c>
      <c r="D188" s="6" t="str">
        <f>IFERROR(__xludf.DUMMYFUNCTION("""COMPUTED_VALUE"""),"ESL")</f>
        <v>ESL</v>
      </c>
      <c r="E188" s="6" t="str">
        <f>IFERROR(__xludf.DUMMYFUNCTION("""COMPUTED_VALUE"""),"Small Object Detection")</f>
        <v>Small Object Detection</v>
      </c>
    </row>
    <row r="189" ht="15.75" customHeight="1">
      <c r="A189" s="5" t="str">
        <f>IFERROR(__xludf.DUMMYFUNCTION("""COMPUTED_VALUE"""),"SCOPUS-000719")</f>
        <v>SCOPUS-000719</v>
      </c>
      <c r="B189" s="5" t="str">
        <f>IFERROR(__xludf.DUMMYFUNCTION("""COMPUTED_VALUE"""),"SCOPUS-000719-3")</f>
        <v>SCOPUS-000719-3</v>
      </c>
      <c r="C189" s="5" t="str">
        <f>IFERROR(__xludf.DUMMYFUNCTION("""COMPUTED_VALUE"""),"DATA")</f>
        <v>DATA</v>
      </c>
      <c r="D189" s="6" t="str">
        <f>IFERROR(__xludf.DUMMYFUNCTION("""COMPUTED_VALUE"""),"RSS*")</f>
        <v>RSS*</v>
      </c>
      <c r="E189" s="6" t="str">
        <f>IFERROR(__xludf.DUMMYFUNCTION("""COMPUTED_VALUE"""),"Class Imbalance")</f>
        <v>Class Imbalance</v>
      </c>
    </row>
    <row r="190" ht="15.75" customHeight="1">
      <c r="A190" s="5" t="str">
        <f>IFERROR(__xludf.DUMMYFUNCTION("""COMPUTED_VALUE"""),"SCOPUS-000719")</f>
        <v>SCOPUS-000719</v>
      </c>
      <c r="B190" s="5" t="str">
        <f>IFERROR(__xludf.DUMMYFUNCTION("""COMPUTED_VALUE"""),"SCOPUS-000719-4")</f>
        <v>SCOPUS-000719-4</v>
      </c>
      <c r="C190" s="5" t="str">
        <f>IFERROR(__xludf.DUMMYFUNCTION("""COMPUTED_VALUE"""),"DATA")</f>
        <v>DATA</v>
      </c>
      <c r="D190" s="6" t="str">
        <f>IFERROR(__xludf.DUMMYFUNCTION("""COMPUTED_VALUE"""),"RSS*")</f>
        <v>RSS*</v>
      </c>
      <c r="E190" s="6" t="str">
        <f>IFERROR(__xludf.DUMMYFUNCTION("""COMPUTED_VALUE"""),"Annotation")</f>
        <v>Annotation</v>
      </c>
    </row>
    <row r="191" ht="15.75" customHeight="1">
      <c r="A191" s="5" t="str">
        <f>IFERROR(__xludf.DUMMYFUNCTION("""COMPUTED_VALUE"""),"SCOPUS-000139")</f>
        <v>SCOPUS-000139</v>
      </c>
      <c r="B191" s="5" t="str">
        <f>IFERROR(__xludf.DUMMYFUNCTION("""COMPUTED_VALUE"""),"SCOPUS-000139-5")</f>
        <v>SCOPUS-000139-5</v>
      </c>
      <c r="C191" s="5" t="str">
        <f>IFERROR(__xludf.DUMMYFUNCTION("""COMPUTED_VALUE"""),"DATA")</f>
        <v>DATA</v>
      </c>
      <c r="D191" s="6" t="str">
        <f>IFERROR(__xludf.DUMMYFUNCTION("""COMPUTED_VALUE"""),"YOLOv10n")</f>
        <v>YOLOv10n</v>
      </c>
      <c r="E191" s="6" t="str">
        <f>IFERROR(__xludf.DUMMYFUNCTION("""COMPUTED_VALUE"""),"Annotation")</f>
        <v>Annotation</v>
      </c>
    </row>
    <row r="192" ht="15.75" customHeight="1">
      <c r="A192" s="5" t="str">
        <f>IFERROR(__xludf.DUMMYFUNCTION("""COMPUTED_VALUE"""),"SCOPUS-000574")</f>
        <v>SCOPUS-000574</v>
      </c>
      <c r="B192" s="5" t="str">
        <f>IFERROR(__xludf.DUMMYFUNCTION("""COMPUTED_VALUE"""),"SCOPUS-000574-7")</f>
        <v>SCOPUS-000574-7</v>
      </c>
      <c r="C192" s="5" t="str">
        <f>IFERROR(__xludf.DUMMYFUNCTION("""COMPUTED_VALUE"""),"IMAGING")</f>
        <v>IMAGING</v>
      </c>
      <c r="D192" s="6" t="str">
        <f>IFERROR(__xludf.DUMMYFUNCTION("""COMPUTED_VALUE"""),"DeepLab V3+")</f>
        <v>DeepLab V3+</v>
      </c>
      <c r="E192" s="6" t="str">
        <f>IFERROR(__xludf.DUMMYFUNCTION("""COMPUTED_VALUE"""),"Visual Similarity")</f>
        <v>Visual Similarity</v>
      </c>
    </row>
    <row r="193" ht="15.75" customHeight="1">
      <c r="A193" s="5" t="str">
        <f>IFERROR(__xludf.DUMMYFUNCTION("""COMPUTED_VALUE"""),"SCOPUS-000574")</f>
        <v>SCOPUS-000574</v>
      </c>
      <c r="B193" s="5" t="str">
        <f>IFERROR(__xludf.DUMMYFUNCTION("""COMPUTED_VALUE"""),"SCOPUS-000574-8")</f>
        <v>SCOPUS-000574-8</v>
      </c>
      <c r="C193" s="5" t="str">
        <f>IFERROR(__xludf.DUMMYFUNCTION("""COMPUTED_VALUE"""),"ENVIRONMENTAL")</f>
        <v>ENVIRONMENTAL</v>
      </c>
      <c r="D193" s="6" t="str">
        <f>IFERROR(__xludf.DUMMYFUNCTION("""COMPUTED_VALUE"""),"DeepLab V3+")</f>
        <v>DeepLab V3+</v>
      </c>
      <c r="E193" s="6" t="str">
        <f>IFERROR(__xludf.DUMMYFUNCTION("""COMPUTED_VALUE"""),"Occlusion")</f>
        <v>Occlusion</v>
      </c>
    </row>
    <row r="194" ht="15.75" customHeight="1">
      <c r="A194" s="5" t="str">
        <f>IFERROR(__xludf.DUMMYFUNCTION("""COMPUTED_VALUE"""),"SCOPUS-000574")</f>
        <v>SCOPUS-000574</v>
      </c>
      <c r="B194" s="5" t="str">
        <f>IFERROR(__xludf.DUMMYFUNCTION("""COMPUTED_VALUE"""),"SCOPUS-000574-9")</f>
        <v>SCOPUS-000574-9</v>
      </c>
      <c r="C194" s="5" t="str">
        <f>IFERROR(__xludf.DUMMYFUNCTION("""COMPUTED_VALUE"""),"ENVIRONMENTAL")</f>
        <v>ENVIRONMENTAL</v>
      </c>
      <c r="D194" s="6" t="str">
        <f>IFERROR(__xludf.DUMMYFUNCTION("""COMPUTED_VALUE"""),"DeepLab V3+")</f>
        <v>DeepLab V3+</v>
      </c>
      <c r="E194" s="6" t="str">
        <f>IFERROR(__xludf.DUMMYFUNCTION("""COMPUTED_VALUE"""),"Environmental Variation")</f>
        <v>Environmental Variation</v>
      </c>
    </row>
    <row r="195" ht="15.75" customHeight="1">
      <c r="A195" s="5" t="str">
        <f>IFERROR(__xludf.DUMMYFUNCTION("""COMPUTED_VALUE"""),"SCOPUS-000574")</f>
        <v>SCOPUS-000574</v>
      </c>
      <c r="B195" s="5" t="str">
        <f>IFERROR(__xludf.DUMMYFUNCTION("""COMPUTED_VALUE"""),"SCOPUS-000574-10")</f>
        <v>SCOPUS-000574-10</v>
      </c>
      <c r="C195" s="5" t="str">
        <f>IFERROR(__xludf.DUMMYFUNCTION("""COMPUTED_VALUE"""),"IMAGING")</f>
        <v>IMAGING</v>
      </c>
      <c r="D195" s="6" t="str">
        <f>IFERROR(__xludf.DUMMYFUNCTION("""COMPUTED_VALUE"""),"DeepLab V3+")</f>
        <v>DeepLab V3+</v>
      </c>
      <c r="E195" s="6" t="str">
        <f>IFERROR(__xludf.DUMMYFUNCTION("""COMPUTED_VALUE"""),"Image Quality")</f>
        <v>Image Quality</v>
      </c>
    </row>
    <row r="196" ht="15.75" customHeight="1">
      <c r="A196" s="5" t="str">
        <f>IFERROR(__xludf.DUMMYFUNCTION("""COMPUTED_VALUE"""),"SCOPUS-000574")</f>
        <v>SCOPUS-000574</v>
      </c>
      <c r="B196" s="5" t="str">
        <f>IFERROR(__xludf.DUMMYFUNCTION("""COMPUTED_VALUE"""),"SCOPUS-000574-11")</f>
        <v>SCOPUS-000574-11</v>
      </c>
      <c r="C196" s="5" t="str">
        <f>IFERROR(__xludf.DUMMYFUNCTION("""COMPUTED_VALUE"""),"DATA")</f>
        <v>DATA</v>
      </c>
      <c r="D196" s="6" t="str">
        <f>IFERROR(__xludf.DUMMYFUNCTION("""COMPUTED_VALUE"""),"DeepLab V3+")</f>
        <v>DeepLab V3+</v>
      </c>
      <c r="E196" s="6" t="str">
        <f>IFERROR(__xludf.DUMMYFUNCTION("""COMPUTED_VALUE"""),"Annotation")</f>
        <v>Annotation</v>
      </c>
    </row>
    <row r="197" ht="15.75" customHeight="1">
      <c r="A197" s="5" t="str">
        <f>IFERROR(__xludf.DUMMYFUNCTION("""COMPUTED_VALUE"""),"SCOPUS-000013")</f>
        <v>SCOPUS-000013</v>
      </c>
      <c r="B197" s="5" t="str">
        <f>IFERROR(__xludf.DUMMYFUNCTION("""COMPUTED_VALUE"""),"SCOPUS-000013-6")</f>
        <v>SCOPUS-000013-6</v>
      </c>
      <c r="C197" s="5" t="str">
        <f>IFERROR(__xludf.DUMMYFUNCTION("""COMPUTED_VALUE"""),"DATA")</f>
        <v>DATA</v>
      </c>
      <c r="D197" s="6" t="str">
        <f>IFERROR(__xludf.DUMMYFUNCTION("""COMPUTED_VALUE"""),"YOLOv7")</f>
        <v>YOLOv7</v>
      </c>
      <c r="E197" s="6" t="str">
        <f>IFERROR(__xludf.DUMMYFUNCTION("""COMPUTED_VALUE"""),"Class Imbalance")</f>
        <v>Class Imbalance</v>
      </c>
    </row>
    <row r="198" ht="15.75" customHeight="1">
      <c r="A198" s="5" t="str">
        <f>IFERROR(__xludf.DUMMYFUNCTION("""COMPUTED_VALUE"""),"SCOPUS-000013")</f>
        <v>SCOPUS-000013</v>
      </c>
      <c r="B198" s="5" t="str">
        <f>IFERROR(__xludf.DUMMYFUNCTION("""COMPUTED_VALUE"""),"SCOPUS-000013-7")</f>
        <v>SCOPUS-000013-7</v>
      </c>
      <c r="C198" s="5" t="str">
        <f>IFERROR(__xludf.DUMMYFUNCTION("""COMPUTED_VALUE"""),"ENVIRONMENTAL")</f>
        <v>ENVIRONMENTAL</v>
      </c>
      <c r="D198" s="6" t="str">
        <f>IFERROR(__xludf.DUMMYFUNCTION("""COMPUTED_VALUE"""),"YOLOv7")</f>
        <v>YOLOv7</v>
      </c>
      <c r="E198" s="6" t="str">
        <f>IFERROR(__xludf.DUMMYFUNCTION("""COMPUTED_VALUE"""),"Environmental Variation")</f>
        <v>Environmental Variation</v>
      </c>
    </row>
    <row r="199" ht="15.75" customHeight="1">
      <c r="A199" s="5" t="str">
        <f>IFERROR(__xludf.DUMMYFUNCTION("""COMPUTED_VALUE"""),"SCOPUS-000013")</f>
        <v>SCOPUS-000013</v>
      </c>
      <c r="B199" s="5" t="str">
        <f>IFERROR(__xludf.DUMMYFUNCTION("""COMPUTED_VALUE"""),"SCOPUS-000013-8")</f>
        <v>SCOPUS-000013-8</v>
      </c>
      <c r="C199" s="5" t="str">
        <f>IFERROR(__xludf.DUMMYFUNCTION("""COMPUTED_VALUE"""),"ENVIRONMENTAL")</f>
        <v>ENVIRONMENTAL</v>
      </c>
      <c r="D199" s="6" t="str">
        <f>IFERROR(__xludf.DUMMYFUNCTION("""COMPUTED_VALUE"""),"YOLOv7")</f>
        <v>YOLOv7</v>
      </c>
      <c r="E199" s="6" t="str">
        <f>IFERROR(__xludf.DUMMYFUNCTION("""COMPUTED_VALUE"""),"Environmental Variation")</f>
        <v>Environmental Variation</v>
      </c>
    </row>
    <row r="200" ht="15.75" customHeight="1">
      <c r="A200" s="5" t="str">
        <f>IFERROR(__xludf.DUMMYFUNCTION("""COMPUTED_VALUE"""),"SCOPUS-000295")</f>
        <v>SCOPUS-000295</v>
      </c>
      <c r="B200" s="5" t="str">
        <f>IFERROR(__xludf.DUMMYFUNCTION("""COMPUTED_VALUE"""),"SCOPUS-000295-2")</f>
        <v>SCOPUS-000295-2</v>
      </c>
      <c r="C200" s="5" t="str">
        <f>IFERROR(__xludf.DUMMYFUNCTION("""COMPUTED_VALUE"""),"DATA")</f>
        <v>DATA</v>
      </c>
      <c r="D200" s="6" t="str">
        <f>IFERROR(__xludf.DUMMYFUNCTION("""COMPUTED_VALUE"""),"Grid R-CNN")</f>
        <v>Grid R-CNN</v>
      </c>
      <c r="E200" s="6" t="str">
        <f>IFERROR(__xludf.DUMMYFUNCTION("""COMPUTED_VALUE"""),"Annotation")</f>
        <v>Annotation</v>
      </c>
    </row>
    <row r="201" ht="15.75" customHeight="1">
      <c r="A201" s="5" t="str">
        <f>IFERROR(__xludf.DUMMYFUNCTION("""COMPUTED_VALUE"""),"SCOPUS-000295")</f>
        <v>SCOPUS-000295</v>
      </c>
      <c r="B201" s="5" t="str">
        <f>IFERROR(__xludf.DUMMYFUNCTION("""COMPUTED_VALUE"""),"SCOPUS-000295-3")</f>
        <v>SCOPUS-000295-3</v>
      </c>
      <c r="C201" s="5" t="str">
        <f>IFERROR(__xludf.DUMMYFUNCTION("""COMPUTED_VALUE"""),"ENVIRONMENTAL")</f>
        <v>ENVIRONMENTAL</v>
      </c>
      <c r="D201" s="6" t="str">
        <f>IFERROR(__xludf.DUMMYFUNCTION("""COMPUTED_VALUE"""),"Grid R-CNN")</f>
        <v>Grid R-CNN</v>
      </c>
      <c r="E201" s="6" t="str">
        <f>IFERROR(__xludf.DUMMYFUNCTION("""COMPUTED_VALUE"""),"Environmental Variation")</f>
        <v>Environmental Variation</v>
      </c>
    </row>
    <row r="202" ht="15.75" customHeight="1">
      <c r="A202" s="5" t="str">
        <f>IFERROR(__xludf.DUMMYFUNCTION("""COMPUTED_VALUE"""),"SCOPUS-000295")</f>
        <v>SCOPUS-000295</v>
      </c>
      <c r="B202" s="5" t="str">
        <f>IFERROR(__xludf.DUMMYFUNCTION("""COMPUTED_VALUE"""),"SCOPUS-000295-4")</f>
        <v>SCOPUS-000295-4</v>
      </c>
      <c r="C202" s="5" t="str">
        <f>IFERROR(__xludf.DUMMYFUNCTION("""COMPUTED_VALUE"""),"ENVIRONMENTAL")</f>
        <v>ENVIRONMENTAL</v>
      </c>
      <c r="D202" s="6" t="str">
        <f>IFERROR(__xludf.DUMMYFUNCTION("""COMPUTED_VALUE"""),"Grid R-CNN")</f>
        <v>Grid R-CNN</v>
      </c>
      <c r="E202" s="6" t="str">
        <f>IFERROR(__xludf.DUMMYFUNCTION("""COMPUTED_VALUE"""),"Weed Density Variation")</f>
        <v>Weed Density Variation</v>
      </c>
    </row>
    <row r="203" ht="15.75" customHeight="1">
      <c r="A203" s="5" t="str">
        <f>IFERROR(__xludf.DUMMYFUNCTION("""COMPUTED_VALUE"""),"SCOPUS-000265")</f>
        <v>SCOPUS-000265</v>
      </c>
      <c r="B203" s="5" t="str">
        <f>IFERROR(__xludf.DUMMYFUNCTION("""COMPUTED_VALUE"""),"SCOPUS-000265-4")</f>
        <v>SCOPUS-000265-4</v>
      </c>
      <c r="C203" s="5" t="str">
        <f>IFERROR(__xludf.DUMMYFUNCTION("""COMPUTED_VALUE"""),"DATA")</f>
        <v>DATA</v>
      </c>
      <c r="D203" s="6" t="str">
        <f>IFERROR(__xludf.DUMMYFUNCTION("""COMPUTED_VALUE"""),"Faster RCNN")</f>
        <v>Faster RCNN</v>
      </c>
      <c r="E203" s="6" t="str">
        <f>IFERROR(__xludf.DUMMYFUNCTION("""COMPUTED_VALUE"""),"Class Imbalance")</f>
        <v>Class Imbalance</v>
      </c>
    </row>
    <row r="204" ht="15.75" customHeight="1">
      <c r="A204" s="5" t="str">
        <f>IFERROR(__xludf.DUMMYFUNCTION("""COMPUTED_VALUE"""),"SCOPUS-000265")</f>
        <v>SCOPUS-000265</v>
      </c>
      <c r="B204" s="5" t="str">
        <f>IFERROR(__xludf.DUMMYFUNCTION("""COMPUTED_VALUE"""),"SCOPUS-000265-5")</f>
        <v>SCOPUS-000265-5</v>
      </c>
      <c r="C204" s="5" t="str">
        <f>IFERROR(__xludf.DUMMYFUNCTION("""COMPUTED_VALUE"""),"ENVIRONMENTAL")</f>
        <v>ENVIRONMENTAL</v>
      </c>
      <c r="D204" s="6" t="str">
        <f>IFERROR(__xludf.DUMMYFUNCTION("""COMPUTED_VALUE"""),"Faster RCNN")</f>
        <v>Faster RCNN</v>
      </c>
      <c r="E204" s="6" t="str">
        <f>IFERROR(__xludf.DUMMYFUNCTION("""COMPUTED_VALUE"""),"Morphological Variation")</f>
        <v>Morphological Variation</v>
      </c>
    </row>
    <row r="205" ht="15.75" customHeight="1">
      <c r="A205" s="5" t="str">
        <f>IFERROR(__xludf.DUMMYFUNCTION("""COMPUTED_VALUE"""),"SCOPUS-000399")</f>
        <v>SCOPUS-000399</v>
      </c>
      <c r="B205" s="5" t="str">
        <f>IFERROR(__xludf.DUMMYFUNCTION("""COMPUTED_VALUE"""),"SCOPUS-000399-2")</f>
        <v>SCOPUS-000399-2</v>
      </c>
      <c r="C205" s="5" t="str">
        <f>IFERROR(__xludf.DUMMYFUNCTION("""COMPUTED_VALUE"""),"DATA")</f>
        <v>DATA</v>
      </c>
      <c r="D205" s="6" t="str">
        <f>IFERROR(__xludf.DUMMYFUNCTION("""COMPUTED_VALUE"""),"WacGAN-info")</f>
        <v>WacGAN-info</v>
      </c>
      <c r="E205" s="6" t="str">
        <f>IFERROR(__xludf.DUMMYFUNCTION("""COMPUTED_VALUE"""),"Annotation")</f>
        <v>Annotation</v>
      </c>
    </row>
    <row r="206" ht="15.75" customHeight="1">
      <c r="A206" s="5" t="str">
        <f>IFERROR(__xludf.DUMMYFUNCTION("""COMPUTED_VALUE"""),"SCOPUS-000399")</f>
        <v>SCOPUS-000399</v>
      </c>
      <c r="B206" s="5" t="str">
        <f>IFERROR(__xludf.DUMMYFUNCTION("""COMPUTED_VALUE"""),"SCOPUS-000399-3")</f>
        <v>SCOPUS-000399-3</v>
      </c>
      <c r="C206" s="5" t="str">
        <f>IFERROR(__xludf.DUMMYFUNCTION("""COMPUTED_VALUE"""),"DATA")</f>
        <v>DATA</v>
      </c>
      <c r="D206" s="6" t="str">
        <f>IFERROR(__xludf.DUMMYFUNCTION("""COMPUTED_VALUE"""),"WacGAN-info")</f>
        <v>WacGAN-info</v>
      </c>
      <c r="E206" s="6" t="str">
        <f>IFERROR(__xludf.DUMMYFUNCTION("""COMPUTED_VALUE"""),"Annotation")</f>
        <v>Annotation</v>
      </c>
    </row>
    <row r="207" ht="15.75" customHeight="1">
      <c r="A207" s="5" t="str">
        <f>IFERROR(__xludf.DUMMYFUNCTION("""COMPUTED_VALUE"""),"SCOPUS-000738")</f>
        <v>SCOPUS-000738</v>
      </c>
      <c r="B207" s="5" t="str">
        <f>IFERROR(__xludf.DUMMYFUNCTION("""COMPUTED_VALUE"""),"SCOPUS-000738-3")</f>
        <v>SCOPUS-000738-3</v>
      </c>
      <c r="C207" s="5" t="str">
        <f>IFERROR(__xludf.DUMMYFUNCTION("""COMPUTED_VALUE"""),"ENVIRONMENTAL")</f>
        <v>ENVIRONMENTAL</v>
      </c>
      <c r="D207" s="6" t="str">
        <f>IFERROR(__xludf.DUMMYFUNCTION("""COMPUTED_VALUE"""),"Deeplab")</f>
        <v>Deeplab</v>
      </c>
      <c r="E207" s="6" t="str">
        <f>IFERROR(__xludf.DUMMYFUNCTION("""COMPUTED_VALUE"""),"Background Complexity")</f>
        <v>Background Complexity</v>
      </c>
    </row>
    <row r="208" ht="15.75" customHeight="1">
      <c r="A208" s="5" t="str">
        <f>IFERROR(__xludf.DUMMYFUNCTION("""COMPUTED_VALUE"""),"SCOPUS-000738")</f>
        <v>SCOPUS-000738</v>
      </c>
      <c r="B208" s="5" t="str">
        <f>IFERROR(__xludf.DUMMYFUNCTION("""COMPUTED_VALUE"""),"SCOPUS-000738-4")</f>
        <v>SCOPUS-000738-4</v>
      </c>
      <c r="C208" s="5" t="str">
        <f>IFERROR(__xludf.DUMMYFUNCTION("""COMPUTED_VALUE"""),"ENVIRONMENTAL")</f>
        <v>ENVIRONMENTAL</v>
      </c>
      <c r="D208" s="6" t="str">
        <f>IFERROR(__xludf.DUMMYFUNCTION("""COMPUTED_VALUE"""),"Deeplab")</f>
        <v>Deeplab</v>
      </c>
      <c r="E208" s="6" t="str">
        <f>IFERROR(__xludf.DUMMYFUNCTION("""COMPUTED_VALUE"""),"Occlusion")</f>
        <v>Occlusion</v>
      </c>
    </row>
    <row r="209" ht="15.75" customHeight="1">
      <c r="A209" s="5" t="str">
        <f>IFERROR(__xludf.DUMMYFUNCTION("""COMPUTED_VALUE"""),"SCOPUS-000031")</f>
        <v>SCOPUS-000031</v>
      </c>
      <c r="B209" s="5" t="str">
        <f>IFERROR(__xludf.DUMMYFUNCTION("""COMPUTED_VALUE"""),"SCOPUS-000031-2")</f>
        <v>SCOPUS-000031-2</v>
      </c>
      <c r="C209" s="5" t="str">
        <f>IFERROR(__xludf.DUMMYFUNCTION("""COMPUTED_VALUE"""),"ENVIRONMENTAL")</f>
        <v>ENVIRONMENTAL</v>
      </c>
      <c r="D209" s="6" t="str">
        <f>IFERROR(__xludf.DUMMYFUNCTION("""COMPUTED_VALUE"""),"FCN")</f>
        <v>FCN</v>
      </c>
      <c r="E209" s="6" t="str">
        <f>IFERROR(__xludf.DUMMYFUNCTION("""COMPUTED_VALUE"""),"Occlusion")</f>
        <v>Occlusion</v>
      </c>
    </row>
    <row r="210" ht="15.75" customHeight="1">
      <c r="A210" s="5" t="str">
        <f>IFERROR(__xludf.DUMMYFUNCTION("""COMPUTED_VALUE"""),"SCOPUS-000031")</f>
        <v>SCOPUS-000031</v>
      </c>
      <c r="B210" s="5" t="str">
        <f>IFERROR(__xludf.DUMMYFUNCTION("""COMPUTED_VALUE"""),"SCOPUS-000031-3")</f>
        <v>SCOPUS-000031-3</v>
      </c>
      <c r="C210" s="5" t="str">
        <f>IFERROR(__xludf.DUMMYFUNCTION("""COMPUTED_VALUE"""),"ENVIRONMENTAL")</f>
        <v>ENVIRONMENTAL</v>
      </c>
      <c r="D210" s="6" t="str">
        <f>IFERROR(__xludf.DUMMYFUNCTION("""COMPUTED_VALUE"""),"FCN")</f>
        <v>FCN</v>
      </c>
      <c r="E210" s="6" t="str">
        <f>IFERROR(__xludf.DUMMYFUNCTION("""COMPUTED_VALUE"""),"Weed Density Variation")</f>
        <v>Weed Density Variation</v>
      </c>
    </row>
    <row r="211" ht="15.75" customHeight="1">
      <c r="A211" s="5" t="str">
        <f>IFERROR(__xludf.DUMMYFUNCTION("""COMPUTED_VALUE"""),"SCOPUS-000086")</f>
        <v>SCOPUS-000086</v>
      </c>
      <c r="B211" s="5" t="str">
        <f>IFERROR(__xludf.DUMMYFUNCTION("""COMPUTED_VALUE"""),"SCOPUS-000086-4")</f>
        <v>SCOPUS-000086-4</v>
      </c>
      <c r="C211" s="5" t="str">
        <f>IFERROR(__xludf.DUMMYFUNCTION("""COMPUTED_VALUE"""),"IMAGING")</f>
        <v>IMAGING</v>
      </c>
      <c r="D211" s="6" t="str">
        <f>IFERROR(__xludf.DUMMYFUNCTION("""COMPUTED_VALUE"""),"Supervised")</f>
        <v>Supervised</v>
      </c>
      <c r="E211" s="6" t="str">
        <f>IFERROR(__xludf.DUMMYFUNCTION("""COMPUTED_VALUE"""),"Visual Similarity")</f>
        <v>Visual Similarity</v>
      </c>
    </row>
    <row r="212" ht="15.75" customHeight="1">
      <c r="A212" s="5" t="str">
        <f>IFERROR(__xludf.DUMMYFUNCTION("""COMPUTED_VALUE"""),"SCOPUS-000086")</f>
        <v>SCOPUS-000086</v>
      </c>
      <c r="B212" s="5" t="str">
        <f>IFERROR(__xludf.DUMMYFUNCTION("""COMPUTED_VALUE"""),"SCOPUS-000086-5")</f>
        <v>SCOPUS-000086-5</v>
      </c>
      <c r="C212" s="5" t="str">
        <f>IFERROR(__xludf.DUMMYFUNCTION("""COMPUTED_VALUE"""),"ENVIRONMENTAL")</f>
        <v>ENVIRONMENTAL</v>
      </c>
      <c r="D212" s="6" t="str">
        <f>IFERROR(__xludf.DUMMYFUNCTION("""COMPUTED_VALUE"""),"Supervised")</f>
        <v>Supervised</v>
      </c>
      <c r="E212" s="6" t="str">
        <f>IFERROR(__xludf.DUMMYFUNCTION("""COMPUTED_VALUE"""),"Environmental Variation")</f>
        <v>Environmental Variation</v>
      </c>
    </row>
    <row r="213" ht="15.75" customHeight="1">
      <c r="A213" s="5" t="str">
        <f>IFERROR(__xludf.DUMMYFUNCTION("""COMPUTED_VALUE"""),"SCOPUS-000475")</f>
        <v>SCOPUS-000475</v>
      </c>
      <c r="B213" s="5" t="str">
        <f>IFERROR(__xludf.DUMMYFUNCTION("""COMPUTED_VALUE"""),"SCOPUS-000475-2")</f>
        <v>SCOPUS-000475-2</v>
      </c>
      <c r="C213" s="5" t="str">
        <f>IFERROR(__xludf.DUMMYFUNCTION("""COMPUTED_VALUE"""),"DATA")</f>
        <v>DATA</v>
      </c>
      <c r="D213" s="6" t="str">
        <f>IFERROR(__xludf.DUMMYFUNCTION("""COMPUTED_VALUE"""),"PSPNet")</f>
        <v>PSPNet</v>
      </c>
      <c r="E213" s="6" t="str">
        <f>IFERROR(__xludf.DUMMYFUNCTION("""COMPUTED_VALUE"""),"Data Scarcity")</f>
        <v>Data Scarcity</v>
      </c>
    </row>
    <row r="214" ht="15.75" customHeight="1">
      <c r="A214" s="5" t="str">
        <f>IFERROR(__xludf.DUMMYFUNCTION("""COMPUTED_VALUE"""),"SCOPUS-000475")</f>
        <v>SCOPUS-000475</v>
      </c>
      <c r="B214" s="5" t="str">
        <f>IFERROR(__xludf.DUMMYFUNCTION("""COMPUTED_VALUE"""),"SCOPUS-000475-3")</f>
        <v>SCOPUS-000475-3</v>
      </c>
      <c r="C214" s="5" t="str">
        <f>IFERROR(__xludf.DUMMYFUNCTION("""COMPUTED_VALUE"""),"ENVIRONMENTAL")</f>
        <v>ENVIRONMENTAL</v>
      </c>
      <c r="D214" s="6" t="str">
        <f>IFERROR(__xludf.DUMMYFUNCTION("""COMPUTED_VALUE"""),"PSPNet")</f>
        <v>PSPNet</v>
      </c>
      <c r="E214" s="6" t="str">
        <f>IFERROR(__xludf.DUMMYFUNCTION("""COMPUTED_VALUE"""),"Environmental Variation")</f>
        <v>Environmental Variation</v>
      </c>
    </row>
    <row r="215" ht="15.75" customHeight="1">
      <c r="A215" s="5" t="str">
        <f>IFERROR(__xludf.DUMMYFUNCTION("""COMPUTED_VALUE"""),"SCOPUS-000074")</f>
        <v>SCOPUS-000074</v>
      </c>
      <c r="B215" s="5" t="str">
        <f>IFERROR(__xludf.DUMMYFUNCTION("""COMPUTED_VALUE"""),"SCOPUS-000074-1")</f>
        <v>SCOPUS-000074-1</v>
      </c>
      <c r="C215" s="5" t="str">
        <f>IFERROR(__xludf.DUMMYFUNCTION("""COMPUTED_VALUE"""),"TECHNICAL")</f>
        <v>TECHNICAL</v>
      </c>
      <c r="D215" s="6" t="str">
        <f>IFERROR(__xludf.DUMMYFUNCTION("""COMPUTED_VALUE"""),"SegNet512")</f>
        <v>SegNet512</v>
      </c>
      <c r="E215" s="6" t="str">
        <f>IFERROR(__xludf.DUMMYFUNCTION("""COMPUTED_VALUE"""),"Computational Resource")</f>
        <v>Computational Resource</v>
      </c>
    </row>
    <row r="216" ht="15.75" customHeight="1">
      <c r="A216" s="5" t="str">
        <f>IFERROR(__xludf.DUMMYFUNCTION("""COMPUTED_VALUE"""),"SCOPUS-000107")</f>
        <v>SCOPUS-000107</v>
      </c>
      <c r="B216" s="5" t="str">
        <f>IFERROR(__xludf.DUMMYFUNCTION("""COMPUTED_VALUE"""),"SCOPUS-000107-1")</f>
        <v>SCOPUS-000107-1</v>
      </c>
      <c r="C216" s="5" t="str">
        <f>IFERROR(__xludf.DUMMYFUNCTION("""COMPUTED_VALUE"""),"TECHNICAL")</f>
        <v>TECHNICAL</v>
      </c>
      <c r="D216" s="6" t="str">
        <f>IFERROR(__xludf.DUMMYFUNCTION("""COMPUTED_VALUE"""),"DeepLabV3+")</f>
        <v>DeepLabV3+</v>
      </c>
      <c r="E216" s="6" t="str">
        <f>IFERROR(__xludf.DUMMYFUNCTION("""COMPUTED_VALUE"""),"Computational Resource")</f>
        <v>Computational Resource</v>
      </c>
    </row>
    <row r="217" ht="15.75" customHeight="1">
      <c r="A217" s="5" t="str">
        <f>IFERROR(__xludf.DUMMYFUNCTION("""COMPUTED_VALUE"""),"SCOPUS-000142")</f>
        <v>SCOPUS-000142</v>
      </c>
      <c r="B217" s="5" t="str">
        <f>IFERROR(__xludf.DUMMYFUNCTION("""COMPUTED_VALUE"""),"SCOPUS-000142-1")</f>
        <v>SCOPUS-000142-1</v>
      </c>
      <c r="C217" s="5" t="str">
        <f>IFERROR(__xludf.DUMMYFUNCTION("""COMPUTED_VALUE"""),"IMAGING")</f>
        <v>IMAGING</v>
      </c>
      <c r="D217" s="6" t="str">
        <f>IFERROR(__xludf.DUMMYFUNCTION("""COMPUTED_VALUE"""),"LW-DETR-Tiny")</f>
        <v>LW-DETR-Tiny</v>
      </c>
      <c r="E217" s="6" t="str">
        <f>IFERROR(__xludf.DUMMYFUNCTION("""COMPUTED_VALUE"""),"Small Object Detection")</f>
        <v>Small Object Detection</v>
      </c>
    </row>
    <row r="218" ht="15.75" customHeight="1">
      <c r="A218" s="5" t="str">
        <f>IFERROR(__xludf.DUMMYFUNCTION("""COMPUTED_VALUE"""),"SCOPUS-000142")</f>
        <v>SCOPUS-000142</v>
      </c>
      <c r="B218" s="5" t="str">
        <f>IFERROR(__xludf.DUMMYFUNCTION("""COMPUTED_VALUE"""),"SCOPUS-000142-2")</f>
        <v>SCOPUS-000142-2</v>
      </c>
      <c r="C218" s="5" t="str">
        <f>IFERROR(__xludf.DUMMYFUNCTION("""COMPUTED_VALUE"""),"ENVIRONMENTAL")</f>
        <v>ENVIRONMENTAL</v>
      </c>
      <c r="D218" s="6" t="str">
        <f>IFERROR(__xludf.DUMMYFUNCTION("""COMPUTED_VALUE"""),"LW-DETR-Tiny")</f>
        <v>LW-DETR-Tiny</v>
      </c>
      <c r="E218" s="6" t="str">
        <f>IFERROR(__xludf.DUMMYFUNCTION("""COMPUTED_VALUE"""),"Occlusion")</f>
        <v>Occlusion</v>
      </c>
    </row>
    <row r="219" ht="15.75" customHeight="1">
      <c r="A219" s="5" t="str">
        <f>IFERROR(__xludf.DUMMYFUNCTION("""COMPUTED_VALUE"""),"SCOPUS-000142")</f>
        <v>SCOPUS-000142</v>
      </c>
      <c r="B219" s="5" t="str">
        <f>IFERROR(__xludf.DUMMYFUNCTION("""COMPUTED_VALUE"""),"SCOPUS-000142-3")</f>
        <v>SCOPUS-000142-3</v>
      </c>
      <c r="C219" s="5" t="str">
        <f>IFERROR(__xludf.DUMMYFUNCTION("""COMPUTED_VALUE"""),"TECHNICAL")</f>
        <v>TECHNICAL</v>
      </c>
      <c r="D219" s="6" t="str">
        <f>IFERROR(__xludf.DUMMYFUNCTION("""COMPUTED_VALUE"""),"RT-DETR-X")</f>
        <v>RT-DETR-X</v>
      </c>
      <c r="E219" s="6" t="str">
        <f>IFERROR(__xludf.DUMMYFUNCTION("""COMPUTED_VALUE"""),"Computational Resource")</f>
        <v>Computational Resource</v>
      </c>
    </row>
    <row r="220" ht="15.75" customHeight="1">
      <c r="A220" s="5" t="str">
        <f>IFERROR(__xludf.DUMMYFUNCTION("""COMPUTED_VALUE"""),"SCOPUS-000193")</f>
        <v>SCOPUS-000193</v>
      </c>
      <c r="B220" s="5" t="str">
        <f>IFERROR(__xludf.DUMMYFUNCTION("""COMPUTED_VALUE"""),"SCOPUS-000193-1")</f>
        <v>SCOPUS-000193-1</v>
      </c>
      <c r="C220" s="5" t="str">
        <f>IFERROR(__xludf.DUMMYFUNCTION("""COMPUTED_VALUE"""),"TECHNICAL")</f>
        <v>TECHNICAL</v>
      </c>
      <c r="D220" s="6" t="str">
        <f>IFERROR(__xludf.DUMMYFUNCTION("""COMPUTED_VALUE"""),"YOLOv8s")</f>
        <v>YOLOv8s</v>
      </c>
      <c r="E220" s="6" t="str">
        <f>IFERROR(__xludf.DUMMYFUNCTION("""COMPUTED_VALUE"""),"Computational Resource")</f>
        <v>Computational Resource</v>
      </c>
    </row>
    <row r="221" ht="15.75" customHeight="1">
      <c r="A221" s="5" t="str">
        <f>IFERROR(__xludf.DUMMYFUNCTION("""COMPUTED_VALUE"""),"SCOPUS-000193")</f>
        <v>SCOPUS-000193</v>
      </c>
      <c r="B221" s="5" t="str">
        <f>IFERROR(__xludf.DUMMYFUNCTION("""COMPUTED_VALUE"""),"SCOPUS-000193-2")</f>
        <v>SCOPUS-000193-2</v>
      </c>
      <c r="C221" s="5" t="str">
        <f>IFERROR(__xludf.DUMMYFUNCTION("""COMPUTED_VALUE"""),"ENVIRONMENTAL")</f>
        <v>ENVIRONMENTAL</v>
      </c>
      <c r="D221" s="6" t="str">
        <f>IFERROR(__xludf.DUMMYFUNCTION("""COMPUTED_VALUE"""),"YOLOv8s")</f>
        <v>YOLOv8s</v>
      </c>
      <c r="E221" s="6" t="str">
        <f>IFERROR(__xludf.DUMMYFUNCTION("""COMPUTED_VALUE"""),"Occlusion")</f>
        <v>Occlusion</v>
      </c>
    </row>
    <row r="222" ht="15.75" customHeight="1">
      <c r="A222" s="5" t="str">
        <f>IFERROR(__xludf.DUMMYFUNCTION("""COMPUTED_VALUE"""),"SCOPUS-000092")</f>
        <v>SCOPUS-000092</v>
      </c>
      <c r="B222" s="5" t="str">
        <f>IFERROR(__xludf.DUMMYFUNCTION("""COMPUTED_VALUE"""),"SCOPUS-000092-1")</f>
        <v>SCOPUS-000092-1</v>
      </c>
      <c r="C222" s="5" t="str">
        <f>IFERROR(__xludf.DUMMYFUNCTION("""COMPUTED_VALUE"""),"ENVIRONMENTAL")</f>
        <v>ENVIRONMENTAL</v>
      </c>
      <c r="D222" s="6" t="str">
        <f>IFERROR(__xludf.DUMMYFUNCTION("""COMPUTED_VALUE"""),"RF-DETR")</f>
        <v>RF-DETR</v>
      </c>
      <c r="E222" s="6" t="str">
        <f>IFERROR(__xludf.DUMMYFUNCTION("""COMPUTED_VALUE"""),"Environmental Variation")</f>
        <v>Environmental Variation</v>
      </c>
    </row>
    <row r="223" ht="15.75" customHeight="1">
      <c r="A223" s="5" t="str">
        <f>IFERROR(__xludf.DUMMYFUNCTION("""COMPUTED_VALUE"""),"SCOPUS-000092")</f>
        <v>SCOPUS-000092</v>
      </c>
      <c r="B223" s="5" t="str">
        <f>IFERROR(__xludf.DUMMYFUNCTION("""COMPUTED_VALUE"""),"SCOPUS-000092-2")</f>
        <v>SCOPUS-000092-2</v>
      </c>
      <c r="C223" s="5" t="str">
        <f>IFERROR(__xludf.DUMMYFUNCTION("""COMPUTED_VALUE"""),"DATA")</f>
        <v>DATA</v>
      </c>
      <c r="D223" s="6" t="str">
        <f>IFERROR(__xludf.DUMMYFUNCTION("""COMPUTED_VALUE"""),"RF-DETR")</f>
        <v>RF-DETR</v>
      </c>
      <c r="E223" s="6" t="str">
        <f>IFERROR(__xludf.DUMMYFUNCTION("""COMPUTED_VALUE"""),"Data Scarcity")</f>
        <v>Data Scarcity</v>
      </c>
    </row>
    <row r="224" ht="15.75" customHeight="1">
      <c r="A224" s="5" t="str">
        <f>IFERROR(__xludf.DUMMYFUNCTION("""COMPUTED_VALUE"""),"SCOPUS-000296")</f>
        <v>SCOPUS-000296</v>
      </c>
      <c r="B224" s="5" t="str">
        <f>IFERROR(__xludf.DUMMYFUNCTION("""COMPUTED_VALUE"""),"SCOPUS-000296-1")</f>
        <v>SCOPUS-000296-1</v>
      </c>
      <c r="C224" s="5" t="str">
        <f>IFERROR(__xludf.DUMMYFUNCTION("""COMPUTED_VALUE"""),"IMAGING")</f>
        <v>IMAGING</v>
      </c>
      <c r="D224" s="6" t="str">
        <f>IFERROR(__xludf.DUMMYFUNCTION("""COMPUTED_VALUE"""),"YOLOv10")</f>
        <v>YOLOv10</v>
      </c>
      <c r="E224" s="6" t="str">
        <f>IFERROR(__xludf.DUMMYFUNCTION("""COMPUTED_VALUE"""),"Visual Similarity")</f>
        <v>Visual Similarity</v>
      </c>
    </row>
    <row r="225" ht="15.75" customHeight="1">
      <c r="A225" s="5" t="str">
        <f>IFERROR(__xludf.DUMMYFUNCTION("""COMPUTED_VALUE"""),"SCOPUS-000296")</f>
        <v>SCOPUS-000296</v>
      </c>
      <c r="B225" s="5" t="str">
        <f>IFERROR(__xludf.DUMMYFUNCTION("""COMPUTED_VALUE"""),"SCOPUS-000296-2")</f>
        <v>SCOPUS-000296-2</v>
      </c>
      <c r="C225" s="5" t="str">
        <f>IFERROR(__xludf.DUMMYFUNCTION("""COMPUTED_VALUE"""),"DATA")</f>
        <v>DATA</v>
      </c>
      <c r="D225" s="6" t="str">
        <f>IFERROR(__xludf.DUMMYFUNCTION("""COMPUTED_VALUE"""),"YOLOv10")</f>
        <v>YOLOv10</v>
      </c>
      <c r="E225" s="6" t="str">
        <f>IFERROR(__xludf.DUMMYFUNCTION("""COMPUTED_VALUE"""),"Data Scarcity")</f>
        <v>Data Scarcity</v>
      </c>
    </row>
    <row r="226" ht="15.75" customHeight="1">
      <c r="A226" s="5" t="str">
        <f>IFERROR(__xludf.DUMMYFUNCTION("""COMPUTED_VALUE"""),"SCOPUS-000255")</f>
        <v>SCOPUS-000255</v>
      </c>
      <c r="B226" s="5" t="str">
        <f>IFERROR(__xludf.DUMMYFUNCTION("""COMPUTED_VALUE"""),"SCOPUS-000255-1")</f>
        <v>SCOPUS-000255-1</v>
      </c>
      <c r="C226" s="5" t="str">
        <f>IFERROR(__xludf.DUMMYFUNCTION("""COMPUTED_VALUE"""),"DATA")</f>
        <v>DATA</v>
      </c>
      <c r="D226" s="6" t="str">
        <f>IFERROR(__xludf.DUMMYFUNCTION("""COMPUTED_VALUE"""),"Bounding Box Method")</f>
        <v>Bounding Box Method</v>
      </c>
      <c r="E226" s="6" t="str">
        <f>IFERROR(__xludf.DUMMYFUNCTION("""COMPUTED_VALUE"""),"Annotation")</f>
        <v>Annotation</v>
      </c>
    </row>
    <row r="227" ht="15.75" customHeight="1">
      <c r="A227" s="5" t="str">
        <f>IFERROR(__xludf.DUMMYFUNCTION("""COMPUTED_VALUE"""),"SCOPUS-000223")</f>
        <v>SCOPUS-000223</v>
      </c>
      <c r="B227" s="5" t="str">
        <f>IFERROR(__xludf.DUMMYFUNCTION("""COMPUTED_VALUE"""),"SCOPUS-000223-1")</f>
        <v>SCOPUS-000223-1</v>
      </c>
      <c r="C227" s="5" t="str">
        <f>IFERROR(__xludf.DUMMYFUNCTION("""COMPUTED_VALUE"""),"ENVIRONMENTAL")</f>
        <v>ENVIRONMENTAL</v>
      </c>
      <c r="D227" s="6" t="str">
        <f>IFERROR(__xludf.DUMMYFUNCTION("""COMPUTED_VALUE"""),"YOLOv9t")</f>
        <v>YOLOv9t</v>
      </c>
      <c r="E227" s="6" t="str">
        <f>IFERROR(__xludf.DUMMYFUNCTION("""COMPUTED_VALUE"""),"Occlusion")</f>
        <v>Occlusion</v>
      </c>
    </row>
    <row r="228" ht="15.75" customHeight="1">
      <c r="A228" s="5" t="str">
        <f>IFERROR(__xludf.DUMMYFUNCTION("""COMPUTED_VALUE"""),"SCOPUS-000216")</f>
        <v>SCOPUS-000216</v>
      </c>
      <c r="B228" s="5" t="str">
        <f>IFERROR(__xludf.DUMMYFUNCTION("""COMPUTED_VALUE"""),"SCOPUS-000216-1")</f>
        <v>SCOPUS-000216-1</v>
      </c>
      <c r="C228" s="5" t="str">
        <f>IFERROR(__xludf.DUMMYFUNCTION("""COMPUTED_VALUE"""),"DATA")</f>
        <v>DATA</v>
      </c>
      <c r="D228" s="6"/>
      <c r="E228" s="6" t="str">
        <f>IFERROR(__xludf.DUMMYFUNCTION("""COMPUTED_VALUE"""),"Class Imbalance")</f>
        <v>Class Imbalance</v>
      </c>
    </row>
    <row r="229" ht="15.75" customHeight="1">
      <c r="A229" s="5" t="str">
        <f>IFERROR(__xludf.DUMMYFUNCTION("""COMPUTED_VALUE"""),"SCOPUS-000216")</f>
        <v>SCOPUS-000216</v>
      </c>
      <c r="B229" s="5" t="str">
        <f>IFERROR(__xludf.DUMMYFUNCTION("""COMPUTED_VALUE"""),"SCOPUS-000216-2")</f>
        <v>SCOPUS-000216-2</v>
      </c>
      <c r="C229" s="5" t="str">
        <f>IFERROR(__xludf.DUMMYFUNCTION("""COMPUTED_VALUE"""),"TECHNICAL")</f>
        <v>TECHNICAL</v>
      </c>
      <c r="D229" s="6" t="str">
        <f>IFERROR(__xludf.DUMMYFUNCTION("""COMPUTED_VALUE"""),"YOLOv12-medium")</f>
        <v>YOLOv12-medium</v>
      </c>
      <c r="E229" s="6" t="str">
        <f>IFERROR(__xludf.DUMMYFUNCTION("""COMPUTED_VALUE"""),"Computational Resource")</f>
        <v>Computational Resource</v>
      </c>
    </row>
    <row r="230" ht="15.75" customHeight="1">
      <c r="A230" s="5" t="str">
        <f>IFERROR(__xludf.DUMMYFUNCTION("""COMPUTED_VALUE"""),"SCOPUS-000168")</f>
        <v>SCOPUS-000168</v>
      </c>
      <c r="B230" s="5" t="str">
        <f>IFERROR(__xludf.DUMMYFUNCTION("""COMPUTED_VALUE"""),"SCOPUS-000168-1")</f>
        <v>SCOPUS-000168-1</v>
      </c>
      <c r="C230" s="5" t="str">
        <f>IFERROR(__xludf.DUMMYFUNCTION("""COMPUTED_VALUE"""),"DATA")</f>
        <v>DATA</v>
      </c>
      <c r="D230" s="6" t="str">
        <f>IFERROR(__xludf.DUMMYFUNCTION("""COMPUTED_VALUE"""),"Neural Network")</f>
        <v>Neural Network</v>
      </c>
      <c r="E230" s="6" t="str">
        <f>IFERROR(__xludf.DUMMYFUNCTION("""COMPUTED_VALUE"""),"Class Imbalance")</f>
        <v>Class Imbalance</v>
      </c>
    </row>
    <row r="231" ht="15.75" customHeight="1">
      <c r="A231" s="5" t="str">
        <f>IFERROR(__xludf.DUMMYFUNCTION("""COMPUTED_VALUE"""),"SCOPUS-000168")</f>
        <v>SCOPUS-000168</v>
      </c>
      <c r="B231" s="5" t="str">
        <f>IFERROR(__xludf.DUMMYFUNCTION("""COMPUTED_VALUE"""),"SCOPUS-000168-2")</f>
        <v>SCOPUS-000168-2</v>
      </c>
      <c r="C231" s="5" t="str">
        <f>IFERROR(__xludf.DUMMYFUNCTION("""COMPUTED_VALUE"""),"IMAGING")</f>
        <v>IMAGING</v>
      </c>
      <c r="D231" s="6" t="str">
        <f>IFERROR(__xludf.DUMMYFUNCTION("""COMPUTED_VALUE"""),"Neural Network")</f>
        <v>Neural Network</v>
      </c>
      <c r="E231" s="6" t="str">
        <f>IFERROR(__xludf.DUMMYFUNCTION("""COMPUTED_VALUE"""),"Visual Similarity")</f>
        <v>Visual Similarity</v>
      </c>
    </row>
    <row r="232" ht="15.75" customHeight="1">
      <c r="A232" s="5" t="str">
        <f>IFERROR(__xludf.DUMMYFUNCTION("""COMPUTED_VALUE"""),"SCOPUS-000143")</f>
        <v>SCOPUS-000143</v>
      </c>
      <c r="B232" s="5" t="str">
        <f>IFERROR(__xludf.DUMMYFUNCTION("""COMPUTED_VALUE"""),"SCOPUS-000143-1")</f>
        <v>SCOPUS-000143-1</v>
      </c>
      <c r="C232" s="5" t="str">
        <f>IFERROR(__xludf.DUMMYFUNCTION("""COMPUTED_VALUE"""),"DATA")</f>
        <v>DATA</v>
      </c>
      <c r="D232" s="6" t="str">
        <f>IFERROR(__xludf.DUMMYFUNCTION("""COMPUTED_VALUE"""),"RetinaNet")</f>
        <v>RetinaNet</v>
      </c>
      <c r="E232" s="6" t="str">
        <f>IFERROR(__xludf.DUMMYFUNCTION("""COMPUTED_VALUE"""),"Class Imbalance")</f>
        <v>Class Imbalance</v>
      </c>
    </row>
    <row r="233" ht="15.75" customHeight="1">
      <c r="A233" s="5" t="str">
        <f>IFERROR(__xludf.DUMMYFUNCTION("""COMPUTED_VALUE"""),"SCOPUS-000143")</f>
        <v>SCOPUS-000143</v>
      </c>
      <c r="B233" s="5" t="str">
        <f>IFERROR(__xludf.DUMMYFUNCTION("""COMPUTED_VALUE"""),"SCOPUS-000143-2")</f>
        <v>SCOPUS-000143-2</v>
      </c>
      <c r="C233" s="5" t="str">
        <f>IFERROR(__xludf.DUMMYFUNCTION("""COMPUTED_VALUE"""),"IMAGING")</f>
        <v>IMAGING</v>
      </c>
      <c r="D233" s="6" t="str">
        <f>IFERROR(__xludf.DUMMYFUNCTION("""COMPUTED_VALUE"""),"RetinaNet")</f>
        <v>RetinaNet</v>
      </c>
      <c r="E233" s="6" t="str">
        <f>IFERROR(__xludf.DUMMYFUNCTION("""COMPUTED_VALUE"""),"Visual Similarity")</f>
        <v>Visual Similarity</v>
      </c>
    </row>
    <row r="234" ht="15.75" customHeight="1">
      <c r="A234" s="5" t="str">
        <f>IFERROR(__xludf.DUMMYFUNCTION("""COMPUTED_VALUE"""),"SCOPUS-000066")</f>
        <v>SCOPUS-000066</v>
      </c>
      <c r="B234" s="5" t="str">
        <f>IFERROR(__xludf.DUMMYFUNCTION("""COMPUTED_VALUE"""),"SCOPUS-000066-1")</f>
        <v>SCOPUS-000066-1</v>
      </c>
      <c r="C234" s="5" t="str">
        <f>IFERROR(__xludf.DUMMYFUNCTION("""COMPUTED_VALUE"""),"IMAGING")</f>
        <v>IMAGING</v>
      </c>
      <c r="D234" s="6" t="str">
        <f>IFERROR(__xludf.DUMMYFUNCTION("""COMPUTED_VALUE"""),"ResNet-18")</f>
        <v>ResNet-18</v>
      </c>
      <c r="E234" s="6" t="str">
        <f>IFERROR(__xludf.DUMMYFUNCTION("""COMPUTED_VALUE"""),"Boundary Issues")</f>
        <v>Boundary Issues</v>
      </c>
    </row>
    <row r="235" ht="15.75" customHeight="1">
      <c r="A235" s="5" t="str">
        <f>IFERROR(__xludf.DUMMYFUNCTION("""COMPUTED_VALUE"""),"SCOPUS-000015")</f>
        <v>SCOPUS-000015</v>
      </c>
      <c r="B235" s="5" t="str">
        <f>IFERROR(__xludf.DUMMYFUNCTION("""COMPUTED_VALUE"""),"SCOPUS-000015-1")</f>
        <v>SCOPUS-000015-1</v>
      </c>
      <c r="C235" s="5" t="str">
        <f>IFERROR(__xludf.DUMMYFUNCTION("""COMPUTED_VALUE"""),"DATA")</f>
        <v>DATA</v>
      </c>
      <c r="D235" s="6" t="str">
        <f>IFERROR(__xludf.DUMMYFUNCTION("""COMPUTED_VALUE"""),"SegNet")</f>
        <v>SegNet</v>
      </c>
      <c r="E235" s="6" t="str">
        <f>IFERROR(__xludf.DUMMYFUNCTION("""COMPUTED_VALUE"""),"Class Imbalance")</f>
        <v>Class Imbalance</v>
      </c>
    </row>
    <row r="236" ht="15.75" customHeight="1">
      <c r="A236" s="5" t="str">
        <f>IFERROR(__xludf.DUMMYFUNCTION("""COMPUTED_VALUE"""),"SCOPUS-000180")</f>
        <v>SCOPUS-000180</v>
      </c>
      <c r="B236" s="5" t="str">
        <f>IFERROR(__xludf.DUMMYFUNCTION("""COMPUTED_VALUE"""),"SCOPUS-000180-1")</f>
        <v>SCOPUS-000180-1</v>
      </c>
      <c r="C236" s="5" t="str">
        <f>IFERROR(__xludf.DUMMYFUNCTION("""COMPUTED_VALUE"""),"ENVIRONMENTAL")</f>
        <v>ENVIRONMENTAL</v>
      </c>
      <c r="D236" s="6" t="str">
        <f>IFERROR(__xludf.DUMMYFUNCTION("""COMPUTED_VALUE"""),"RT-DETR-R18")</f>
        <v>RT-DETR-R18</v>
      </c>
      <c r="E236" s="6" t="str">
        <f>IFERROR(__xludf.DUMMYFUNCTION("""COMPUTED_VALUE"""),"Background Complexity")</f>
        <v>Background Complexity</v>
      </c>
    </row>
    <row r="237" ht="15.75" customHeight="1">
      <c r="A237" s="5" t="str">
        <f>IFERROR(__xludf.DUMMYFUNCTION("""COMPUTED_VALUE"""),"SCOPUS-000180")</f>
        <v>SCOPUS-000180</v>
      </c>
      <c r="B237" s="5" t="str">
        <f>IFERROR(__xludf.DUMMYFUNCTION("""COMPUTED_VALUE"""),"SCOPUS-000180-2")</f>
        <v>SCOPUS-000180-2</v>
      </c>
      <c r="C237" s="5" t="str">
        <f>IFERROR(__xludf.DUMMYFUNCTION("""COMPUTED_VALUE"""),"IMAGING")</f>
        <v>IMAGING</v>
      </c>
      <c r="D237" s="6" t="str">
        <f>IFERROR(__xludf.DUMMYFUNCTION("""COMPUTED_VALUE"""),"RT-DETR-R18")</f>
        <v>RT-DETR-R18</v>
      </c>
      <c r="E237" s="6" t="str">
        <f>IFERROR(__xludf.DUMMYFUNCTION("""COMPUTED_VALUE"""),"Scale Variation")</f>
        <v>Scale Variation</v>
      </c>
    </row>
    <row r="238" ht="15.75" customHeight="1">
      <c r="A238" s="5" t="str">
        <f>IFERROR(__xludf.DUMMYFUNCTION("""COMPUTED_VALUE"""),"SCOPUS-000180")</f>
        <v>SCOPUS-000180</v>
      </c>
      <c r="B238" s="5" t="str">
        <f>IFERROR(__xludf.DUMMYFUNCTION("""COMPUTED_VALUE"""),"SCOPUS-000180-3")</f>
        <v>SCOPUS-000180-3</v>
      </c>
      <c r="C238" s="5" t="str">
        <f>IFERROR(__xludf.DUMMYFUNCTION("""COMPUTED_VALUE"""),"IMAGING")</f>
        <v>IMAGING</v>
      </c>
      <c r="D238" s="6" t="str">
        <f>IFERROR(__xludf.DUMMYFUNCTION("""COMPUTED_VALUE"""),"RT-DETR-R18")</f>
        <v>RT-DETR-R18</v>
      </c>
      <c r="E238" s="6" t="str">
        <f>IFERROR(__xludf.DUMMYFUNCTION("""COMPUTED_VALUE"""),"Visual Similarity")</f>
        <v>Visual Similarity</v>
      </c>
    </row>
    <row r="239" ht="15.75" customHeight="1">
      <c r="A239" s="5" t="str">
        <f>IFERROR(__xludf.DUMMYFUNCTION("""COMPUTED_VALUE"""),"SCOPUS-000180")</f>
        <v>SCOPUS-000180</v>
      </c>
      <c r="B239" s="5" t="str">
        <f>IFERROR(__xludf.DUMMYFUNCTION("""COMPUTED_VALUE"""),"SCOPUS-000180-4")</f>
        <v>SCOPUS-000180-4</v>
      </c>
      <c r="C239" s="5" t="str">
        <f>IFERROR(__xludf.DUMMYFUNCTION("""COMPUTED_VALUE"""),"TECHNICAL")</f>
        <v>TECHNICAL</v>
      </c>
      <c r="D239" s="6" t="str">
        <f>IFERROR(__xludf.DUMMYFUNCTION("""COMPUTED_VALUE"""),"Faster-R-CNN")</f>
        <v>Faster-R-CNN</v>
      </c>
      <c r="E239" s="6" t="str">
        <f>IFERROR(__xludf.DUMMYFUNCTION("""COMPUTED_VALUE"""),"Computational Resource")</f>
        <v>Computational Resource</v>
      </c>
    </row>
    <row r="240" ht="15.75" customHeight="1">
      <c r="A240" s="5" t="str">
        <f>IFERROR(__xludf.DUMMYFUNCTION("""COMPUTED_VALUE"""),"SCOPUS-000065")</f>
        <v>SCOPUS-000065</v>
      </c>
      <c r="B240" s="5" t="str">
        <f>IFERROR(__xludf.DUMMYFUNCTION("""COMPUTED_VALUE"""),"SCOPUS-000065-1")</f>
        <v>SCOPUS-000065-1</v>
      </c>
      <c r="C240" s="5" t="str">
        <f>IFERROR(__xludf.DUMMYFUNCTION("""COMPUTED_VALUE"""),"DATA")</f>
        <v>DATA</v>
      </c>
      <c r="D240" s="6" t="str">
        <f>IFERROR(__xludf.DUMMYFUNCTION("""COMPUTED_VALUE"""),"DeepLabV3+")</f>
        <v>DeepLabV3+</v>
      </c>
      <c r="E240" s="6" t="str">
        <f>IFERROR(__xludf.DUMMYFUNCTION("""COMPUTED_VALUE"""),"Class Imbalance")</f>
        <v>Class Imbalance</v>
      </c>
    </row>
    <row r="241" ht="15.75" customHeight="1">
      <c r="A241" s="5" t="str">
        <f>IFERROR(__xludf.DUMMYFUNCTION("""COMPUTED_VALUE"""),"SCOPUS-000030")</f>
        <v>SCOPUS-000030</v>
      </c>
      <c r="B241" s="5" t="str">
        <f>IFERROR(__xludf.DUMMYFUNCTION("""COMPUTED_VALUE"""),"SCOPUS-000030-1")</f>
        <v>SCOPUS-000030-1</v>
      </c>
      <c r="C241" s="5" t="str">
        <f>IFERROR(__xludf.DUMMYFUNCTION("""COMPUTED_VALUE"""),"DATA")</f>
        <v>DATA</v>
      </c>
      <c r="D241" s="6" t="str">
        <f>IFERROR(__xludf.DUMMYFUNCTION("""COMPUTED_VALUE"""),"YOLOv8")</f>
        <v>YOLOv8</v>
      </c>
      <c r="E241" s="6" t="str">
        <f>IFERROR(__xludf.DUMMYFUNCTION("""COMPUTED_VALUE"""),"Data Scarcity")</f>
        <v>Data Scarcity</v>
      </c>
    </row>
    <row r="242" ht="15.75" customHeight="1">
      <c r="A242" s="5" t="str">
        <f>IFERROR(__xludf.DUMMYFUNCTION("""COMPUTED_VALUE"""),"SCOPUS-000030")</f>
        <v>SCOPUS-000030</v>
      </c>
      <c r="B242" s="5" t="str">
        <f>IFERROR(__xludf.DUMMYFUNCTION("""COMPUTED_VALUE"""),"SCOPUS-000030-2")</f>
        <v>SCOPUS-000030-2</v>
      </c>
      <c r="C242" s="5" t="str">
        <f>IFERROR(__xludf.DUMMYFUNCTION("""COMPUTED_VALUE"""),"DATA")</f>
        <v>DATA</v>
      </c>
      <c r="D242" s="6" t="str">
        <f>IFERROR(__xludf.DUMMYFUNCTION("""COMPUTED_VALUE"""),"YOLOv5")</f>
        <v>YOLOv5</v>
      </c>
      <c r="E242" s="6" t="str">
        <f>IFERROR(__xludf.DUMMYFUNCTION("""COMPUTED_VALUE"""),"Annotation")</f>
        <v>Annotation</v>
      </c>
    </row>
    <row r="243" ht="15.75" customHeight="1">
      <c r="A243" s="5" t="str">
        <f>IFERROR(__xludf.DUMMYFUNCTION("""COMPUTED_VALUE"""),"WEBSCI-000402")</f>
        <v>WEBSCI-000402</v>
      </c>
      <c r="B243" s="5" t="str">
        <f>IFERROR(__xludf.DUMMYFUNCTION("""COMPUTED_VALUE"""),"WEBSCI-000402-1")</f>
        <v>WEBSCI-000402-1</v>
      </c>
      <c r="C243" s="5" t="str">
        <f>IFERROR(__xludf.DUMMYFUNCTION("""COMPUTED_VALUE"""),"IMAGING")</f>
        <v>IMAGING</v>
      </c>
      <c r="D243" s="6" t="str">
        <f>IFERROR(__xludf.DUMMYFUNCTION("""COMPUTED_VALUE"""),"VGG-16")</f>
        <v>VGG-16</v>
      </c>
      <c r="E243" s="6" t="str">
        <f>IFERROR(__xludf.DUMMYFUNCTION("""COMPUTED_VALUE"""),"Visual Similarity")</f>
        <v>Visual Similarity</v>
      </c>
    </row>
    <row r="244" ht="15.75" customHeight="1">
      <c r="A244" s="5" t="str">
        <f>IFERROR(__xludf.DUMMYFUNCTION("""COMPUTED_VALUE"""),"WEBSCI-000402")</f>
        <v>WEBSCI-000402</v>
      </c>
      <c r="B244" s="5" t="str">
        <f>IFERROR(__xludf.DUMMYFUNCTION("""COMPUTED_VALUE"""),"WEBSCI-000402-2")</f>
        <v>WEBSCI-000402-2</v>
      </c>
      <c r="C244" s="5" t="str">
        <f>IFERROR(__xludf.DUMMYFUNCTION("""COMPUTED_VALUE"""),"DATA")</f>
        <v>DATA</v>
      </c>
      <c r="D244" s="6" t="str">
        <f>IFERROR(__xludf.DUMMYFUNCTION("""COMPUTED_VALUE"""),"VGG-16")</f>
        <v>VGG-16</v>
      </c>
      <c r="E244" s="6" t="str">
        <f>IFERROR(__xludf.DUMMYFUNCTION("""COMPUTED_VALUE"""),"Class Imbalance")</f>
        <v>Class Imbalance</v>
      </c>
    </row>
    <row r="245" ht="15.75" customHeight="1">
      <c r="A245" s="5" t="str">
        <f>IFERROR(__xludf.DUMMYFUNCTION("""COMPUTED_VALUE"""),"SCOPUS-000312")</f>
        <v>SCOPUS-000312</v>
      </c>
      <c r="B245" s="5" t="str">
        <f>IFERROR(__xludf.DUMMYFUNCTION("""COMPUTED_VALUE"""),"SCOPUS-000312-1")</f>
        <v>SCOPUS-000312-1</v>
      </c>
      <c r="C245" s="5" t="str">
        <f>IFERROR(__xludf.DUMMYFUNCTION("""COMPUTED_VALUE"""),"DATA")</f>
        <v>DATA</v>
      </c>
      <c r="D245" s="6" t="str">
        <f>IFERROR(__xludf.DUMMYFUNCTION("""COMPUTED_VALUE"""),"Faster R-CNN")</f>
        <v>Faster R-CNN</v>
      </c>
      <c r="E245" s="6" t="str">
        <f>IFERROR(__xludf.DUMMYFUNCTION("""COMPUTED_VALUE"""),"Data Scarcity")</f>
        <v>Data Scarcity</v>
      </c>
    </row>
    <row r="246" ht="15.75" customHeight="1">
      <c r="A246" s="5" t="str">
        <f>IFERROR(__xludf.DUMMYFUNCTION("""COMPUTED_VALUE"""),"SCOPUS-000300")</f>
        <v>SCOPUS-000300</v>
      </c>
      <c r="B246" s="5" t="str">
        <f>IFERROR(__xludf.DUMMYFUNCTION("""COMPUTED_VALUE"""),"SCOPUS-000300-1")</f>
        <v>SCOPUS-000300-1</v>
      </c>
      <c r="C246" s="5" t="str">
        <f>IFERROR(__xludf.DUMMYFUNCTION("""COMPUTED_VALUE"""),"IMAGING")</f>
        <v>IMAGING</v>
      </c>
      <c r="D246" s="6" t="str">
        <f>IFERROR(__xludf.DUMMYFUNCTION("""COMPUTED_VALUE"""),"YOLOX-S")</f>
        <v>YOLOX-S</v>
      </c>
      <c r="E246" s="6" t="str">
        <f>IFERROR(__xludf.DUMMYFUNCTION("""COMPUTED_VALUE"""),"Small Object Detection")</f>
        <v>Small Object Detection</v>
      </c>
    </row>
    <row r="247" ht="15.75" customHeight="1">
      <c r="A247" s="5" t="str">
        <f>IFERROR(__xludf.DUMMYFUNCTION("""COMPUTED_VALUE"""),"SCOPUS-000099")</f>
        <v>SCOPUS-000099</v>
      </c>
      <c r="B247" s="5" t="str">
        <f>IFERROR(__xludf.DUMMYFUNCTION("""COMPUTED_VALUE"""),"SCOPUS-000099-1")</f>
        <v>SCOPUS-000099-1</v>
      </c>
      <c r="C247" s="5" t="str">
        <f>IFERROR(__xludf.DUMMYFUNCTION("""COMPUTED_VALUE"""),"ENVIRONMENTAL")</f>
        <v>ENVIRONMENTAL</v>
      </c>
      <c r="D247" s="6" t="str">
        <f>IFERROR(__xludf.DUMMYFUNCTION("""COMPUTED_VALUE"""),"YOLOv5s")</f>
        <v>YOLOv5s</v>
      </c>
      <c r="E247" s="6" t="str">
        <f>IFERROR(__xludf.DUMMYFUNCTION("""COMPUTED_VALUE"""),"Occlusion")</f>
        <v>Occlusion</v>
      </c>
    </row>
    <row r="248" ht="15.75" customHeight="1">
      <c r="A248" s="5" t="str">
        <f>IFERROR(__xludf.DUMMYFUNCTION("""COMPUTED_VALUE"""),"SCOPUS-000287")</f>
        <v>SCOPUS-000287</v>
      </c>
      <c r="B248" s="5" t="str">
        <f>IFERROR(__xludf.DUMMYFUNCTION("""COMPUTED_VALUE"""),"SCOPUS-000287-1")</f>
        <v>SCOPUS-000287-1</v>
      </c>
      <c r="C248" s="5" t="str">
        <f>IFERROR(__xludf.DUMMYFUNCTION("""COMPUTED_VALUE"""),"TECHNICAL")</f>
        <v>TECHNICAL</v>
      </c>
      <c r="D248" s="6" t="str">
        <f>IFERROR(__xludf.DUMMYFUNCTION("""COMPUTED_VALUE"""),"Inception-ResNet-v2")</f>
        <v>Inception-ResNet-v2</v>
      </c>
      <c r="E248" s="6" t="str">
        <f>IFERROR(__xludf.DUMMYFUNCTION("""COMPUTED_VALUE"""),"Computational Resource")</f>
        <v>Computational Resource</v>
      </c>
    </row>
    <row r="249" ht="15.75" customHeight="1">
      <c r="A249" s="5" t="str">
        <f>IFERROR(__xludf.DUMMYFUNCTION("""COMPUTED_VALUE"""),"SCOPUS-000172")</f>
        <v>SCOPUS-000172</v>
      </c>
      <c r="B249" s="5" t="str">
        <f>IFERROR(__xludf.DUMMYFUNCTION("""COMPUTED_VALUE"""),"SCOPUS-000172-1")</f>
        <v>SCOPUS-000172-1</v>
      </c>
      <c r="C249" s="5" t="str">
        <f>IFERROR(__xludf.DUMMYFUNCTION("""COMPUTED_VALUE"""),"ENVIRONMENTAL")</f>
        <v>ENVIRONMENTAL</v>
      </c>
      <c r="D249" s="6" t="str">
        <f>IFERROR(__xludf.DUMMYFUNCTION("""COMPUTED_VALUE"""),"YOLOv10")</f>
        <v>YOLOv10</v>
      </c>
      <c r="E249" s="6" t="str">
        <f>IFERROR(__xludf.DUMMYFUNCTION("""COMPUTED_VALUE"""),"Occlusion")</f>
        <v>Occlusion</v>
      </c>
    </row>
    <row r="250" ht="15.75" customHeight="1">
      <c r="A250" s="5" t="str">
        <f>IFERROR(__xludf.DUMMYFUNCTION("""COMPUTED_VALUE"""),"SCOPUS-000172")</f>
        <v>SCOPUS-000172</v>
      </c>
      <c r="B250" s="5" t="str">
        <f>IFERROR(__xludf.DUMMYFUNCTION("""COMPUTED_VALUE"""),"SCOPUS-000172-2")</f>
        <v>SCOPUS-000172-2</v>
      </c>
      <c r="C250" s="5" t="str">
        <f>IFERROR(__xludf.DUMMYFUNCTION("""COMPUTED_VALUE"""),"ENVIRONMENTAL")</f>
        <v>ENVIRONMENTAL</v>
      </c>
      <c r="D250" s="6" t="str">
        <f>IFERROR(__xludf.DUMMYFUNCTION("""COMPUTED_VALUE"""),"YOLOv10")</f>
        <v>YOLOv10</v>
      </c>
      <c r="E250" s="6" t="str">
        <f>IFERROR(__xludf.DUMMYFUNCTION("""COMPUTED_VALUE"""),"Environmental Variation")</f>
        <v>Environmental Variation</v>
      </c>
    </row>
    <row r="251" ht="15.75" customHeight="1">
      <c r="A251" s="5" t="str">
        <f>IFERROR(__xludf.DUMMYFUNCTION("""COMPUTED_VALUE"""),"SCOPUS-000290")</f>
        <v>SCOPUS-000290</v>
      </c>
      <c r="B251" s="5" t="str">
        <f>IFERROR(__xludf.DUMMYFUNCTION("""COMPUTED_VALUE"""),"SCOPUS-000290-1")</f>
        <v>SCOPUS-000290-1</v>
      </c>
      <c r="C251" s="5" t="str">
        <f>IFERROR(__xludf.DUMMYFUNCTION("""COMPUTED_VALUE"""),"TECHNICAL")</f>
        <v>TECHNICAL</v>
      </c>
      <c r="D251" s="6" t="str">
        <f>IFERROR(__xludf.DUMMYFUNCTION("""COMPUTED_VALUE"""),"Faster R-CNN")</f>
        <v>Faster R-CNN</v>
      </c>
      <c r="E251" s="6" t="str">
        <f>IFERROR(__xludf.DUMMYFUNCTION("""COMPUTED_VALUE"""),"Computational Resource")</f>
        <v>Computational Resource</v>
      </c>
    </row>
    <row r="252" ht="15.75" customHeight="1">
      <c r="A252" s="5" t="str">
        <f>IFERROR(__xludf.DUMMYFUNCTION("""COMPUTED_VALUE"""),"SCOPUS-000290")</f>
        <v>SCOPUS-000290</v>
      </c>
      <c r="B252" s="5" t="str">
        <f>IFERROR(__xludf.DUMMYFUNCTION("""COMPUTED_VALUE"""),"SCOPUS-000290-2")</f>
        <v>SCOPUS-000290-2</v>
      </c>
      <c r="C252" s="5" t="str">
        <f>IFERROR(__xludf.DUMMYFUNCTION("""COMPUTED_VALUE"""),"IMAGING")</f>
        <v>IMAGING</v>
      </c>
      <c r="D252" s="6" t="str">
        <f>IFERROR(__xludf.DUMMYFUNCTION("""COMPUTED_VALUE"""),"Faster R-CNN")</f>
        <v>Faster R-CNN</v>
      </c>
      <c r="E252" s="6" t="str">
        <f>IFERROR(__xludf.DUMMYFUNCTION("""COMPUTED_VALUE"""),"Small Object Detection")</f>
        <v>Small Object Detection</v>
      </c>
    </row>
    <row r="253" ht="15.75" customHeight="1">
      <c r="A253" s="5" t="str">
        <f>IFERROR(__xludf.DUMMYFUNCTION("""COMPUTED_VALUE"""),"SCOPUS-000274")</f>
        <v>SCOPUS-000274</v>
      </c>
      <c r="B253" s="5" t="str">
        <f>IFERROR(__xludf.DUMMYFUNCTION("""COMPUTED_VALUE"""),"SCOPUS-000274-1")</f>
        <v>SCOPUS-000274-1</v>
      </c>
      <c r="C253" s="5" t="str">
        <f>IFERROR(__xludf.DUMMYFUNCTION("""COMPUTED_VALUE"""),"TECHNICAL")</f>
        <v>TECHNICAL</v>
      </c>
      <c r="D253" s="6" t="str">
        <f>IFERROR(__xludf.DUMMYFUNCTION("""COMPUTED_VALUE"""),"SqueezeNet")</f>
        <v>SqueezeNet</v>
      </c>
      <c r="E253" s="6" t="str">
        <f>IFERROR(__xludf.DUMMYFUNCTION("""COMPUTED_VALUE"""),"Computational Resource")</f>
        <v>Computational Resource</v>
      </c>
    </row>
    <row r="254" ht="15.75" customHeight="1">
      <c r="A254" s="5" t="str">
        <f>IFERROR(__xludf.DUMMYFUNCTION("""COMPUTED_VALUE"""),"SCOPUS-000274")</f>
        <v>SCOPUS-000274</v>
      </c>
      <c r="B254" s="5" t="str">
        <f>IFERROR(__xludf.DUMMYFUNCTION("""COMPUTED_VALUE"""),"SCOPUS-000274-2")</f>
        <v>SCOPUS-000274-2</v>
      </c>
      <c r="C254" s="5" t="str">
        <f>IFERROR(__xludf.DUMMYFUNCTION("""COMPUTED_VALUE"""),"ENVIRONMENTAL")</f>
        <v>ENVIRONMENTAL</v>
      </c>
      <c r="D254" s="6" t="str">
        <f>IFERROR(__xludf.DUMMYFUNCTION("""COMPUTED_VALUE"""),"SqueezeNet")</f>
        <v>SqueezeNet</v>
      </c>
      <c r="E254" s="6" t="str">
        <f>IFERROR(__xludf.DUMMYFUNCTION("""COMPUTED_VALUE"""),"Background Complexity")</f>
        <v>Background Complexity</v>
      </c>
    </row>
    <row r="255" ht="15.75" customHeight="1">
      <c r="A255" s="5" t="str">
        <f>IFERROR(__xludf.DUMMYFUNCTION("""COMPUTED_VALUE"""),"SCOPUS-000084")</f>
        <v>SCOPUS-000084</v>
      </c>
      <c r="B255" s="5" t="str">
        <f>IFERROR(__xludf.DUMMYFUNCTION("""COMPUTED_VALUE"""),"SCOPUS-000084-1")</f>
        <v>SCOPUS-000084-1</v>
      </c>
      <c r="C255" s="5" t="str">
        <f>IFERROR(__xludf.DUMMYFUNCTION("""COMPUTED_VALUE"""),"ENVIRONMENTAL")</f>
        <v>ENVIRONMENTAL</v>
      </c>
      <c r="D255" s="6" t="str">
        <f>IFERROR(__xludf.DUMMYFUNCTION("""COMPUTED_VALUE"""),"Faster R-CNN")</f>
        <v>Faster R-CNN</v>
      </c>
      <c r="E255" s="6" t="str">
        <f>IFERROR(__xludf.DUMMYFUNCTION("""COMPUTED_VALUE"""),"Background Complexity")</f>
        <v>Background Complexity</v>
      </c>
    </row>
    <row r="256" ht="15.75" customHeight="1">
      <c r="A256" s="5" t="str">
        <f>IFERROR(__xludf.DUMMYFUNCTION("""COMPUTED_VALUE"""),"SCOPUS-000131")</f>
        <v>SCOPUS-000131</v>
      </c>
      <c r="B256" s="5" t="str">
        <f>IFERROR(__xludf.DUMMYFUNCTION("""COMPUTED_VALUE"""),"SCOPUS-000131-1")</f>
        <v>SCOPUS-000131-1</v>
      </c>
      <c r="C256" s="5" t="str">
        <f>IFERROR(__xludf.DUMMYFUNCTION("""COMPUTED_VALUE"""),"TECHNICAL")</f>
        <v>TECHNICAL</v>
      </c>
      <c r="D256" s="6" t="str">
        <f>IFERROR(__xludf.DUMMYFUNCTION("""COMPUTED_VALUE"""),"YOLOv8n")</f>
        <v>YOLOv8n</v>
      </c>
      <c r="E256" s="6" t="str">
        <f>IFERROR(__xludf.DUMMYFUNCTION("""COMPUTED_VALUE"""),"Computational Resource")</f>
        <v>Computational Resource</v>
      </c>
    </row>
    <row r="257" ht="15.75" customHeight="1">
      <c r="A257" s="5" t="str">
        <f>IFERROR(__xludf.DUMMYFUNCTION("""COMPUTED_VALUE"""),"SCOPUS-000131")</f>
        <v>SCOPUS-000131</v>
      </c>
      <c r="B257" s="5" t="str">
        <f>IFERROR(__xludf.DUMMYFUNCTION("""COMPUTED_VALUE"""),"SCOPUS-000131-2")</f>
        <v>SCOPUS-000131-2</v>
      </c>
      <c r="C257" s="5" t="str">
        <f>IFERROR(__xludf.DUMMYFUNCTION("""COMPUTED_VALUE"""),"IMAGING")</f>
        <v>IMAGING</v>
      </c>
      <c r="D257" s="6" t="str">
        <f>IFERROR(__xludf.DUMMYFUNCTION("""COMPUTED_VALUE"""),"YOLOv8n")</f>
        <v>YOLOv8n</v>
      </c>
      <c r="E257" s="6" t="str">
        <f>IFERROR(__xludf.DUMMYFUNCTION("""COMPUTED_VALUE"""),"Scale Variation")</f>
        <v>Scale Variation</v>
      </c>
    </row>
    <row r="258" ht="15.75" customHeight="1">
      <c r="A258" s="5" t="str">
        <f>IFERROR(__xludf.DUMMYFUNCTION("""COMPUTED_VALUE"""),"SCOPUS-000131")</f>
        <v>SCOPUS-000131</v>
      </c>
      <c r="B258" s="5" t="str">
        <f>IFERROR(__xludf.DUMMYFUNCTION("""COMPUTED_VALUE"""),"SCOPUS-000131-3")</f>
        <v>SCOPUS-000131-3</v>
      </c>
      <c r="C258" s="5" t="str">
        <f>IFERROR(__xludf.DUMMYFUNCTION("""COMPUTED_VALUE"""),"ENVIRONMENTAL")</f>
        <v>ENVIRONMENTAL</v>
      </c>
      <c r="D258" s="6" t="str">
        <f>IFERROR(__xludf.DUMMYFUNCTION("""COMPUTED_VALUE"""),"YOLOv8n")</f>
        <v>YOLOv8n</v>
      </c>
      <c r="E258" s="6" t="str">
        <f>IFERROR(__xludf.DUMMYFUNCTION("""COMPUTED_VALUE"""),"Occlusion")</f>
        <v>Occlusion</v>
      </c>
    </row>
    <row r="259" ht="15.75" customHeight="1">
      <c r="A259" s="5" t="str">
        <f>IFERROR(__xludf.DUMMYFUNCTION("""COMPUTED_VALUE"""),"SCOPUS-000001")</f>
        <v>SCOPUS-000001</v>
      </c>
      <c r="B259" s="5" t="str">
        <f>IFERROR(__xludf.DUMMYFUNCTION("""COMPUTED_VALUE"""),"SCOPUS-000001-1")</f>
        <v>SCOPUS-000001-1</v>
      </c>
      <c r="C259" s="5" t="str">
        <f>IFERROR(__xludf.DUMMYFUNCTION("""COMPUTED_VALUE"""),"ENVIRONMENTAL")</f>
        <v>ENVIRONMENTAL</v>
      </c>
      <c r="D259" s="6" t="str">
        <f>IFERROR(__xludf.DUMMYFUNCTION("""COMPUTED_VALUE"""),"Faster R-CNN")</f>
        <v>Faster R-CNN</v>
      </c>
      <c r="E259" s="6" t="str">
        <f>IFERROR(__xludf.DUMMYFUNCTION("""COMPUTED_VALUE"""),"Environmental Variation")</f>
        <v>Environmental Variation</v>
      </c>
    </row>
    <row r="260" ht="15.75" customHeight="1">
      <c r="A260" s="5" t="str">
        <f>IFERROR(__xludf.DUMMYFUNCTION("""COMPUTED_VALUE"""),"SCOPUS-000001")</f>
        <v>SCOPUS-000001</v>
      </c>
      <c r="B260" s="5" t="str">
        <f>IFERROR(__xludf.DUMMYFUNCTION("""COMPUTED_VALUE"""),"SCOPUS-000001-2")</f>
        <v>SCOPUS-000001-2</v>
      </c>
      <c r="C260" s="5" t="str">
        <f>IFERROR(__xludf.DUMMYFUNCTION("""COMPUTED_VALUE"""),"IMAGING")</f>
        <v>IMAGING</v>
      </c>
      <c r="D260" s="6" t="str">
        <f>IFERROR(__xludf.DUMMYFUNCTION("""COMPUTED_VALUE"""),"Faster R-CNN")</f>
        <v>Faster R-CNN</v>
      </c>
      <c r="E260" s="6" t="str">
        <f>IFERROR(__xludf.DUMMYFUNCTION("""COMPUTED_VALUE"""),"Visual Similarity")</f>
        <v>Visual Similarity</v>
      </c>
    </row>
    <row r="261" ht="15.75" customHeight="1">
      <c r="A261" s="5" t="str">
        <f>IFERROR(__xludf.DUMMYFUNCTION("""COMPUTED_VALUE"""),"SCOPUS-000001")</f>
        <v>SCOPUS-000001</v>
      </c>
      <c r="B261" s="5" t="str">
        <f>IFERROR(__xludf.DUMMYFUNCTION("""COMPUTED_VALUE"""),"SCOPUS-000001-3")</f>
        <v>SCOPUS-000001-3</v>
      </c>
      <c r="C261" s="5" t="str">
        <f>IFERROR(__xludf.DUMMYFUNCTION("""COMPUTED_VALUE"""),"ENVIRONMENTAL")</f>
        <v>ENVIRONMENTAL</v>
      </c>
      <c r="D261" s="6" t="str">
        <f>IFERROR(__xludf.DUMMYFUNCTION("""COMPUTED_VALUE"""),"Faster R-CNN")</f>
        <v>Faster R-CNN</v>
      </c>
      <c r="E261" s="6" t="str">
        <f>IFERROR(__xludf.DUMMYFUNCTION("""COMPUTED_VALUE"""),"Morphological Variation")</f>
        <v>Morphological Variation</v>
      </c>
    </row>
    <row r="262" ht="15.75" customHeight="1">
      <c r="A262" s="5" t="str">
        <f>IFERROR(__xludf.DUMMYFUNCTION("""COMPUTED_VALUE"""),"SCOPUS-000001")</f>
        <v>SCOPUS-000001</v>
      </c>
      <c r="B262" s="5" t="str">
        <f>IFERROR(__xludf.DUMMYFUNCTION("""COMPUTED_VALUE"""),"SCOPUS-000001-4")</f>
        <v>SCOPUS-000001-4</v>
      </c>
      <c r="C262" s="5" t="str">
        <f>IFERROR(__xludf.DUMMYFUNCTION("""COMPUTED_VALUE"""),"DATA")</f>
        <v>DATA</v>
      </c>
      <c r="D262" s="6" t="str">
        <f>IFERROR(__xludf.DUMMYFUNCTION("""COMPUTED_VALUE"""),"YOLOv9")</f>
        <v>YOLOv9</v>
      </c>
      <c r="E262" s="6" t="str">
        <f>IFERROR(__xludf.DUMMYFUNCTION("""COMPUTED_VALUE"""),"Data Scarcity")</f>
        <v>Data Scarcity</v>
      </c>
    </row>
    <row r="263" ht="15.75" customHeight="1">
      <c r="A263" s="5" t="str">
        <f>IFERROR(__xludf.DUMMYFUNCTION("""COMPUTED_VALUE"""),"SCOPUS-000001")</f>
        <v>SCOPUS-000001</v>
      </c>
      <c r="B263" s="5" t="str">
        <f>IFERROR(__xludf.DUMMYFUNCTION("""COMPUTED_VALUE"""),"SCOPUS-000001-5")</f>
        <v>SCOPUS-000001-5</v>
      </c>
      <c r="C263" s="5" t="str">
        <f>IFERROR(__xludf.DUMMYFUNCTION("""COMPUTED_VALUE"""),"TECHNICAL")</f>
        <v>TECHNICAL</v>
      </c>
      <c r="D263" s="6" t="str">
        <f>IFERROR(__xludf.DUMMYFUNCTION("""COMPUTED_VALUE"""),"Faster R-CNN")</f>
        <v>Faster R-CNN</v>
      </c>
      <c r="E263" s="6" t="str">
        <f>IFERROR(__xludf.DUMMYFUNCTION("""COMPUTED_VALUE"""),"Inference Efficiency")</f>
        <v>Inference Efficiency</v>
      </c>
    </row>
    <row r="264" ht="15.75" customHeight="1">
      <c r="A264" s="5" t="str">
        <f>IFERROR(__xludf.DUMMYFUNCTION("""COMPUTED_VALUE"""),"SCOPUS-000012")</f>
        <v>SCOPUS-000012</v>
      </c>
      <c r="B264" s="5" t="str">
        <f>IFERROR(__xludf.DUMMYFUNCTION("""COMPUTED_VALUE"""),"SCOPUS-000012-1")</f>
        <v>SCOPUS-000012-1</v>
      </c>
      <c r="C264" s="5" t="str">
        <f>IFERROR(__xludf.DUMMYFUNCTION("""COMPUTED_VALUE"""),"IMAGING")</f>
        <v>IMAGING</v>
      </c>
      <c r="D264" s="6" t="str">
        <f>IFERROR(__xludf.DUMMYFUNCTION("""COMPUTED_VALUE"""),"DenseNet")</f>
        <v>DenseNet</v>
      </c>
      <c r="E264" s="6" t="str">
        <f>IFERROR(__xludf.DUMMYFUNCTION("""COMPUTED_VALUE"""),"Visual Similarity")</f>
        <v>Visual Similarity</v>
      </c>
    </row>
    <row r="265" ht="15.75" customHeight="1">
      <c r="A265" s="5" t="str">
        <f>IFERROR(__xludf.DUMMYFUNCTION("""COMPUTED_VALUE"""),"SCOPUS-000012")</f>
        <v>SCOPUS-000012</v>
      </c>
      <c r="B265" s="5" t="str">
        <f>IFERROR(__xludf.DUMMYFUNCTION("""COMPUTED_VALUE"""),"SCOPUS-000012-2")</f>
        <v>SCOPUS-000012-2</v>
      </c>
      <c r="C265" s="5" t="str">
        <f>IFERROR(__xludf.DUMMYFUNCTION("""COMPUTED_VALUE"""),"DATA")</f>
        <v>DATA</v>
      </c>
      <c r="D265" s="6" t="str">
        <f>IFERROR(__xludf.DUMMYFUNCTION("""COMPUTED_VALUE"""),"DenseNet")</f>
        <v>DenseNet</v>
      </c>
      <c r="E265" s="6" t="str">
        <f>IFERROR(__xludf.DUMMYFUNCTION("""COMPUTED_VALUE"""),"Data Scarcity")</f>
        <v>Data Scarcity</v>
      </c>
    </row>
    <row r="266" ht="15.75" customHeight="1">
      <c r="A266" s="5" t="str">
        <f>IFERROR(__xludf.DUMMYFUNCTION("""COMPUTED_VALUE"""),"SCOPUS-000012")</f>
        <v>SCOPUS-000012</v>
      </c>
      <c r="B266" s="5" t="str">
        <f>IFERROR(__xludf.DUMMYFUNCTION("""COMPUTED_VALUE"""),"SCOPUS-000012-3")</f>
        <v>SCOPUS-000012-3</v>
      </c>
      <c r="C266" s="5" t="str">
        <f>IFERROR(__xludf.DUMMYFUNCTION("""COMPUTED_VALUE"""),"DATA")</f>
        <v>DATA</v>
      </c>
      <c r="D266" s="6" t="str">
        <f>IFERROR(__xludf.DUMMYFUNCTION("""COMPUTED_VALUE"""),"DenseNet")</f>
        <v>DenseNet</v>
      </c>
      <c r="E266" s="6" t="str">
        <f>IFERROR(__xludf.DUMMYFUNCTION("""COMPUTED_VALUE"""),"Class Imbalance")</f>
        <v>Class Imbalance</v>
      </c>
    </row>
    <row r="267" ht="15.75" customHeight="1">
      <c r="A267" s="5" t="str">
        <f>IFERROR(__xludf.DUMMYFUNCTION("""COMPUTED_VALUE"""),"SCOPUS-000012")</f>
        <v>SCOPUS-000012</v>
      </c>
      <c r="B267" s="5" t="str">
        <f>IFERROR(__xludf.DUMMYFUNCTION("""COMPUTED_VALUE"""),"SCOPUS-000012-4")</f>
        <v>SCOPUS-000012-4</v>
      </c>
      <c r="C267" s="5" t="str">
        <f>IFERROR(__xludf.DUMMYFUNCTION("""COMPUTED_VALUE"""),"ENVIRONMENTAL")</f>
        <v>ENVIRONMENTAL</v>
      </c>
      <c r="D267" s="6" t="str">
        <f>IFERROR(__xludf.DUMMYFUNCTION("""COMPUTED_VALUE"""),"DenseNet")</f>
        <v>DenseNet</v>
      </c>
      <c r="E267" s="6" t="str">
        <f>IFERROR(__xludf.DUMMYFUNCTION("""COMPUTED_VALUE"""),"Morphological Variation")</f>
        <v>Morphological Variation</v>
      </c>
    </row>
    <row r="268" ht="15.75" customHeight="1">
      <c r="A268" s="5" t="str">
        <f>IFERROR(__xludf.DUMMYFUNCTION("""COMPUTED_VALUE"""),"SCOPUS-000027")</f>
        <v>SCOPUS-000027</v>
      </c>
      <c r="B268" s="5" t="str">
        <f>IFERROR(__xludf.DUMMYFUNCTION("""COMPUTED_VALUE"""),"SCOPUS-000027-1")</f>
        <v>SCOPUS-000027-1</v>
      </c>
      <c r="C268" s="5" t="str">
        <f>IFERROR(__xludf.DUMMYFUNCTION("""COMPUTED_VALUE"""),"DATA")</f>
        <v>DATA</v>
      </c>
      <c r="D268" s="6" t="str">
        <f>IFERROR(__xludf.DUMMYFUNCTION("""COMPUTED_VALUE"""),"ChatGPT-4o")</f>
        <v>ChatGPT-4o</v>
      </c>
      <c r="E268" s="6" t="str">
        <f>IFERROR(__xludf.DUMMYFUNCTION("""COMPUTED_VALUE"""),"Annotation")</f>
        <v>Annotation</v>
      </c>
    </row>
    <row r="269" ht="15.75" customHeight="1">
      <c r="A269" s="5" t="str">
        <f>IFERROR(__xludf.DUMMYFUNCTION("""COMPUTED_VALUE"""),"SCOPUS-000027")</f>
        <v>SCOPUS-000027</v>
      </c>
      <c r="B269" s="5" t="str">
        <f>IFERROR(__xludf.DUMMYFUNCTION("""COMPUTED_VALUE"""),"SCOPUS-000027-2")</f>
        <v>SCOPUS-000027-2</v>
      </c>
      <c r="C269" s="5" t="str">
        <f>IFERROR(__xludf.DUMMYFUNCTION("""COMPUTED_VALUE"""),"DATA")</f>
        <v>DATA</v>
      </c>
      <c r="D269" s="6" t="str">
        <f>IFERROR(__xludf.DUMMYFUNCTION("""COMPUTED_VALUE"""),"ChatGPT-4o")</f>
        <v>ChatGPT-4o</v>
      </c>
      <c r="E269" s="6" t="str">
        <f>IFERROR(__xludf.DUMMYFUNCTION("""COMPUTED_VALUE"""),"Data Scarcity")</f>
        <v>Data Scarcity</v>
      </c>
    </row>
    <row r="270" ht="15.75" customHeight="1">
      <c r="A270" s="5" t="str">
        <f>IFERROR(__xludf.DUMMYFUNCTION("""COMPUTED_VALUE"""),"SCOPUS-000027")</f>
        <v>SCOPUS-000027</v>
      </c>
      <c r="B270" s="5" t="str">
        <f>IFERROR(__xludf.DUMMYFUNCTION("""COMPUTED_VALUE"""),"SCOPUS-000027-3")</f>
        <v>SCOPUS-000027-3</v>
      </c>
      <c r="C270" s="5" t="str">
        <f>IFERROR(__xludf.DUMMYFUNCTION("""COMPUTED_VALUE"""),"DATA")</f>
        <v>DATA</v>
      </c>
      <c r="D270" s="6" t="str">
        <f>IFERROR(__xludf.DUMMYFUNCTION("""COMPUTED_VALUE"""),"ChatGPT-4o")</f>
        <v>ChatGPT-4o</v>
      </c>
      <c r="E270" s="6" t="str">
        <f>IFERROR(__xludf.DUMMYFUNCTION("""COMPUTED_VALUE"""),"Domain Shift")</f>
        <v>Domain Shift</v>
      </c>
    </row>
    <row r="271" ht="15.75" customHeight="1">
      <c r="A271" s="5" t="str">
        <f>IFERROR(__xludf.DUMMYFUNCTION("""COMPUTED_VALUE"""),"SCOPUS-000027")</f>
        <v>SCOPUS-000027</v>
      </c>
      <c r="B271" s="5" t="str">
        <f>IFERROR(__xludf.DUMMYFUNCTION("""COMPUTED_VALUE"""),"SCOPUS-000027-4")</f>
        <v>SCOPUS-000027-4</v>
      </c>
      <c r="C271" s="5" t="str">
        <f>IFERROR(__xludf.DUMMYFUNCTION("""COMPUTED_VALUE"""),"TECHNICAL")</f>
        <v>TECHNICAL</v>
      </c>
      <c r="D271" s="6" t="str">
        <f>IFERROR(__xludf.DUMMYFUNCTION("""COMPUTED_VALUE"""),"ChatGPT-4o")</f>
        <v>ChatGPT-4o</v>
      </c>
      <c r="E271" s="6" t="str">
        <f>IFERROR(__xludf.DUMMYFUNCTION("""COMPUTED_VALUE"""),"Model Generalization")</f>
        <v>Model Generalization</v>
      </c>
    </row>
    <row r="272" ht="15.75" customHeight="1">
      <c r="A272" s="5" t="str">
        <f>IFERROR(__xludf.DUMMYFUNCTION("""COMPUTED_VALUE"""),"SCOPUS-000027")</f>
        <v>SCOPUS-000027</v>
      </c>
      <c r="B272" s="5" t="str">
        <f>IFERROR(__xludf.DUMMYFUNCTION("""COMPUTED_VALUE"""),"SCOPUS-000027-5")</f>
        <v>SCOPUS-000027-5</v>
      </c>
      <c r="C272" s="5" t="str">
        <f>IFERROR(__xludf.DUMMYFUNCTION("""COMPUTED_VALUE"""),"IMAGING")</f>
        <v>IMAGING</v>
      </c>
      <c r="D272" s="6" t="str">
        <f>IFERROR(__xludf.DUMMYFUNCTION("""COMPUTED_VALUE"""),"ChatGPT-4o")</f>
        <v>ChatGPT-4o</v>
      </c>
      <c r="E272" s="6" t="str">
        <f>IFERROR(__xludf.DUMMYFUNCTION("""COMPUTED_VALUE"""),"Visual Similarity")</f>
        <v>Visual Similarity</v>
      </c>
    </row>
    <row r="273" ht="15.75" customHeight="1">
      <c r="A273" s="5" t="str">
        <f>IFERROR(__xludf.DUMMYFUNCTION("""COMPUTED_VALUE"""),"SCOPUS-000047")</f>
        <v>SCOPUS-000047</v>
      </c>
      <c r="B273" s="5" t="str">
        <f>IFERROR(__xludf.DUMMYFUNCTION("""COMPUTED_VALUE"""),"SCOPUS-000047-1")</f>
        <v>SCOPUS-000047-1</v>
      </c>
      <c r="C273" s="5" t="str">
        <f>IFERROR(__xludf.DUMMYFUNCTION("""COMPUTED_VALUE"""),"IMAGING")</f>
        <v>IMAGING</v>
      </c>
      <c r="D273" s="6" t="str">
        <f>IFERROR(__xludf.DUMMYFUNCTION("""COMPUTED_VALUE"""),"YOLOv8n")</f>
        <v>YOLOv8n</v>
      </c>
      <c r="E273" s="6" t="str">
        <f>IFERROR(__xludf.DUMMYFUNCTION("""COMPUTED_VALUE"""),"Visual Similarity")</f>
        <v>Visual Similarity</v>
      </c>
    </row>
    <row r="274" ht="15.75" customHeight="1">
      <c r="A274" s="5" t="str">
        <f>IFERROR(__xludf.DUMMYFUNCTION("""COMPUTED_VALUE"""),"SCOPUS-000047")</f>
        <v>SCOPUS-000047</v>
      </c>
      <c r="B274" s="5" t="str">
        <f>IFERROR(__xludf.DUMMYFUNCTION("""COMPUTED_VALUE"""),"SCOPUS-000047-2")</f>
        <v>SCOPUS-000047-2</v>
      </c>
      <c r="C274" s="5" t="str">
        <f>IFERROR(__xludf.DUMMYFUNCTION("""COMPUTED_VALUE"""),"ENVIRONMENTAL")</f>
        <v>ENVIRONMENTAL</v>
      </c>
      <c r="D274" s="6" t="str">
        <f>IFERROR(__xludf.DUMMYFUNCTION("""COMPUTED_VALUE"""),"YOLOv8n")</f>
        <v>YOLOv8n</v>
      </c>
      <c r="E274" s="6" t="str">
        <f>IFERROR(__xludf.DUMMYFUNCTION("""COMPUTED_VALUE"""),"Occlusion")</f>
        <v>Occlusion</v>
      </c>
    </row>
    <row r="275" ht="15.75" customHeight="1">
      <c r="A275" s="5" t="str">
        <f>IFERROR(__xludf.DUMMYFUNCTION("""COMPUTED_VALUE"""),"SCOPUS-000047")</f>
        <v>SCOPUS-000047</v>
      </c>
      <c r="B275" s="5" t="str">
        <f>IFERROR(__xludf.DUMMYFUNCTION("""COMPUTED_VALUE"""),"SCOPUS-000047-3")</f>
        <v>SCOPUS-000047-3</v>
      </c>
      <c r="C275" s="5" t="str">
        <f>IFERROR(__xludf.DUMMYFUNCTION("""COMPUTED_VALUE"""),"IMAGING")</f>
        <v>IMAGING</v>
      </c>
      <c r="D275" s="6" t="str">
        <f>IFERROR(__xludf.DUMMYFUNCTION("""COMPUTED_VALUE"""),"YOLOv8n")</f>
        <v>YOLOv8n</v>
      </c>
      <c r="E275" s="6" t="str">
        <f>IFERROR(__xludf.DUMMYFUNCTION("""COMPUTED_VALUE"""),"Small Object Detection")</f>
        <v>Small Object Detection</v>
      </c>
    </row>
    <row r="276" ht="15.75" customHeight="1">
      <c r="A276" s="5" t="str">
        <f>IFERROR(__xludf.DUMMYFUNCTION("""COMPUTED_VALUE"""),"SCOPUS-000047")</f>
        <v>SCOPUS-000047</v>
      </c>
      <c r="B276" s="5" t="str">
        <f>IFERROR(__xludf.DUMMYFUNCTION("""COMPUTED_VALUE"""),"SCOPUS-000047-4")</f>
        <v>SCOPUS-000047-4</v>
      </c>
      <c r="C276" s="5" t="str">
        <f>IFERROR(__xludf.DUMMYFUNCTION("""COMPUTED_VALUE"""),"TECHNICAL")</f>
        <v>TECHNICAL</v>
      </c>
      <c r="D276" s="6" t="str">
        <f>IFERROR(__xludf.DUMMYFUNCTION("""COMPUTED_VALUE"""),"YOLOv8n")</f>
        <v>YOLOv8n</v>
      </c>
      <c r="E276" s="6" t="str">
        <f>IFERROR(__xludf.DUMMYFUNCTION("""COMPUTED_VALUE"""),"Computational Resource")</f>
        <v>Computational Resource</v>
      </c>
    </row>
    <row r="277" ht="15.75" customHeight="1">
      <c r="A277" s="5" t="str">
        <f>IFERROR(__xludf.DUMMYFUNCTION("""COMPUTED_VALUE"""),"SCOPUS-000047")</f>
        <v>SCOPUS-000047</v>
      </c>
      <c r="B277" s="5" t="str">
        <f>IFERROR(__xludf.DUMMYFUNCTION("""COMPUTED_VALUE"""),"SCOPUS-000047-5")</f>
        <v>SCOPUS-000047-5</v>
      </c>
      <c r="C277" s="5" t="str">
        <f>IFERROR(__xludf.DUMMYFUNCTION("""COMPUTED_VALUE"""),"ENVIRONMENTAL")</f>
        <v>ENVIRONMENTAL</v>
      </c>
      <c r="D277" s="6" t="str">
        <f>IFERROR(__xludf.DUMMYFUNCTION("""COMPUTED_VALUE"""),"YOLOv8n")</f>
        <v>YOLOv8n</v>
      </c>
      <c r="E277" s="6" t="str">
        <f>IFERROR(__xludf.DUMMYFUNCTION("""COMPUTED_VALUE"""),"Background Complexity")</f>
        <v>Background Complexity</v>
      </c>
    </row>
    <row r="278" ht="15.75" customHeight="1">
      <c r="A278" s="5" t="str">
        <f>IFERROR(__xludf.DUMMYFUNCTION("""COMPUTED_VALUE"""),"SCOPUS-000049")</f>
        <v>SCOPUS-000049</v>
      </c>
      <c r="B278" s="5" t="str">
        <f>IFERROR(__xludf.DUMMYFUNCTION("""COMPUTED_VALUE"""),"SCOPUS-000049-1")</f>
        <v>SCOPUS-000049-1</v>
      </c>
      <c r="C278" s="5" t="str">
        <f>IFERROR(__xludf.DUMMYFUNCTION("""COMPUTED_VALUE"""),"DATA")</f>
        <v>DATA</v>
      </c>
      <c r="D278" s="6" t="str">
        <f>IFERROR(__xludf.DUMMYFUNCTION("""COMPUTED_VALUE"""),"CNN baselines")</f>
        <v>CNN baselines</v>
      </c>
      <c r="E278" s="6" t="str">
        <f>IFERROR(__xludf.DUMMYFUNCTION("""COMPUTED_VALUE"""),"Class Imbalance")</f>
        <v>Class Imbalance</v>
      </c>
    </row>
    <row r="279" ht="15.75" customHeight="1">
      <c r="A279" s="5" t="str">
        <f>IFERROR(__xludf.DUMMYFUNCTION("""COMPUTED_VALUE"""),"SCOPUS-000049")</f>
        <v>SCOPUS-000049</v>
      </c>
      <c r="B279" s="5" t="str">
        <f>IFERROR(__xludf.DUMMYFUNCTION("""COMPUTED_VALUE"""),"SCOPUS-000049-2")</f>
        <v>SCOPUS-000049-2</v>
      </c>
      <c r="C279" s="5" t="str">
        <f>IFERROR(__xludf.DUMMYFUNCTION("""COMPUTED_VALUE"""),"ENVIRONMENTAL")</f>
        <v>ENVIRONMENTAL</v>
      </c>
      <c r="D279" s="6" t="str">
        <f>IFERROR(__xludf.DUMMYFUNCTION("""COMPUTED_VALUE"""),"CNN baselines")</f>
        <v>CNN baselines</v>
      </c>
      <c r="E279" s="6" t="str">
        <f>IFERROR(__xludf.DUMMYFUNCTION("""COMPUTED_VALUE"""),"Environmental Variation")</f>
        <v>Environmental Variation</v>
      </c>
    </row>
    <row r="280" ht="15.75" customHeight="1">
      <c r="A280" s="5" t="str">
        <f>IFERROR(__xludf.DUMMYFUNCTION("""COMPUTED_VALUE"""),"SCOPUS-000049")</f>
        <v>SCOPUS-000049</v>
      </c>
      <c r="B280" s="5" t="str">
        <f>IFERROR(__xludf.DUMMYFUNCTION("""COMPUTED_VALUE"""),"SCOPUS-000049-3")</f>
        <v>SCOPUS-000049-3</v>
      </c>
      <c r="C280" s="5" t="str">
        <f>IFERROR(__xludf.DUMMYFUNCTION("""COMPUTED_VALUE"""),"IMAGING")</f>
        <v>IMAGING</v>
      </c>
      <c r="D280" s="6" t="str">
        <f>IFERROR(__xludf.DUMMYFUNCTION("""COMPUTED_VALUE"""),"CNN baselines")</f>
        <v>CNN baselines</v>
      </c>
      <c r="E280" s="6" t="str">
        <f>IFERROR(__xludf.DUMMYFUNCTION("""COMPUTED_VALUE"""),"Visual Similarity")</f>
        <v>Visual Similarity</v>
      </c>
    </row>
    <row r="281" ht="15.75" customHeight="1">
      <c r="A281" s="5" t="str">
        <f>IFERROR(__xludf.DUMMYFUNCTION("""COMPUTED_VALUE"""),"SCOPUS-000049")</f>
        <v>SCOPUS-000049</v>
      </c>
      <c r="B281" s="5" t="str">
        <f>IFERROR(__xludf.DUMMYFUNCTION("""COMPUTED_VALUE"""),"SCOPUS-000049-4")</f>
        <v>SCOPUS-000049-4</v>
      </c>
      <c r="C281" s="5" t="str">
        <f>IFERROR(__xludf.DUMMYFUNCTION("""COMPUTED_VALUE"""),"ENVIRONMENTAL")</f>
        <v>ENVIRONMENTAL</v>
      </c>
      <c r="D281" s="6" t="str">
        <f>IFERROR(__xludf.DUMMYFUNCTION("""COMPUTED_VALUE"""),"CNN baselines")</f>
        <v>CNN baselines</v>
      </c>
      <c r="E281" s="6" t="str">
        <f>IFERROR(__xludf.DUMMYFUNCTION("""COMPUTED_VALUE"""),"Background Complexity")</f>
        <v>Background Complexity</v>
      </c>
    </row>
    <row r="282" ht="15.75" customHeight="1">
      <c r="A282" s="5" t="str">
        <f>IFERROR(__xludf.DUMMYFUNCTION("""COMPUTED_VALUE"""),"SCOPUS-000059")</f>
        <v>SCOPUS-000059</v>
      </c>
      <c r="B282" s="5" t="str">
        <f>IFERROR(__xludf.DUMMYFUNCTION("""COMPUTED_VALUE"""),"SCOPUS-000059-1")</f>
        <v>SCOPUS-000059-1</v>
      </c>
      <c r="C282" s="5" t="str">
        <f>IFERROR(__xludf.DUMMYFUNCTION("""COMPUTED_VALUE"""),"IMAGING")</f>
        <v>IMAGING</v>
      </c>
      <c r="D282" s="6" t="str">
        <f>IFERROR(__xludf.DUMMYFUNCTION("""COMPUTED_VALUE"""),"EfficientNetV2B0, DenseNet121")</f>
        <v>EfficientNetV2B0, DenseNet121</v>
      </c>
      <c r="E282" s="6" t="str">
        <f>IFERROR(__xludf.DUMMYFUNCTION("""COMPUTED_VALUE"""),"Visual Similarity")</f>
        <v>Visual Similarity</v>
      </c>
    </row>
    <row r="283" ht="15.75" customHeight="1">
      <c r="A283" s="5" t="str">
        <f>IFERROR(__xludf.DUMMYFUNCTION("""COMPUTED_VALUE"""),"SCOPUS-000059")</f>
        <v>SCOPUS-000059</v>
      </c>
      <c r="B283" s="5" t="str">
        <f>IFERROR(__xludf.DUMMYFUNCTION("""COMPUTED_VALUE"""),"SCOPUS-000059-2")</f>
        <v>SCOPUS-000059-2</v>
      </c>
      <c r="C283" s="5" t="str">
        <f>IFERROR(__xludf.DUMMYFUNCTION("""COMPUTED_VALUE"""),"ENVIRONMENTAL")</f>
        <v>ENVIRONMENTAL</v>
      </c>
      <c r="D283" s="6" t="str">
        <f>IFERROR(__xludf.DUMMYFUNCTION("""COMPUTED_VALUE"""),"EfficientNetV2B0, DenseNet121")</f>
        <v>EfficientNetV2B0, DenseNet121</v>
      </c>
      <c r="E283" s="6" t="str">
        <f>IFERROR(__xludf.DUMMYFUNCTION("""COMPUTED_VALUE"""),"Environmental Variation")</f>
        <v>Environmental Variation</v>
      </c>
    </row>
    <row r="284" ht="15.75" customHeight="1">
      <c r="A284" s="5" t="str">
        <f>IFERROR(__xludf.DUMMYFUNCTION("""COMPUTED_VALUE"""),"SCOPUS-000059")</f>
        <v>SCOPUS-000059</v>
      </c>
      <c r="B284" s="5" t="str">
        <f>IFERROR(__xludf.DUMMYFUNCTION("""COMPUTED_VALUE"""),"SCOPUS-000059-3")</f>
        <v>SCOPUS-000059-3</v>
      </c>
      <c r="C284" s="5" t="str">
        <f>IFERROR(__xludf.DUMMYFUNCTION("""COMPUTED_VALUE"""),"ENVIRONMENTAL")</f>
        <v>ENVIRONMENTAL</v>
      </c>
      <c r="D284" s="6" t="str">
        <f>IFERROR(__xludf.DUMMYFUNCTION("""COMPUTED_VALUE"""),"EfficientNetV2B0, DenseNet121")</f>
        <v>EfficientNetV2B0, DenseNet121</v>
      </c>
      <c r="E284" s="6" t="str">
        <f>IFERROR(__xludf.DUMMYFUNCTION("""COMPUTED_VALUE"""),"Background Complexity")</f>
        <v>Background Complexity</v>
      </c>
    </row>
    <row r="285" ht="15.75" customHeight="1">
      <c r="A285" s="5" t="str">
        <f>IFERROR(__xludf.DUMMYFUNCTION("""COMPUTED_VALUE"""),"SCOPUS-000059")</f>
        <v>SCOPUS-000059</v>
      </c>
      <c r="B285" s="5" t="str">
        <f>IFERROR(__xludf.DUMMYFUNCTION("""COMPUTED_VALUE"""),"SCOPUS-000059-4")</f>
        <v>SCOPUS-000059-4</v>
      </c>
      <c r="C285" s="5" t="str">
        <f>IFERROR(__xludf.DUMMYFUNCTION("""COMPUTED_VALUE"""),"ENVIRONMENTAL")</f>
        <v>ENVIRONMENTAL</v>
      </c>
      <c r="D285" s="6" t="str">
        <f>IFERROR(__xludf.DUMMYFUNCTION("""COMPUTED_VALUE"""),"EfficientNetV2B0, DenseNet121")</f>
        <v>EfficientNetV2B0, DenseNet121</v>
      </c>
      <c r="E285" s="6" t="str">
        <f>IFERROR(__xludf.DUMMYFUNCTION("""COMPUTED_VALUE"""),"Occlusion")</f>
        <v>Occlusion</v>
      </c>
    </row>
    <row r="286" ht="15.75" customHeight="1">
      <c r="A286" s="5" t="str">
        <f>IFERROR(__xludf.DUMMYFUNCTION("""COMPUTED_VALUE"""),"SCOPUS-000067")</f>
        <v>SCOPUS-000067</v>
      </c>
      <c r="B286" s="5" t="str">
        <f>IFERROR(__xludf.DUMMYFUNCTION("""COMPUTED_VALUE"""),"SCOPUS-000067-1")</f>
        <v>SCOPUS-000067-1</v>
      </c>
      <c r="C286" s="5" t="str">
        <f>IFERROR(__xludf.DUMMYFUNCTION("""COMPUTED_VALUE"""),"TECHNICAL")</f>
        <v>TECHNICAL</v>
      </c>
      <c r="D286" s="6" t="str">
        <f>IFERROR(__xludf.DUMMYFUNCTION("""COMPUTED_VALUE"""),"LDA, SVM, RF, kNN")</f>
        <v>LDA, SVM, RF, kNN</v>
      </c>
      <c r="E286" s="6" t="str">
        <f>IFERROR(__xludf.DUMMYFUNCTION("""COMPUTED_VALUE"""),"Feature Representation")</f>
        <v>Feature Representation</v>
      </c>
    </row>
    <row r="287" ht="15.75" customHeight="1">
      <c r="A287" s="5" t="str">
        <f>IFERROR(__xludf.DUMMYFUNCTION("""COMPUTED_VALUE"""),"SCOPUS-000067")</f>
        <v>SCOPUS-000067</v>
      </c>
      <c r="B287" s="5" t="str">
        <f>IFERROR(__xludf.DUMMYFUNCTION("""COMPUTED_VALUE"""),"SCOPUS-000067-2")</f>
        <v>SCOPUS-000067-2</v>
      </c>
      <c r="C287" s="5" t="str">
        <f>IFERROR(__xludf.DUMMYFUNCTION("""COMPUTED_VALUE"""),"IMAGING")</f>
        <v>IMAGING</v>
      </c>
      <c r="D287" s="6" t="str">
        <f>IFERROR(__xludf.DUMMYFUNCTION("""COMPUTED_VALUE"""),"LDA")</f>
        <v>LDA</v>
      </c>
      <c r="E287" s="6" t="str">
        <f>IFERROR(__xludf.DUMMYFUNCTION("""COMPUTED_VALUE"""),"Visual Similarity")</f>
        <v>Visual Similarity</v>
      </c>
    </row>
    <row r="288" ht="15.75" customHeight="1">
      <c r="A288" s="5" t="str">
        <f>IFERROR(__xludf.DUMMYFUNCTION("""COMPUTED_VALUE"""),"SCOPUS-000067")</f>
        <v>SCOPUS-000067</v>
      </c>
      <c r="B288" s="5" t="str">
        <f>IFERROR(__xludf.DUMMYFUNCTION("""COMPUTED_VALUE"""),"SCOPUS-000067-3")</f>
        <v>SCOPUS-000067-3</v>
      </c>
      <c r="C288" s="5" t="str">
        <f>IFERROR(__xludf.DUMMYFUNCTION("""COMPUTED_VALUE"""),"DATA")</f>
        <v>DATA</v>
      </c>
      <c r="D288" s="6" t="str">
        <f>IFERROR(__xludf.DUMMYFUNCTION("""COMPUTED_VALUE"""),"MF-WFS-LDA")</f>
        <v>MF-WFS-LDA</v>
      </c>
      <c r="E288" s="6" t="str">
        <f>IFERROR(__xludf.DUMMYFUNCTION("""COMPUTED_VALUE"""),"Data Scarcity")</f>
        <v>Data Scarcity</v>
      </c>
    </row>
    <row r="289" ht="15.75" customHeight="1">
      <c r="A289" s="5" t="str">
        <f>IFERROR(__xludf.DUMMYFUNCTION("""COMPUTED_VALUE"""),"SCOPUS-000067")</f>
        <v>SCOPUS-000067</v>
      </c>
      <c r="B289" s="5" t="str">
        <f>IFERROR(__xludf.DUMMYFUNCTION("""COMPUTED_VALUE"""),"SCOPUS-000067-4")</f>
        <v>SCOPUS-000067-4</v>
      </c>
      <c r="C289" s="5" t="str">
        <f>IFERROR(__xludf.DUMMYFUNCTION("""COMPUTED_VALUE"""),"IMAGING")</f>
        <v>IMAGING</v>
      </c>
      <c r="D289" s="6" t="str">
        <f>IFERROR(__xludf.DUMMYFUNCTION("""COMPUTED_VALUE"""),"raw spectra")</f>
        <v>raw spectra</v>
      </c>
      <c r="E289" s="6" t="str">
        <f>IFERROR(__xludf.DUMMYFUNCTION("""COMPUTED_VALUE"""),"Image Quality")</f>
        <v>Image Quality</v>
      </c>
    </row>
    <row r="290" ht="15.75" customHeight="1">
      <c r="A290" s="5" t="str">
        <f>IFERROR(__xludf.DUMMYFUNCTION("""COMPUTED_VALUE"""),"SCOPUS-000076")</f>
        <v>SCOPUS-000076</v>
      </c>
      <c r="B290" s="5" t="str">
        <f>IFERROR(__xludf.DUMMYFUNCTION("""COMPUTED_VALUE"""),"SCOPUS-000076-1")</f>
        <v>SCOPUS-000076-1</v>
      </c>
      <c r="C290" s="5" t="str">
        <f>IFERROR(__xludf.DUMMYFUNCTION("""COMPUTED_VALUE"""),"ENVIRONMENTAL")</f>
        <v>ENVIRONMENTAL</v>
      </c>
      <c r="D290" s="6" t="str">
        <f>IFERROR(__xludf.DUMMYFUNCTION("""COMPUTED_VALUE"""),"Mamba-Origin")</f>
        <v>Mamba-Origin</v>
      </c>
      <c r="E290" s="6" t="str">
        <f>IFERROR(__xludf.DUMMYFUNCTION("""COMPUTED_VALUE"""),"Background Complexity")</f>
        <v>Background Complexity</v>
      </c>
    </row>
    <row r="291" ht="15.75" customHeight="1">
      <c r="A291" s="5" t="str">
        <f>IFERROR(__xludf.DUMMYFUNCTION("""COMPUTED_VALUE"""),"SCOPUS-000076")</f>
        <v>SCOPUS-000076</v>
      </c>
      <c r="B291" s="5" t="str">
        <f>IFERROR(__xludf.DUMMYFUNCTION("""COMPUTED_VALUE"""),"SCOPUS-000076-2")</f>
        <v>SCOPUS-000076-2</v>
      </c>
      <c r="C291" s="5" t="str">
        <f>IFERROR(__xludf.DUMMYFUNCTION("""COMPUTED_VALUE"""),"IMAGING")</f>
        <v>IMAGING</v>
      </c>
      <c r="D291" s="6" t="str">
        <f>IFERROR(__xludf.DUMMYFUNCTION("""COMPUTED_VALUE"""),"Mamba-Origin")</f>
        <v>Mamba-Origin</v>
      </c>
      <c r="E291" s="6" t="str">
        <f>IFERROR(__xludf.DUMMYFUNCTION("""COMPUTED_VALUE"""),"Small Object Detection")</f>
        <v>Small Object Detection</v>
      </c>
    </row>
    <row r="292" ht="15.75" customHeight="1">
      <c r="A292" s="5" t="str">
        <f>IFERROR(__xludf.DUMMYFUNCTION("""COMPUTED_VALUE"""),"SCOPUS-000076")</f>
        <v>SCOPUS-000076</v>
      </c>
      <c r="B292" s="5" t="str">
        <f>IFERROR(__xludf.DUMMYFUNCTION("""COMPUTED_VALUE"""),"SCOPUS-000076-3")</f>
        <v>SCOPUS-000076-3</v>
      </c>
      <c r="C292" s="5" t="str">
        <f>IFERROR(__xludf.DUMMYFUNCTION("""COMPUTED_VALUE"""),"IMAGING")</f>
        <v>IMAGING</v>
      </c>
      <c r="D292" s="6" t="str">
        <f>IFERROR(__xludf.DUMMYFUNCTION("""COMPUTED_VALUE"""),"Mamba-Origin")</f>
        <v>Mamba-Origin</v>
      </c>
      <c r="E292" s="6" t="str">
        <f>IFERROR(__xludf.DUMMYFUNCTION("""COMPUTED_VALUE"""),"Scale Variation")</f>
        <v>Scale Variation</v>
      </c>
    </row>
    <row r="293" ht="15.75" customHeight="1">
      <c r="A293" s="5" t="str">
        <f>IFERROR(__xludf.DUMMYFUNCTION("""COMPUTED_VALUE"""),"SCOPUS-000076")</f>
        <v>SCOPUS-000076</v>
      </c>
      <c r="B293" s="5" t="str">
        <f>IFERROR(__xludf.DUMMYFUNCTION("""COMPUTED_VALUE"""),"SCOPUS-000076-4")</f>
        <v>SCOPUS-000076-4</v>
      </c>
      <c r="C293" s="5" t="str">
        <f>IFERROR(__xludf.DUMMYFUNCTION("""COMPUTED_VALUE"""),"ENVIRONMENTAL")</f>
        <v>ENVIRONMENTAL</v>
      </c>
      <c r="D293" s="6" t="str">
        <f>IFERROR(__xludf.DUMMYFUNCTION("""COMPUTED_VALUE"""),"Mamba-Origin")</f>
        <v>Mamba-Origin</v>
      </c>
      <c r="E293" s="6" t="str">
        <f>IFERROR(__xludf.DUMMYFUNCTION("""COMPUTED_VALUE"""),"Occlusion")</f>
        <v>Occlusion</v>
      </c>
    </row>
    <row r="294" ht="15.75" customHeight="1">
      <c r="A294" s="5" t="str">
        <f>IFERROR(__xludf.DUMMYFUNCTION("""COMPUTED_VALUE"""),"SCOPUS-000076")</f>
        <v>SCOPUS-000076</v>
      </c>
      <c r="B294" s="5" t="str">
        <f>IFERROR(__xludf.DUMMYFUNCTION("""COMPUTED_VALUE"""),"SCOPUS-000076-5")</f>
        <v>SCOPUS-000076-5</v>
      </c>
      <c r="C294" s="5" t="str">
        <f>IFERROR(__xludf.DUMMYFUNCTION("""COMPUTED_VALUE"""),"ENVIRONMENTAL")</f>
        <v>ENVIRONMENTAL</v>
      </c>
      <c r="D294" s="6" t="str">
        <f>IFERROR(__xludf.DUMMYFUNCTION("""COMPUTED_VALUE"""),"Mamba-Origin")</f>
        <v>Mamba-Origin</v>
      </c>
      <c r="E294" s="6" t="str">
        <f>IFERROR(__xludf.DUMMYFUNCTION("""COMPUTED_VALUE"""),"Environmental Variation")</f>
        <v>Environmental Variation</v>
      </c>
    </row>
    <row r="295" ht="15.75" customHeight="1">
      <c r="A295" s="5" t="str">
        <f>IFERROR(__xludf.DUMMYFUNCTION("""COMPUTED_VALUE"""),"SCOPUS-000087")</f>
        <v>SCOPUS-000087</v>
      </c>
      <c r="B295" s="5" t="str">
        <f>IFERROR(__xludf.DUMMYFUNCTION("""COMPUTED_VALUE"""),"SCOPUS-000087-1")</f>
        <v>SCOPUS-000087-1</v>
      </c>
      <c r="C295" s="5" t="str">
        <f>IFERROR(__xludf.DUMMYFUNCTION("""COMPUTED_VALUE"""),"TECHNICAL")</f>
        <v>TECHNICAL</v>
      </c>
      <c r="D295" s="6" t="str">
        <f>IFERROR(__xludf.DUMMYFUNCTION("""COMPUTED_VALUE"""),"VGG16, ResNet50")</f>
        <v>VGG16, ResNet50</v>
      </c>
      <c r="E295" s="6" t="str">
        <f>IFERROR(__xludf.DUMMYFUNCTION("""COMPUTED_VALUE"""),"Computational Resource")</f>
        <v>Computational Resource</v>
      </c>
    </row>
    <row r="296" ht="15.75" customHeight="1">
      <c r="A296" s="5" t="str">
        <f>IFERROR(__xludf.DUMMYFUNCTION("""COMPUTED_VALUE"""),"SCOPUS-000087")</f>
        <v>SCOPUS-000087</v>
      </c>
      <c r="B296" s="5" t="str">
        <f>IFERROR(__xludf.DUMMYFUNCTION("""COMPUTED_VALUE"""),"SCOPUS-000087-2")</f>
        <v>SCOPUS-000087-2</v>
      </c>
      <c r="C296" s="5" t="str">
        <f>IFERROR(__xludf.DUMMYFUNCTION("""COMPUTED_VALUE"""),"IMAGING")</f>
        <v>IMAGING</v>
      </c>
      <c r="D296" s="6" t="str">
        <f>IFERROR(__xludf.DUMMYFUNCTION("""COMPUTED_VALUE"""),"CNN classifiers")</f>
        <v>CNN classifiers</v>
      </c>
      <c r="E296" s="6" t="str">
        <f>IFERROR(__xludf.DUMMYFUNCTION("""COMPUTED_VALUE"""),"Visual Similarity")</f>
        <v>Visual Similarity</v>
      </c>
    </row>
    <row r="297" ht="15.75" customHeight="1">
      <c r="A297" s="5" t="str">
        <f>IFERROR(__xludf.DUMMYFUNCTION("""COMPUTED_VALUE"""),"SCOPUS-000087")</f>
        <v>SCOPUS-000087</v>
      </c>
      <c r="B297" s="5" t="str">
        <f>IFERROR(__xludf.DUMMYFUNCTION("""COMPUTED_VALUE"""),"SCOPUS-000087-3")</f>
        <v>SCOPUS-000087-3</v>
      </c>
      <c r="C297" s="5" t="str">
        <f>IFERROR(__xludf.DUMMYFUNCTION("""COMPUTED_VALUE"""),"ENVIRONMENTAL")</f>
        <v>ENVIRONMENTAL</v>
      </c>
      <c r="D297" s="6" t="str">
        <f>IFERROR(__xludf.DUMMYFUNCTION("""COMPUTED_VALUE"""),"CNN classifiers")</f>
        <v>CNN classifiers</v>
      </c>
      <c r="E297" s="6" t="str">
        <f>IFERROR(__xludf.DUMMYFUNCTION("""COMPUTED_VALUE"""),"Environmental Variation")</f>
        <v>Environmental Variation</v>
      </c>
    </row>
    <row r="298" ht="15.75" customHeight="1">
      <c r="A298" s="5" t="str">
        <f>IFERROR(__xludf.DUMMYFUNCTION("""COMPUTED_VALUE"""),"SCOPUS-000087")</f>
        <v>SCOPUS-000087</v>
      </c>
      <c r="B298" s="5" t="str">
        <f>IFERROR(__xludf.DUMMYFUNCTION("""COMPUTED_VALUE"""),"SCOPUS-000087-4")</f>
        <v>SCOPUS-000087-4</v>
      </c>
      <c r="C298" s="5" t="str">
        <f>IFERROR(__xludf.DUMMYFUNCTION("""COMPUTED_VALUE"""),"DATA")</f>
        <v>DATA</v>
      </c>
      <c r="D298" s="6" t="str">
        <f>IFERROR(__xludf.DUMMYFUNCTION("""COMPUTED_VALUE"""),"CNN classifiers")</f>
        <v>CNN classifiers</v>
      </c>
      <c r="E298" s="6" t="str">
        <f>IFERROR(__xludf.DUMMYFUNCTION("""COMPUTED_VALUE"""),"Data Scarcity")</f>
        <v>Data Scarcity</v>
      </c>
    </row>
    <row r="299" ht="15.75" customHeight="1">
      <c r="A299" s="5" t="str">
        <f>IFERROR(__xludf.DUMMYFUNCTION("""COMPUTED_VALUE"""),"SCOPUS-000089")</f>
        <v>SCOPUS-000089</v>
      </c>
      <c r="B299" s="5" t="str">
        <f>IFERROR(__xludf.DUMMYFUNCTION("""COMPUTED_VALUE"""),"SCOPUS-000089-1")</f>
        <v>SCOPUS-000089-1</v>
      </c>
      <c r="C299" s="5" t="str">
        <f>IFERROR(__xludf.DUMMYFUNCTION("""COMPUTED_VALUE"""),"DATA")</f>
        <v>DATA</v>
      </c>
      <c r="D299" s="6" t="str">
        <f>IFERROR(__xludf.DUMMYFUNCTION("""COMPUTED_VALUE"""),"SVM, RF")</f>
        <v>SVM, RF</v>
      </c>
      <c r="E299" s="6" t="str">
        <f>IFERROR(__xludf.DUMMYFUNCTION("""COMPUTED_VALUE"""),"Class Imbalance")</f>
        <v>Class Imbalance</v>
      </c>
    </row>
    <row r="300" ht="15.75" customHeight="1">
      <c r="A300" s="5" t="str">
        <f>IFERROR(__xludf.DUMMYFUNCTION("""COMPUTED_VALUE"""),"SCOPUS-000089")</f>
        <v>SCOPUS-000089</v>
      </c>
      <c r="B300" s="5" t="str">
        <f>IFERROR(__xludf.DUMMYFUNCTION("""COMPUTED_VALUE"""),"SCOPUS-000089-2")</f>
        <v>SCOPUS-000089-2</v>
      </c>
      <c r="C300" s="5" t="str">
        <f>IFERROR(__xludf.DUMMYFUNCTION("""COMPUTED_VALUE"""),"IMAGING")</f>
        <v>IMAGING</v>
      </c>
      <c r="D300" s="6" t="str">
        <f>IFERROR(__xludf.DUMMYFUNCTION("""COMPUTED_VALUE"""),"SVM, RF, LightGBM")</f>
        <v>SVM, RF, LightGBM</v>
      </c>
      <c r="E300" s="6" t="str">
        <f>IFERROR(__xludf.DUMMYFUNCTION("""COMPUTED_VALUE"""),"Visual Similarity")</f>
        <v>Visual Similarity</v>
      </c>
    </row>
    <row r="301" ht="15.75" customHeight="1">
      <c r="A301" s="5" t="str">
        <f>IFERROR(__xludf.DUMMYFUNCTION("""COMPUTED_VALUE"""),"SCOPUS-000089")</f>
        <v>SCOPUS-000089</v>
      </c>
      <c r="B301" s="5" t="str">
        <f>IFERROR(__xludf.DUMMYFUNCTION("""COMPUTED_VALUE"""),"SCOPUS-000089-3")</f>
        <v>SCOPUS-000089-3</v>
      </c>
      <c r="C301" s="5" t="str">
        <f>IFERROR(__xludf.DUMMYFUNCTION("""COMPUTED_VALUE"""),"ENVIRONMENTAL")</f>
        <v>ENVIRONMENTAL</v>
      </c>
      <c r="D301" s="6" t="str">
        <f>IFERROR(__xludf.DUMMYFUNCTION("""COMPUTED_VALUE"""),"handcrafted-feature ML")</f>
        <v>handcrafted-feature ML</v>
      </c>
      <c r="E301" s="6" t="str">
        <f>IFERROR(__xludf.DUMMYFUNCTION("""COMPUTED_VALUE"""),"Environmental Variation")</f>
        <v>Environmental Variation</v>
      </c>
    </row>
    <row r="302" ht="15.75" customHeight="1">
      <c r="A302" s="5" t="str">
        <f>IFERROR(__xludf.DUMMYFUNCTION("""COMPUTED_VALUE"""),"SCOPUS-000089")</f>
        <v>SCOPUS-000089</v>
      </c>
      <c r="B302" s="5" t="str">
        <f>IFERROR(__xludf.DUMMYFUNCTION("""COMPUTED_VALUE"""),"SCOPUS-000089-4")</f>
        <v>SCOPUS-000089-4</v>
      </c>
      <c r="C302" s="5" t="str">
        <f>IFERROR(__xludf.DUMMYFUNCTION("""COMPUTED_VALUE"""),"ENVIRONMENTAL")</f>
        <v>ENVIRONMENTAL</v>
      </c>
      <c r="D302" s="6" t="str">
        <f>IFERROR(__xludf.DUMMYFUNCTION("""COMPUTED_VALUE"""),"handcrafted-feature ML")</f>
        <v>handcrafted-feature ML</v>
      </c>
      <c r="E302" s="6" t="str">
        <f>IFERROR(__xludf.DUMMYFUNCTION("""COMPUTED_VALUE"""),"Background Complexity")</f>
        <v>Background Complexity</v>
      </c>
    </row>
    <row r="303" ht="15.75" customHeight="1">
      <c r="A303" s="5" t="str">
        <f>IFERROR(__xludf.DUMMYFUNCTION("""COMPUTED_VALUE"""),"SCOPUS-000089")</f>
        <v>SCOPUS-000089</v>
      </c>
      <c r="B303" s="5" t="str">
        <f>IFERROR(__xludf.DUMMYFUNCTION("""COMPUTED_VALUE"""),"SCOPUS-000089-5")</f>
        <v>SCOPUS-000089-5</v>
      </c>
      <c r="C303" s="5" t="str">
        <f>IFERROR(__xludf.DUMMYFUNCTION("""COMPUTED_VALUE"""),"TECHNICAL")</f>
        <v>TECHNICAL</v>
      </c>
      <c r="D303" s="6" t="str">
        <f>IFERROR(__xludf.DUMMYFUNCTION("""COMPUTED_VALUE"""),"all raw features (52)")</f>
        <v>all raw features (52)</v>
      </c>
      <c r="E303" s="6" t="str">
        <f>IFERROR(__xludf.DUMMYFUNCTION("""COMPUTED_VALUE"""),"Feature Representation")</f>
        <v>Feature Representation</v>
      </c>
    </row>
    <row r="304" ht="15.75" customHeight="1">
      <c r="A304" s="5" t="str">
        <f>IFERROR(__xludf.DUMMYFUNCTION("""COMPUTED_VALUE"""),"SCOPUS-000140")</f>
        <v>SCOPUS-000140</v>
      </c>
      <c r="B304" s="5" t="str">
        <f>IFERROR(__xludf.DUMMYFUNCTION("""COMPUTED_VALUE"""),"SCOPUS-000140-1")</f>
        <v>SCOPUS-000140-1</v>
      </c>
      <c r="C304" s="5" t="str">
        <f>IFERROR(__xludf.DUMMYFUNCTION("""COMPUTED_VALUE"""),"ENVIRONMENTAL")</f>
        <v>ENVIRONMENTAL</v>
      </c>
      <c r="D304" s="6" t="str">
        <f>IFERROR(__xludf.DUMMYFUNCTION("""COMPUTED_VALUE"""),"Mask R-CNN-ResNet50")</f>
        <v>Mask R-CNN-ResNet50</v>
      </c>
      <c r="E304" s="6" t="str">
        <f>IFERROR(__xludf.DUMMYFUNCTION("""COMPUTED_VALUE"""),"Weed Density Variation")</f>
        <v>Weed Density Variation</v>
      </c>
    </row>
    <row r="305" ht="15.75" customHeight="1">
      <c r="A305" s="5" t="str">
        <f>IFERROR(__xludf.DUMMYFUNCTION("""COMPUTED_VALUE"""),"SCOPUS-000140")</f>
        <v>SCOPUS-000140</v>
      </c>
      <c r="B305" s="5" t="str">
        <f>IFERROR(__xludf.DUMMYFUNCTION("""COMPUTED_VALUE"""),"SCOPUS-000140-2")</f>
        <v>SCOPUS-000140-2</v>
      </c>
      <c r="C305" s="5" t="str">
        <f>IFERROR(__xludf.DUMMYFUNCTION("""COMPUTED_VALUE"""),"IMAGING")</f>
        <v>IMAGING</v>
      </c>
      <c r="D305" s="6" t="str">
        <f>IFERROR(__xludf.DUMMYFUNCTION("""COMPUTED_VALUE"""),"Mask R-CNN-ResNet50")</f>
        <v>Mask R-CNN-ResNet50</v>
      </c>
      <c r="E305" s="6" t="str">
        <f>IFERROR(__xludf.DUMMYFUNCTION("""COMPUTED_VALUE"""),"Visual Similarity")</f>
        <v>Visual Similarity</v>
      </c>
    </row>
    <row r="306" ht="15.75" customHeight="1">
      <c r="A306" s="5" t="str">
        <f>IFERROR(__xludf.DUMMYFUNCTION("""COMPUTED_VALUE"""),"SCOPUS-000140")</f>
        <v>SCOPUS-000140</v>
      </c>
      <c r="B306" s="5" t="str">
        <f>IFERROR(__xludf.DUMMYFUNCTION("""COMPUTED_VALUE"""),"SCOPUS-000140-3")</f>
        <v>SCOPUS-000140-3</v>
      </c>
      <c r="C306" s="5" t="str">
        <f>IFERROR(__xludf.DUMMYFUNCTION("""COMPUTED_VALUE"""),"ENVIRONMENTAL")</f>
        <v>ENVIRONMENTAL</v>
      </c>
      <c r="D306" s="6" t="str">
        <f>IFERROR(__xludf.DUMMYFUNCTION("""COMPUTED_VALUE"""),"Mask R-CNN-ResNet50")</f>
        <v>Mask R-CNN-ResNet50</v>
      </c>
      <c r="E306" s="6" t="str">
        <f>IFERROR(__xludf.DUMMYFUNCTION("""COMPUTED_VALUE"""),"Occlusion")</f>
        <v>Occlusion</v>
      </c>
    </row>
    <row r="307" ht="15.75" customHeight="1">
      <c r="A307" s="5" t="str">
        <f>IFERROR(__xludf.DUMMYFUNCTION("""COMPUTED_VALUE"""),"SCOPUS-000140")</f>
        <v>SCOPUS-000140</v>
      </c>
      <c r="B307" s="5" t="str">
        <f>IFERROR(__xludf.DUMMYFUNCTION("""COMPUTED_VALUE"""),"SCOPUS-000140-4")</f>
        <v>SCOPUS-000140-4</v>
      </c>
      <c r="C307" s="5" t="str">
        <f>IFERROR(__xludf.DUMMYFUNCTION("""COMPUTED_VALUE"""),"IMAGING")</f>
        <v>IMAGING</v>
      </c>
      <c r="D307" s="6" t="str">
        <f>IFERROR(__xludf.DUMMYFUNCTION("""COMPUTED_VALUE"""),"Mask R-CNN-ResNet50")</f>
        <v>Mask R-CNN-ResNet50</v>
      </c>
      <c r="E307" s="6" t="str">
        <f>IFERROR(__xludf.DUMMYFUNCTION("""COMPUTED_VALUE"""),"Small Object Detection")</f>
        <v>Small Object Detection</v>
      </c>
    </row>
    <row r="308" ht="15.75" customHeight="1">
      <c r="A308" s="5" t="str">
        <f>IFERROR(__xludf.DUMMYFUNCTION("""COMPUTED_VALUE"""),"SCOPUS-000140")</f>
        <v>SCOPUS-000140</v>
      </c>
      <c r="B308" s="5" t="str">
        <f>IFERROR(__xludf.DUMMYFUNCTION("""COMPUTED_VALUE"""),"SCOPUS-000140-5")</f>
        <v>SCOPUS-000140-5</v>
      </c>
      <c r="C308" s="5" t="str">
        <f>IFERROR(__xludf.DUMMYFUNCTION("""COMPUTED_VALUE"""),"DATA")</f>
        <v>DATA</v>
      </c>
      <c r="D308" s="6" t="str">
        <f>IFERROR(__xludf.DUMMYFUNCTION("""COMPUTED_VALUE"""),"Mask R-CNN-ResNet50")</f>
        <v>Mask R-CNN-ResNet50</v>
      </c>
      <c r="E308" s="6" t="str">
        <f>IFERROR(__xludf.DUMMYFUNCTION("""COMPUTED_VALUE"""),"Class Imbalance")</f>
        <v>Class Imbalance</v>
      </c>
    </row>
    <row r="309" ht="15.75" customHeight="1">
      <c r="A309" s="5" t="str">
        <f>IFERROR(__xludf.DUMMYFUNCTION("""COMPUTED_VALUE"""),"SCOPUS-000148")</f>
        <v>SCOPUS-000148</v>
      </c>
      <c r="B309" s="5" t="str">
        <f>IFERROR(__xludf.DUMMYFUNCTION("""COMPUTED_VALUE"""),"SCOPUS-000148-1")</f>
        <v>SCOPUS-000148-1</v>
      </c>
      <c r="C309" s="5" t="str">
        <f>IFERROR(__xludf.DUMMYFUNCTION("""COMPUTED_VALUE"""),"TECHNICAL")</f>
        <v>TECHNICAL</v>
      </c>
      <c r="D309" s="6" t="str">
        <f>IFERROR(__xludf.DUMMYFUNCTION("""COMPUTED_VALUE"""),"YOLOv8n")</f>
        <v>YOLOv8n</v>
      </c>
      <c r="E309" s="6" t="str">
        <f>IFERROR(__xludf.DUMMYFUNCTION("""COMPUTED_VALUE"""),"Computational Resource")</f>
        <v>Computational Resource</v>
      </c>
    </row>
    <row r="310" ht="15.75" customHeight="1">
      <c r="A310" s="5" t="str">
        <f>IFERROR(__xludf.DUMMYFUNCTION("""COMPUTED_VALUE"""),"SCOPUS-000148")</f>
        <v>SCOPUS-000148</v>
      </c>
      <c r="B310" s="5" t="str">
        <f>IFERROR(__xludf.DUMMYFUNCTION("""COMPUTED_VALUE"""),"SCOPUS-000148-2")</f>
        <v>SCOPUS-000148-2</v>
      </c>
      <c r="C310" s="5" t="str">
        <f>IFERROR(__xludf.DUMMYFUNCTION("""COMPUTED_VALUE"""),"IMAGING")</f>
        <v>IMAGING</v>
      </c>
      <c r="D310" s="6" t="str">
        <f>IFERROR(__xludf.DUMMYFUNCTION("""COMPUTED_VALUE"""),"YOLOv8n")</f>
        <v>YOLOv8n</v>
      </c>
      <c r="E310" s="6" t="str">
        <f>IFERROR(__xludf.DUMMYFUNCTION("""COMPUTED_VALUE"""),"Visual Similarity")</f>
        <v>Visual Similarity</v>
      </c>
    </row>
    <row r="311" ht="15.75" customHeight="1">
      <c r="A311" s="5" t="str">
        <f>IFERROR(__xludf.DUMMYFUNCTION("""COMPUTED_VALUE"""),"SCOPUS-000148")</f>
        <v>SCOPUS-000148</v>
      </c>
      <c r="B311" s="5" t="str">
        <f>IFERROR(__xludf.DUMMYFUNCTION("""COMPUTED_VALUE"""),"SCOPUS-000148-3")</f>
        <v>SCOPUS-000148-3</v>
      </c>
      <c r="C311" s="5" t="str">
        <f>IFERROR(__xludf.DUMMYFUNCTION("""COMPUTED_VALUE"""),"IMAGING")</f>
        <v>IMAGING</v>
      </c>
      <c r="D311" s="6" t="str">
        <f>IFERROR(__xludf.DUMMYFUNCTION("""COMPUTED_VALUE"""),"YOLOv8n")</f>
        <v>YOLOv8n</v>
      </c>
      <c r="E311" s="6" t="str">
        <f>IFERROR(__xludf.DUMMYFUNCTION("""COMPUTED_VALUE"""),"Small Object Detection")</f>
        <v>Small Object Detection</v>
      </c>
    </row>
    <row r="312" ht="15.75" customHeight="1">
      <c r="A312" s="5" t="str">
        <f>IFERROR(__xludf.DUMMYFUNCTION("""COMPUTED_VALUE"""),"SCOPUS-000148")</f>
        <v>SCOPUS-000148</v>
      </c>
      <c r="B312" s="5" t="str">
        <f>IFERROR(__xludf.DUMMYFUNCTION("""COMPUTED_VALUE"""),"SCOPUS-000148-4")</f>
        <v>SCOPUS-000148-4</v>
      </c>
      <c r="C312" s="5" t="str">
        <f>IFERROR(__xludf.DUMMYFUNCTION("""COMPUTED_VALUE"""),"IMAGING")</f>
        <v>IMAGING</v>
      </c>
      <c r="D312" s="6" t="str">
        <f>IFERROR(__xludf.DUMMYFUNCTION("""COMPUTED_VALUE"""),"YOLOv8n")</f>
        <v>YOLOv8n</v>
      </c>
      <c r="E312" s="6" t="str">
        <f>IFERROR(__xludf.DUMMYFUNCTION("""COMPUTED_VALUE"""),"Scale Variation")</f>
        <v>Scale Variation</v>
      </c>
    </row>
    <row r="313" ht="15.75" customHeight="1">
      <c r="A313" s="5" t="str">
        <f>IFERROR(__xludf.DUMMYFUNCTION("""COMPUTED_VALUE"""),"SCOPUS-000148")</f>
        <v>SCOPUS-000148</v>
      </c>
      <c r="B313" s="5" t="str">
        <f>IFERROR(__xludf.DUMMYFUNCTION("""COMPUTED_VALUE"""),"SCOPUS-000148-5")</f>
        <v>SCOPUS-000148-5</v>
      </c>
      <c r="C313" s="5" t="str">
        <f>IFERROR(__xludf.DUMMYFUNCTION("""COMPUTED_VALUE"""),"ENVIRONMENTAL")</f>
        <v>ENVIRONMENTAL</v>
      </c>
      <c r="D313" s="6" t="str">
        <f>IFERROR(__xludf.DUMMYFUNCTION("""COMPUTED_VALUE"""),"YOLOv8n")</f>
        <v>YOLOv8n</v>
      </c>
      <c r="E313" s="6" t="str">
        <f>IFERROR(__xludf.DUMMYFUNCTION("""COMPUTED_VALUE"""),"Background Complexity")</f>
        <v>Background Complexity</v>
      </c>
    </row>
    <row r="314" ht="15.75" customHeight="1">
      <c r="A314" s="5" t="str">
        <f>IFERROR(__xludf.DUMMYFUNCTION("""COMPUTED_VALUE"""),"SCOPUS-000148")</f>
        <v>SCOPUS-000148</v>
      </c>
      <c r="B314" s="5" t="str">
        <f>IFERROR(__xludf.DUMMYFUNCTION("""COMPUTED_VALUE"""),"SCOPUS-000148-6")</f>
        <v>SCOPUS-000148-6</v>
      </c>
      <c r="C314" s="5" t="str">
        <f>IFERROR(__xludf.DUMMYFUNCTION("""COMPUTED_VALUE"""),"TECHNICAL")</f>
        <v>TECHNICAL</v>
      </c>
      <c r="D314" s="6" t="str">
        <f>IFERROR(__xludf.DUMMYFUNCTION("""COMPUTED_VALUE"""),"YOLOv8n")</f>
        <v>YOLOv8n</v>
      </c>
      <c r="E314" s="6" t="str">
        <f>IFERROR(__xludf.DUMMYFUNCTION("""COMPUTED_VALUE"""),"Feature Representation")</f>
        <v>Feature Representation</v>
      </c>
    </row>
    <row r="315" ht="15.75" customHeight="1">
      <c r="A315" s="5" t="str">
        <f>IFERROR(__xludf.DUMMYFUNCTION("""COMPUTED_VALUE"""),"SCOPUS-000148")</f>
        <v>SCOPUS-000148</v>
      </c>
      <c r="B315" s="5" t="str">
        <f>IFERROR(__xludf.DUMMYFUNCTION("""COMPUTED_VALUE"""),"SCOPUS-000148-7")</f>
        <v>SCOPUS-000148-7</v>
      </c>
      <c r="C315" s="5" t="str">
        <f>IFERROR(__xludf.DUMMYFUNCTION("""COMPUTED_VALUE"""),"TECHNICAL")</f>
        <v>TECHNICAL</v>
      </c>
      <c r="D315" s="6" t="str">
        <f>IFERROR(__xludf.DUMMYFUNCTION("""COMPUTED_VALUE"""),"YOLOv8n")</f>
        <v>YOLOv8n</v>
      </c>
      <c r="E315" s="6" t="str">
        <f>IFERROR(__xludf.DUMMYFUNCTION("""COMPUTED_VALUE"""),"Inference Efficiency")</f>
        <v>Inference Efficiency</v>
      </c>
    </row>
    <row r="316" ht="15.75" customHeight="1">
      <c r="A316" s="5" t="str">
        <f>IFERROR(__xludf.DUMMYFUNCTION("""COMPUTED_VALUE"""),"SCOPUS-000156")</f>
        <v>SCOPUS-000156</v>
      </c>
      <c r="B316" s="5" t="str">
        <f>IFERROR(__xludf.DUMMYFUNCTION("""COMPUTED_VALUE"""),"SCOPUS-000156-1")</f>
        <v>SCOPUS-000156-1</v>
      </c>
      <c r="C316" s="5" t="str">
        <f>IFERROR(__xludf.DUMMYFUNCTION("""COMPUTED_VALUE"""),"IMAGING")</f>
        <v>IMAGING</v>
      </c>
      <c r="D316" s="6" t="str">
        <f>IFERROR(__xludf.DUMMYFUNCTION("""COMPUTED_VALUE"""),"YOLOv8m RGB")</f>
        <v>YOLOv8m RGB</v>
      </c>
      <c r="E316" s="6" t="str">
        <f>IFERROR(__xludf.DUMMYFUNCTION("""COMPUTED_VALUE"""),"Visual Similarity")</f>
        <v>Visual Similarity</v>
      </c>
    </row>
    <row r="317" ht="15.75" customHeight="1">
      <c r="A317" s="5" t="str">
        <f>IFERROR(__xludf.DUMMYFUNCTION("""COMPUTED_VALUE"""),"SCOPUS-000156")</f>
        <v>SCOPUS-000156</v>
      </c>
      <c r="B317" s="5" t="str">
        <f>IFERROR(__xludf.DUMMYFUNCTION("""COMPUTED_VALUE"""),"SCOPUS-000156-2")</f>
        <v>SCOPUS-000156-2</v>
      </c>
      <c r="C317" s="5" t="str">
        <f>IFERROR(__xludf.DUMMYFUNCTION("""COMPUTED_VALUE"""),"TECHNICAL")</f>
        <v>TECHNICAL</v>
      </c>
      <c r="D317" s="6" t="str">
        <f>IFERROR(__xludf.DUMMYFUNCTION("""COMPUTED_VALUE"""),"YOLOv8m RGB")</f>
        <v>YOLOv8m RGB</v>
      </c>
      <c r="E317" s="6" t="str">
        <f>IFERROR(__xludf.DUMMYFUNCTION("""COMPUTED_VALUE"""),"Computational Resource")</f>
        <v>Computational Resource</v>
      </c>
    </row>
    <row r="318" ht="15.75" customHeight="1">
      <c r="A318" s="5" t="str">
        <f>IFERROR(__xludf.DUMMYFUNCTION("""COMPUTED_VALUE"""),"SCOPUS-000156")</f>
        <v>SCOPUS-000156</v>
      </c>
      <c r="B318" s="5" t="str">
        <f>IFERROR(__xludf.DUMMYFUNCTION("""COMPUTED_VALUE"""),"SCOPUS-000156-3")</f>
        <v>SCOPUS-000156-3</v>
      </c>
      <c r="C318" s="5" t="str">
        <f>IFERROR(__xludf.DUMMYFUNCTION("""COMPUTED_VALUE"""),"ENVIRONMENTAL")</f>
        <v>ENVIRONMENTAL</v>
      </c>
      <c r="D318" s="6" t="str">
        <f>IFERROR(__xludf.DUMMYFUNCTION("""COMPUTED_VALUE"""),"YOLOv8m RGB")</f>
        <v>YOLOv8m RGB</v>
      </c>
      <c r="E318" s="6" t="str">
        <f>IFERROR(__xludf.DUMMYFUNCTION("""COMPUTED_VALUE"""),"Environmental Variation")</f>
        <v>Environmental Variation</v>
      </c>
    </row>
    <row r="319" ht="15.75" customHeight="1">
      <c r="A319" s="5" t="str">
        <f>IFERROR(__xludf.DUMMYFUNCTION("""COMPUTED_VALUE"""),"SCOPUS-000156")</f>
        <v>SCOPUS-000156</v>
      </c>
      <c r="B319" s="5" t="str">
        <f>IFERROR(__xludf.DUMMYFUNCTION("""COMPUTED_VALUE"""),"SCOPUS-000156-4")</f>
        <v>SCOPUS-000156-4</v>
      </c>
      <c r="C319" s="5" t="str">
        <f>IFERROR(__xludf.DUMMYFUNCTION("""COMPUTED_VALUE"""),"ENVIRONMENTAL")</f>
        <v>ENVIRONMENTAL</v>
      </c>
      <c r="D319" s="6" t="str">
        <f>IFERROR(__xludf.DUMMYFUNCTION("""COMPUTED_VALUE"""),"YOLOv8m RGB")</f>
        <v>YOLOv8m RGB</v>
      </c>
      <c r="E319" s="6" t="str">
        <f>IFERROR(__xludf.DUMMYFUNCTION("""COMPUTED_VALUE"""),"Occlusion")</f>
        <v>Occlusion</v>
      </c>
    </row>
    <row r="320" ht="15.75" customHeight="1">
      <c r="A320" s="5" t="str">
        <f>IFERROR(__xludf.DUMMYFUNCTION("""COMPUTED_VALUE"""),"SCOPUS-000156")</f>
        <v>SCOPUS-000156</v>
      </c>
      <c r="B320" s="5" t="str">
        <f>IFERROR(__xludf.DUMMYFUNCTION("""COMPUTED_VALUE"""),"SCOPUS-000156-5")</f>
        <v>SCOPUS-000156-5</v>
      </c>
      <c r="C320" s="5" t="str">
        <f>IFERROR(__xludf.DUMMYFUNCTION("""COMPUTED_VALUE"""),"DATA")</f>
        <v>DATA</v>
      </c>
      <c r="D320" s="6" t="str">
        <f>IFERROR(__xludf.DUMMYFUNCTION("""COMPUTED_VALUE"""),"YOLOv8m RGB")</f>
        <v>YOLOv8m RGB</v>
      </c>
      <c r="E320" s="6" t="str">
        <f>IFERROR(__xludf.DUMMYFUNCTION("""COMPUTED_VALUE"""),"Data Scarcity")</f>
        <v>Data Scarcity</v>
      </c>
    </row>
    <row r="321" ht="15.75" customHeight="1">
      <c r="A321" s="5" t="str">
        <f>IFERROR(__xludf.DUMMYFUNCTION("""COMPUTED_VALUE"""),"SCOPUS-000156")</f>
        <v>SCOPUS-000156</v>
      </c>
      <c r="B321" s="5" t="str">
        <f>IFERROR(__xludf.DUMMYFUNCTION("""COMPUTED_VALUE"""),"SCOPUS-000156-6")</f>
        <v>SCOPUS-000156-6</v>
      </c>
      <c r="C321" s="5" t="str">
        <f>IFERROR(__xludf.DUMMYFUNCTION("""COMPUTED_VALUE"""),"TECHNICAL")</f>
        <v>TECHNICAL</v>
      </c>
      <c r="D321" s="6" t="str">
        <f>IFERROR(__xludf.DUMMYFUNCTION("""COMPUTED_VALUE"""),"YOLOv8m RGB")</f>
        <v>YOLOv8m RGB</v>
      </c>
      <c r="E321" s="6" t="str">
        <f>IFERROR(__xludf.DUMMYFUNCTION("""COMPUTED_VALUE"""),"Inference Efficiency")</f>
        <v>Inference Efficiency</v>
      </c>
    </row>
    <row r="322" ht="15.75" customHeight="1">
      <c r="A322" s="5" t="str">
        <f>IFERROR(__xludf.DUMMYFUNCTION("""COMPUTED_VALUE"""),"SCOPUS-000166")</f>
        <v>SCOPUS-000166</v>
      </c>
      <c r="B322" s="5" t="str">
        <f>IFERROR(__xludf.DUMMYFUNCTION("""COMPUTED_VALUE"""),"SCOPUS-000166-1")</f>
        <v>SCOPUS-000166-1</v>
      </c>
      <c r="C322" s="5" t="str">
        <f>IFERROR(__xludf.DUMMYFUNCTION("""COMPUTED_VALUE"""),"IMAGING")</f>
        <v>IMAGING</v>
      </c>
      <c r="D322" s="6" t="str">
        <f>IFERROR(__xludf.DUMMYFUNCTION("""COMPUTED_VALUE"""),"DETR")</f>
        <v>DETR</v>
      </c>
      <c r="E322" s="6" t="str">
        <f>IFERROR(__xludf.DUMMYFUNCTION("""COMPUTED_VALUE"""),"Small Object Detection")</f>
        <v>Small Object Detection</v>
      </c>
    </row>
    <row r="323" ht="15.75" customHeight="1">
      <c r="A323" s="5" t="str">
        <f>IFERROR(__xludf.DUMMYFUNCTION("""COMPUTED_VALUE"""),"SCOPUS-000166")</f>
        <v>SCOPUS-000166</v>
      </c>
      <c r="B323" s="5" t="str">
        <f>IFERROR(__xludf.DUMMYFUNCTION("""COMPUTED_VALUE"""),"SCOPUS-000166-2")</f>
        <v>SCOPUS-000166-2</v>
      </c>
      <c r="C323" s="5" t="str">
        <f>IFERROR(__xludf.DUMMYFUNCTION("""COMPUTED_VALUE"""),"IMAGING")</f>
        <v>IMAGING</v>
      </c>
      <c r="D323" s="6" t="str">
        <f>IFERROR(__xludf.DUMMYFUNCTION("""COMPUTED_VALUE"""),"DETR")</f>
        <v>DETR</v>
      </c>
      <c r="E323" s="6" t="str">
        <f>IFERROR(__xludf.DUMMYFUNCTION("""COMPUTED_VALUE"""),"Visual Similarity")</f>
        <v>Visual Similarity</v>
      </c>
    </row>
    <row r="324" ht="15.75" customHeight="1">
      <c r="A324" s="5" t="str">
        <f>IFERROR(__xludf.DUMMYFUNCTION("""COMPUTED_VALUE"""),"SCOPUS-000166")</f>
        <v>SCOPUS-000166</v>
      </c>
      <c r="B324" s="5" t="str">
        <f>IFERROR(__xludf.DUMMYFUNCTION("""COMPUTED_VALUE"""),"SCOPUS-000166-3")</f>
        <v>SCOPUS-000166-3</v>
      </c>
      <c r="C324" s="5" t="str">
        <f>IFERROR(__xludf.DUMMYFUNCTION("""COMPUTED_VALUE"""),"ENVIRONMENTAL")</f>
        <v>ENVIRONMENTAL</v>
      </c>
      <c r="D324" s="6" t="str">
        <f>IFERROR(__xludf.DUMMYFUNCTION("""COMPUTED_VALUE"""),"DETR")</f>
        <v>DETR</v>
      </c>
      <c r="E324" s="6" t="str">
        <f>IFERROR(__xludf.DUMMYFUNCTION("""COMPUTED_VALUE"""),"Occlusion")</f>
        <v>Occlusion</v>
      </c>
    </row>
    <row r="325" ht="15.75" customHeight="1">
      <c r="A325" s="5" t="str">
        <f>IFERROR(__xludf.DUMMYFUNCTION("""COMPUTED_VALUE"""),"SCOPUS-000166")</f>
        <v>SCOPUS-000166</v>
      </c>
      <c r="B325" s="5" t="str">
        <f>IFERROR(__xludf.DUMMYFUNCTION("""COMPUTED_VALUE"""),"SCOPUS-000166-4")</f>
        <v>SCOPUS-000166-4</v>
      </c>
      <c r="C325" s="5" t="str">
        <f>IFERROR(__xludf.DUMMYFUNCTION("""COMPUTED_VALUE"""),"ENVIRONMENTAL")</f>
        <v>ENVIRONMENTAL</v>
      </c>
      <c r="D325" s="6" t="str">
        <f>IFERROR(__xludf.DUMMYFUNCTION("""COMPUTED_VALUE"""),"DETR")</f>
        <v>DETR</v>
      </c>
      <c r="E325" s="6" t="str">
        <f>IFERROR(__xludf.DUMMYFUNCTION("""COMPUTED_VALUE"""),"Background Complexity")</f>
        <v>Background Complexity</v>
      </c>
    </row>
    <row r="326" ht="15.75" customHeight="1">
      <c r="A326" s="5" t="str">
        <f>IFERROR(__xludf.DUMMYFUNCTION("""COMPUTED_VALUE"""),"SCOPUS-000166")</f>
        <v>SCOPUS-000166</v>
      </c>
      <c r="B326" s="5" t="str">
        <f>IFERROR(__xludf.DUMMYFUNCTION("""COMPUTED_VALUE"""),"SCOPUS-000166-5")</f>
        <v>SCOPUS-000166-5</v>
      </c>
      <c r="C326" s="5" t="str">
        <f>IFERROR(__xludf.DUMMYFUNCTION("""COMPUTED_VALUE"""),"DATA")</f>
        <v>DATA</v>
      </c>
      <c r="D326" s="6" t="str">
        <f>IFERROR(__xludf.DUMMYFUNCTION("""COMPUTED_VALUE"""),"DETR")</f>
        <v>DETR</v>
      </c>
      <c r="E326" s="6" t="str">
        <f>IFERROR(__xludf.DUMMYFUNCTION("""COMPUTED_VALUE"""),"Data Scarcity")</f>
        <v>Data Scarcity</v>
      </c>
    </row>
    <row r="327" ht="15.75" customHeight="1">
      <c r="A327" s="5" t="str">
        <f>IFERROR(__xludf.DUMMYFUNCTION("""COMPUTED_VALUE"""),"SCOPUS-000184")</f>
        <v>SCOPUS-000184</v>
      </c>
      <c r="B327" s="5" t="str">
        <f>IFERROR(__xludf.DUMMYFUNCTION("""COMPUTED_VALUE"""),"SCOPUS-000184-1")</f>
        <v>SCOPUS-000184-1</v>
      </c>
      <c r="C327" s="5" t="str">
        <f>IFERROR(__xludf.DUMMYFUNCTION("""COMPUTED_VALUE"""),"ENVIRONMENTAL")</f>
        <v>ENVIRONMENTAL</v>
      </c>
      <c r="D327" s="6" t="str">
        <f>IFERROR(__xludf.DUMMYFUNCTION("""COMPUTED_VALUE"""),"Faster R-CNN")</f>
        <v>Faster R-CNN</v>
      </c>
      <c r="E327" s="6" t="str">
        <f>IFERROR(__xludf.DUMMYFUNCTION("""COMPUTED_VALUE"""),"Occlusion")</f>
        <v>Occlusion</v>
      </c>
    </row>
    <row r="328" ht="15.75" customHeight="1">
      <c r="A328" s="5" t="str">
        <f>IFERROR(__xludf.DUMMYFUNCTION("""COMPUTED_VALUE"""),"SCOPUS-000184")</f>
        <v>SCOPUS-000184</v>
      </c>
      <c r="B328" s="5" t="str">
        <f>IFERROR(__xludf.DUMMYFUNCTION("""COMPUTED_VALUE"""),"SCOPUS-000184-2")</f>
        <v>SCOPUS-000184-2</v>
      </c>
      <c r="C328" s="5" t="str">
        <f>IFERROR(__xludf.DUMMYFUNCTION("""COMPUTED_VALUE"""),"IMAGING")</f>
        <v>IMAGING</v>
      </c>
      <c r="D328" s="6" t="str">
        <f>IFERROR(__xludf.DUMMYFUNCTION("""COMPUTED_VALUE"""),"Faster R-CNN")</f>
        <v>Faster R-CNN</v>
      </c>
      <c r="E328" s="6" t="str">
        <f>IFERROR(__xludf.DUMMYFUNCTION("""COMPUTED_VALUE"""),"Small Object Detection")</f>
        <v>Small Object Detection</v>
      </c>
    </row>
    <row r="329" ht="15.75" customHeight="1">
      <c r="A329" s="5" t="str">
        <f>IFERROR(__xludf.DUMMYFUNCTION("""COMPUTED_VALUE"""),"SCOPUS-000184")</f>
        <v>SCOPUS-000184</v>
      </c>
      <c r="B329" s="5" t="str">
        <f>IFERROR(__xludf.DUMMYFUNCTION("""COMPUTED_VALUE"""),"SCOPUS-000184-3")</f>
        <v>SCOPUS-000184-3</v>
      </c>
      <c r="C329" s="5" t="str">
        <f>IFERROR(__xludf.DUMMYFUNCTION("""COMPUTED_VALUE"""),"ENVIRONMENTAL")</f>
        <v>ENVIRONMENTAL</v>
      </c>
      <c r="D329" s="6" t="str">
        <f>IFERROR(__xludf.DUMMYFUNCTION("""COMPUTED_VALUE"""),"Faster R-CNN")</f>
        <v>Faster R-CNN</v>
      </c>
      <c r="E329" s="6" t="str">
        <f>IFERROR(__xludf.DUMMYFUNCTION("""COMPUTED_VALUE"""),"Environmental Variation")</f>
        <v>Environmental Variation</v>
      </c>
    </row>
    <row r="330" ht="15.75" customHeight="1">
      <c r="A330" s="5" t="str">
        <f>IFERROR(__xludf.DUMMYFUNCTION("""COMPUTED_VALUE"""),"SCOPUS-000184")</f>
        <v>SCOPUS-000184</v>
      </c>
      <c r="B330" s="5" t="str">
        <f>IFERROR(__xludf.DUMMYFUNCTION("""COMPUTED_VALUE"""),"SCOPUS-000184-4")</f>
        <v>SCOPUS-000184-4</v>
      </c>
      <c r="C330" s="5" t="str">
        <f>IFERROR(__xludf.DUMMYFUNCTION("""COMPUTED_VALUE"""),"ENVIRONMENTAL")</f>
        <v>ENVIRONMENTAL</v>
      </c>
      <c r="D330" s="6" t="str">
        <f>IFERROR(__xludf.DUMMYFUNCTION("""COMPUTED_VALUE"""),"Faster R-CNN")</f>
        <v>Faster R-CNN</v>
      </c>
      <c r="E330" s="6" t="str">
        <f>IFERROR(__xludf.DUMMYFUNCTION("""COMPUTED_VALUE"""),"Background Complexity")</f>
        <v>Background Complexity</v>
      </c>
    </row>
    <row r="331" ht="15.75" customHeight="1">
      <c r="A331" s="5" t="str">
        <f>IFERROR(__xludf.DUMMYFUNCTION("""COMPUTED_VALUE"""),"SCOPUS-000184")</f>
        <v>SCOPUS-000184</v>
      </c>
      <c r="B331" s="5" t="str">
        <f>IFERROR(__xludf.DUMMYFUNCTION("""COMPUTED_VALUE"""),"SCOPUS-000184-5")</f>
        <v>SCOPUS-000184-5</v>
      </c>
      <c r="C331" s="5" t="str">
        <f>IFERROR(__xludf.DUMMYFUNCTION("""COMPUTED_VALUE"""),"TECHNICAL")</f>
        <v>TECHNICAL</v>
      </c>
      <c r="D331" s="6" t="str">
        <f>IFERROR(__xludf.DUMMYFUNCTION("""COMPUTED_VALUE"""),"Faster R-CNN")</f>
        <v>Faster R-CNN</v>
      </c>
      <c r="E331" s="6" t="str">
        <f>IFERROR(__xludf.DUMMYFUNCTION("""COMPUTED_VALUE"""),"Inference Efficiency")</f>
        <v>Inference Efficiency</v>
      </c>
    </row>
    <row r="332" ht="15.75" customHeight="1">
      <c r="A332" s="5" t="str">
        <f>IFERROR(__xludf.DUMMYFUNCTION("""COMPUTED_VALUE"""),"SCOPUS-000192")</f>
        <v>SCOPUS-000192</v>
      </c>
      <c r="B332" s="5" t="str">
        <f>IFERROR(__xludf.DUMMYFUNCTION("""COMPUTED_VALUE"""),"SCOPUS-000192-1")</f>
        <v>SCOPUS-000192-1</v>
      </c>
      <c r="C332" s="5" t="str">
        <f>IFERROR(__xludf.DUMMYFUNCTION("""COMPUTED_VALUE"""),"IMAGING")</f>
        <v>IMAGING</v>
      </c>
      <c r="D332" s="6" t="str">
        <f>IFERROR(__xludf.DUMMYFUNCTION("""COMPUTED_VALUE"""),"YOLOv9-e")</f>
        <v>YOLOv9-e</v>
      </c>
      <c r="E332" s="6" t="str">
        <f>IFERROR(__xludf.DUMMYFUNCTION("""COMPUTED_VALUE"""),"Visual Similarity")</f>
        <v>Visual Similarity</v>
      </c>
    </row>
    <row r="333" ht="15.75" customHeight="1">
      <c r="A333" s="5" t="str">
        <f>IFERROR(__xludf.DUMMYFUNCTION("""COMPUTED_VALUE"""),"SCOPUS-000192")</f>
        <v>SCOPUS-000192</v>
      </c>
      <c r="B333" s="5" t="str">
        <f>IFERROR(__xludf.DUMMYFUNCTION("""COMPUTED_VALUE"""),"SCOPUS-000192-2")</f>
        <v>SCOPUS-000192-2</v>
      </c>
      <c r="C333" s="5" t="str">
        <f>IFERROR(__xludf.DUMMYFUNCTION("""COMPUTED_VALUE"""),"ENVIRONMENTAL")</f>
        <v>ENVIRONMENTAL</v>
      </c>
      <c r="D333" s="6" t="str">
        <f>IFERROR(__xludf.DUMMYFUNCTION("""COMPUTED_VALUE"""),"YOLOv9-e")</f>
        <v>YOLOv9-e</v>
      </c>
      <c r="E333" s="6" t="str">
        <f>IFERROR(__xludf.DUMMYFUNCTION("""COMPUTED_VALUE"""),"Occlusion")</f>
        <v>Occlusion</v>
      </c>
    </row>
    <row r="334" ht="15.75" customHeight="1">
      <c r="A334" s="5" t="str">
        <f>IFERROR(__xludf.DUMMYFUNCTION("""COMPUTED_VALUE"""),"SCOPUS-000192")</f>
        <v>SCOPUS-000192</v>
      </c>
      <c r="B334" s="5" t="str">
        <f>IFERROR(__xludf.DUMMYFUNCTION("""COMPUTED_VALUE"""),"SCOPUS-000192-3")</f>
        <v>SCOPUS-000192-3</v>
      </c>
      <c r="C334" s="5" t="str">
        <f>IFERROR(__xludf.DUMMYFUNCTION("""COMPUTED_VALUE"""),"ENVIRONMENTAL")</f>
        <v>ENVIRONMENTAL</v>
      </c>
      <c r="D334" s="6" t="str">
        <f>IFERROR(__xludf.DUMMYFUNCTION("""COMPUTED_VALUE"""),"YOLOv9-e")</f>
        <v>YOLOv9-e</v>
      </c>
      <c r="E334" s="6" t="str">
        <f>IFERROR(__xludf.DUMMYFUNCTION("""COMPUTED_VALUE"""),"Weed Density Variation")</f>
        <v>Weed Density Variation</v>
      </c>
    </row>
    <row r="335" ht="15.75" customHeight="1">
      <c r="A335" s="5" t="str">
        <f>IFERROR(__xludf.DUMMYFUNCTION("""COMPUTED_VALUE"""),"SCOPUS-000192")</f>
        <v>SCOPUS-000192</v>
      </c>
      <c r="B335" s="5" t="str">
        <f>IFERROR(__xludf.DUMMYFUNCTION("""COMPUTED_VALUE"""),"SCOPUS-000192-4")</f>
        <v>SCOPUS-000192-4</v>
      </c>
      <c r="C335" s="5" t="str">
        <f>IFERROR(__xludf.DUMMYFUNCTION("""COMPUTED_VALUE"""),"DATA")</f>
        <v>DATA</v>
      </c>
      <c r="D335" s="6" t="str">
        <f>IFERROR(__xludf.DUMMYFUNCTION("""COMPUTED_VALUE"""),"YOLOv9-e")</f>
        <v>YOLOv9-e</v>
      </c>
      <c r="E335" s="6" t="str">
        <f>IFERROR(__xludf.DUMMYFUNCTION("""COMPUTED_VALUE"""),"Class Imbalance")</f>
        <v>Class Imbalance</v>
      </c>
    </row>
    <row r="336" ht="15.75" customHeight="1">
      <c r="A336" s="5" t="str">
        <f>IFERROR(__xludf.DUMMYFUNCTION("""COMPUTED_VALUE"""),"SCOPUS-000192")</f>
        <v>SCOPUS-000192</v>
      </c>
      <c r="B336" s="5" t="str">
        <f>IFERROR(__xludf.DUMMYFUNCTION("""COMPUTED_VALUE"""),"SCOPUS-000192-5")</f>
        <v>SCOPUS-000192-5</v>
      </c>
      <c r="C336" s="5" t="str">
        <f>IFERROR(__xludf.DUMMYFUNCTION("""COMPUTED_VALUE"""),"TECHNICAL")</f>
        <v>TECHNICAL</v>
      </c>
      <c r="D336" s="6" t="str">
        <f>IFERROR(__xludf.DUMMYFUNCTION("""COMPUTED_VALUE"""),"YOLOv9-e")</f>
        <v>YOLOv9-e</v>
      </c>
      <c r="E336" s="6" t="str">
        <f>IFERROR(__xludf.DUMMYFUNCTION("""COMPUTED_VALUE"""),"Computational Resource")</f>
        <v>Computational Resource</v>
      </c>
    </row>
    <row r="337" ht="15.75" customHeight="1">
      <c r="A337" s="5" t="str">
        <f>IFERROR(__xludf.DUMMYFUNCTION("""COMPUTED_VALUE"""),"SCOPUS-000192")</f>
        <v>SCOPUS-000192</v>
      </c>
      <c r="B337" s="5" t="str">
        <f>IFERROR(__xludf.DUMMYFUNCTION("""COMPUTED_VALUE"""),"SCOPUS-000192-6")</f>
        <v>SCOPUS-000192-6</v>
      </c>
      <c r="C337" s="5" t="str">
        <f>IFERROR(__xludf.DUMMYFUNCTION("""COMPUTED_VALUE"""),"IMAGING")</f>
        <v>IMAGING</v>
      </c>
      <c r="D337" s="6" t="str">
        <f>IFERROR(__xludf.DUMMYFUNCTION("""COMPUTED_VALUE"""),"YOLOv9-e")</f>
        <v>YOLOv9-e</v>
      </c>
      <c r="E337" s="6" t="str">
        <f>IFERROR(__xludf.DUMMYFUNCTION("""COMPUTED_VALUE"""),"Small Object Detection")</f>
        <v>Small Object Detection</v>
      </c>
    </row>
    <row r="338" ht="15.75" customHeight="1">
      <c r="A338" s="5" t="str">
        <f>IFERROR(__xludf.DUMMYFUNCTION("""COMPUTED_VALUE"""),"SCOPUS-000221")</f>
        <v>SCOPUS-000221</v>
      </c>
      <c r="B338" s="5" t="str">
        <f>IFERROR(__xludf.DUMMYFUNCTION("""COMPUTED_VALUE"""),"SCOPUS-000221-1")</f>
        <v>SCOPUS-000221-1</v>
      </c>
      <c r="C338" s="5" t="str">
        <f>IFERROR(__xludf.DUMMYFUNCTION("""COMPUTED_VALUE"""),"DATA")</f>
        <v>DATA</v>
      </c>
      <c r="D338" s="6" t="str">
        <f>IFERROR(__xludf.DUMMYFUNCTION("""COMPUTED_VALUE"""),"EfficientNet V2")</f>
        <v>EfficientNet V2</v>
      </c>
      <c r="E338" s="6" t="str">
        <f>IFERROR(__xludf.DUMMYFUNCTION("""COMPUTED_VALUE"""),"Class Imbalance")</f>
        <v>Class Imbalance</v>
      </c>
    </row>
    <row r="339" ht="15.75" customHeight="1">
      <c r="A339" s="5" t="str">
        <f>IFERROR(__xludf.DUMMYFUNCTION("""COMPUTED_VALUE"""),"SCOPUS-000221")</f>
        <v>SCOPUS-000221</v>
      </c>
      <c r="B339" s="5" t="str">
        <f>IFERROR(__xludf.DUMMYFUNCTION("""COMPUTED_VALUE"""),"SCOPUS-000221-2")</f>
        <v>SCOPUS-000221-2</v>
      </c>
      <c r="C339" s="5" t="str">
        <f>IFERROR(__xludf.DUMMYFUNCTION("""COMPUTED_VALUE"""),"ENVIRONMENTAL")</f>
        <v>ENVIRONMENTAL</v>
      </c>
      <c r="D339" s="6" t="str">
        <f>IFERROR(__xludf.DUMMYFUNCTION("""COMPUTED_VALUE"""),"EfficientNet V2")</f>
        <v>EfficientNet V2</v>
      </c>
      <c r="E339" s="6" t="str">
        <f>IFERROR(__xludf.DUMMYFUNCTION("""COMPUTED_VALUE"""),"Environmental Variation")</f>
        <v>Environmental Variation</v>
      </c>
    </row>
    <row r="340" ht="15.75" customHeight="1">
      <c r="A340" s="5" t="str">
        <f>IFERROR(__xludf.DUMMYFUNCTION("""COMPUTED_VALUE"""),"SCOPUS-000221")</f>
        <v>SCOPUS-000221</v>
      </c>
      <c r="B340" s="5" t="str">
        <f>IFERROR(__xludf.DUMMYFUNCTION("""COMPUTED_VALUE"""),"SCOPUS-000221-3")</f>
        <v>SCOPUS-000221-3</v>
      </c>
      <c r="C340" s="5" t="str">
        <f>IFERROR(__xludf.DUMMYFUNCTION("""COMPUTED_VALUE"""),"IMAGING")</f>
        <v>IMAGING</v>
      </c>
      <c r="D340" s="6" t="str">
        <f>IFERROR(__xludf.DUMMYFUNCTION("""COMPUTED_VALUE"""),"ViT-b16")</f>
        <v>ViT-b16</v>
      </c>
      <c r="E340" s="6" t="str">
        <f>IFERROR(__xludf.DUMMYFUNCTION("""COMPUTED_VALUE"""),"Visual Similarity")</f>
        <v>Visual Similarity</v>
      </c>
    </row>
    <row r="341" ht="15.75" customHeight="1">
      <c r="A341" s="5" t="str">
        <f>IFERROR(__xludf.DUMMYFUNCTION("""COMPUTED_VALUE"""),"SCOPUS-000221")</f>
        <v>SCOPUS-000221</v>
      </c>
      <c r="B341" s="5" t="str">
        <f>IFERROR(__xludf.DUMMYFUNCTION("""COMPUTED_VALUE"""),"SCOPUS-000221-4")</f>
        <v>SCOPUS-000221-4</v>
      </c>
      <c r="C341" s="5" t="str">
        <f>IFERROR(__xludf.DUMMYFUNCTION("""COMPUTED_VALUE"""),"DATA")</f>
        <v>DATA</v>
      </c>
      <c r="D341" s="6" t="str">
        <f>IFERROR(__xludf.DUMMYFUNCTION("""COMPUTED_VALUE"""),"ViT-b16")</f>
        <v>ViT-b16</v>
      </c>
      <c r="E341" s="6" t="str">
        <f>IFERROR(__xludf.DUMMYFUNCTION("""COMPUTED_VALUE"""),"Data Scarcity")</f>
        <v>Data Scarcity</v>
      </c>
    </row>
    <row r="342" ht="15.75" customHeight="1">
      <c r="A342" s="5" t="str">
        <f>IFERROR(__xludf.DUMMYFUNCTION("""COMPUTED_VALUE"""),"SCOPUS-000224")</f>
        <v>SCOPUS-000224</v>
      </c>
      <c r="B342" s="5" t="str">
        <f>IFERROR(__xludf.DUMMYFUNCTION("""COMPUTED_VALUE"""),"SCOPUS-000224-1")</f>
        <v>SCOPUS-000224-1</v>
      </c>
      <c r="C342" s="5" t="str">
        <f>IFERROR(__xludf.DUMMYFUNCTION("""COMPUTED_VALUE"""),"IMAGING")</f>
        <v>IMAGING</v>
      </c>
      <c r="D342" s="6" t="str">
        <f>IFERROR(__xludf.DUMMYFUNCTION("""COMPUTED_VALUE"""),"YOLOv5s")</f>
        <v>YOLOv5s</v>
      </c>
      <c r="E342" s="6" t="str">
        <f>IFERROR(__xludf.DUMMYFUNCTION("""COMPUTED_VALUE"""),"Small Object Detection")</f>
        <v>Small Object Detection</v>
      </c>
    </row>
    <row r="343" ht="15.75" customHeight="1">
      <c r="A343" s="5" t="str">
        <f>IFERROR(__xludf.DUMMYFUNCTION("""COMPUTED_VALUE"""),"SCOPUS-000224")</f>
        <v>SCOPUS-000224</v>
      </c>
      <c r="B343" s="5" t="str">
        <f>IFERROR(__xludf.DUMMYFUNCTION("""COMPUTED_VALUE"""),"SCOPUS-000224-2")</f>
        <v>SCOPUS-000224-2</v>
      </c>
      <c r="C343" s="5" t="str">
        <f>IFERROR(__xludf.DUMMYFUNCTION("""COMPUTED_VALUE"""),"ENVIRONMENTAL")</f>
        <v>ENVIRONMENTAL</v>
      </c>
      <c r="D343" s="6" t="str">
        <f>IFERROR(__xludf.DUMMYFUNCTION("""COMPUTED_VALUE"""),"YOLOv5s")</f>
        <v>YOLOv5s</v>
      </c>
      <c r="E343" s="6" t="str">
        <f>IFERROR(__xludf.DUMMYFUNCTION("""COMPUTED_VALUE"""),"Occlusion")</f>
        <v>Occlusion</v>
      </c>
    </row>
    <row r="344" ht="15.75" customHeight="1">
      <c r="A344" s="5" t="str">
        <f>IFERROR(__xludf.DUMMYFUNCTION("""COMPUTED_VALUE"""),"SCOPUS-000224")</f>
        <v>SCOPUS-000224</v>
      </c>
      <c r="B344" s="5" t="str">
        <f>IFERROR(__xludf.DUMMYFUNCTION("""COMPUTED_VALUE"""),"SCOPUS-000224-3")</f>
        <v>SCOPUS-000224-3</v>
      </c>
      <c r="C344" s="5" t="str">
        <f>IFERROR(__xludf.DUMMYFUNCTION("""COMPUTED_VALUE"""),"IMAGING")</f>
        <v>IMAGING</v>
      </c>
      <c r="D344" s="6" t="str">
        <f>IFERROR(__xludf.DUMMYFUNCTION("""COMPUTED_VALUE"""),"YOLOv5s")</f>
        <v>YOLOv5s</v>
      </c>
      <c r="E344" s="6" t="str">
        <f>IFERROR(__xludf.DUMMYFUNCTION("""COMPUTED_VALUE"""),"Scale Variation")</f>
        <v>Scale Variation</v>
      </c>
    </row>
    <row r="345" ht="15.75" customHeight="1">
      <c r="A345" s="5" t="str">
        <f>IFERROR(__xludf.DUMMYFUNCTION("""COMPUTED_VALUE"""),"SCOPUS-000224")</f>
        <v>SCOPUS-000224</v>
      </c>
      <c r="B345" s="5" t="str">
        <f>IFERROR(__xludf.DUMMYFUNCTION("""COMPUTED_VALUE"""),"SCOPUS-000224-4")</f>
        <v>SCOPUS-000224-4</v>
      </c>
      <c r="C345" s="5" t="str">
        <f>IFERROR(__xludf.DUMMYFUNCTION("""COMPUTED_VALUE"""),"ENVIRONMENTAL")</f>
        <v>ENVIRONMENTAL</v>
      </c>
      <c r="D345" s="6" t="str">
        <f>IFERROR(__xludf.DUMMYFUNCTION("""COMPUTED_VALUE"""),"YOLOv5s")</f>
        <v>YOLOv5s</v>
      </c>
      <c r="E345" s="6" t="str">
        <f>IFERROR(__xludf.DUMMYFUNCTION("""COMPUTED_VALUE"""),"Morphological Variation")</f>
        <v>Morphological Variation</v>
      </c>
    </row>
    <row r="346" ht="15.75" customHeight="1">
      <c r="A346" s="5" t="str">
        <f>IFERROR(__xludf.DUMMYFUNCTION("""COMPUTED_VALUE"""),"SCOPUS-000227")</f>
        <v>SCOPUS-000227</v>
      </c>
      <c r="B346" s="5" t="str">
        <f>IFERROR(__xludf.DUMMYFUNCTION("""COMPUTED_VALUE"""),"SCOPUS-000227-1")</f>
        <v>SCOPUS-000227-1</v>
      </c>
      <c r="C346" s="5" t="str">
        <f>IFERROR(__xludf.DUMMYFUNCTION("""COMPUTED_VALUE"""),"DATA")</f>
        <v>DATA</v>
      </c>
      <c r="D346" s="6" t="str">
        <f>IFERROR(__xludf.DUMMYFUNCTION("""COMPUTED_VALUE"""),"YOLOv8")</f>
        <v>YOLOv8</v>
      </c>
      <c r="E346" s="6" t="str">
        <f>IFERROR(__xludf.DUMMYFUNCTION("""COMPUTED_VALUE"""),"Domain Shift")</f>
        <v>Domain Shift</v>
      </c>
    </row>
    <row r="347" ht="15.75" customHeight="1">
      <c r="A347" s="5" t="str">
        <f>IFERROR(__xludf.DUMMYFUNCTION("""COMPUTED_VALUE"""),"SCOPUS-000227")</f>
        <v>SCOPUS-000227</v>
      </c>
      <c r="B347" s="5" t="str">
        <f>IFERROR(__xludf.DUMMYFUNCTION("""COMPUTED_VALUE"""),"SCOPUS-000227-2")</f>
        <v>SCOPUS-000227-2</v>
      </c>
      <c r="C347" s="5" t="str">
        <f>IFERROR(__xludf.DUMMYFUNCTION("""COMPUTED_VALUE"""),"TECHNICAL")</f>
        <v>TECHNICAL</v>
      </c>
      <c r="D347" s="6" t="str">
        <f>IFERROR(__xludf.DUMMYFUNCTION("""COMPUTED_VALUE"""),"YOLOX")</f>
        <v>YOLOX</v>
      </c>
      <c r="E347" s="6" t="str">
        <f>IFERROR(__xludf.DUMMYFUNCTION("""COMPUTED_VALUE"""),"Model Generalization")</f>
        <v>Model Generalization</v>
      </c>
    </row>
    <row r="348" ht="15.75" customHeight="1">
      <c r="A348" s="5" t="str">
        <f>IFERROR(__xludf.DUMMYFUNCTION("""COMPUTED_VALUE"""),"SCOPUS-000227")</f>
        <v>SCOPUS-000227</v>
      </c>
      <c r="B348" s="5" t="str">
        <f>IFERROR(__xludf.DUMMYFUNCTION("""COMPUTED_VALUE"""),"SCOPUS-000227-3")</f>
        <v>SCOPUS-000227-3</v>
      </c>
      <c r="C348" s="5" t="str">
        <f>IFERROR(__xludf.DUMMYFUNCTION("""COMPUTED_VALUE"""),"ENVIRONMENTAL")</f>
        <v>ENVIRONMENTAL</v>
      </c>
      <c r="D348" s="6" t="str">
        <f>IFERROR(__xludf.DUMMYFUNCTION("""COMPUTED_VALUE"""),"YOLOv8")</f>
        <v>YOLOv8</v>
      </c>
      <c r="E348" s="6" t="str">
        <f>IFERROR(__xludf.DUMMYFUNCTION("""COMPUTED_VALUE"""),"Morphological Variation")</f>
        <v>Morphological Variation</v>
      </c>
    </row>
    <row r="349" ht="15.75" customHeight="1">
      <c r="A349" s="5" t="str">
        <f>IFERROR(__xludf.DUMMYFUNCTION("""COMPUTED_VALUE"""),"SCOPUS-000227")</f>
        <v>SCOPUS-000227</v>
      </c>
      <c r="B349" s="5" t="str">
        <f>IFERROR(__xludf.DUMMYFUNCTION("""COMPUTED_VALUE"""),"SCOPUS-000227-4")</f>
        <v>SCOPUS-000227-4</v>
      </c>
      <c r="C349" s="5" t="str">
        <f>IFERROR(__xludf.DUMMYFUNCTION("""COMPUTED_VALUE"""),"ENVIRONMENTAL")</f>
        <v>ENVIRONMENTAL</v>
      </c>
      <c r="D349" s="6" t="str">
        <f>IFERROR(__xludf.DUMMYFUNCTION("""COMPUTED_VALUE"""),"YOLOv8")</f>
        <v>YOLOv8</v>
      </c>
      <c r="E349" s="6" t="str">
        <f>IFERROR(__xludf.DUMMYFUNCTION("""COMPUTED_VALUE"""),"Environmental Variation")</f>
        <v>Environmental Variation</v>
      </c>
    </row>
    <row r="350" ht="15.75" customHeight="1">
      <c r="A350" s="5" t="str">
        <f>IFERROR(__xludf.DUMMYFUNCTION("""COMPUTED_VALUE"""),"SCOPUS-000238")</f>
        <v>SCOPUS-000238</v>
      </c>
      <c r="B350" s="5" t="str">
        <f>IFERROR(__xludf.DUMMYFUNCTION("""COMPUTED_VALUE"""),"SCOPUS-000238-1")</f>
        <v>SCOPUS-000238-1</v>
      </c>
      <c r="C350" s="5" t="str">
        <f>IFERROR(__xludf.DUMMYFUNCTION("""COMPUTED_VALUE"""),"DATA")</f>
        <v>DATA</v>
      </c>
      <c r="D350" s="6" t="str">
        <f>IFERROR(__xludf.DUMMYFUNCTION("""COMPUTED_VALUE"""),"YOLOv9")</f>
        <v>YOLOv9</v>
      </c>
      <c r="E350" s="6" t="str">
        <f>IFERROR(__xludf.DUMMYFUNCTION("""COMPUTED_VALUE"""),"Domain Shift")</f>
        <v>Domain Shift</v>
      </c>
    </row>
    <row r="351" ht="15.75" customHeight="1">
      <c r="A351" s="5" t="str">
        <f>IFERROR(__xludf.DUMMYFUNCTION("""COMPUTED_VALUE"""),"SCOPUS-000238")</f>
        <v>SCOPUS-000238</v>
      </c>
      <c r="B351" s="5" t="str">
        <f>IFERROR(__xludf.DUMMYFUNCTION("""COMPUTED_VALUE"""),"SCOPUS-000238-2")</f>
        <v>SCOPUS-000238-2</v>
      </c>
      <c r="C351" s="5" t="str">
        <f>IFERROR(__xludf.DUMMYFUNCTION("""COMPUTED_VALUE"""),"ENVIRONMENTAL")</f>
        <v>ENVIRONMENTAL</v>
      </c>
      <c r="D351" s="6" t="str">
        <f>IFERROR(__xludf.DUMMYFUNCTION("""COMPUTED_VALUE"""),"YOLOv9")</f>
        <v>YOLOv9</v>
      </c>
      <c r="E351" s="6" t="str">
        <f>IFERROR(__xludf.DUMMYFUNCTION("""COMPUTED_VALUE"""),"Morphological Variation")</f>
        <v>Morphological Variation</v>
      </c>
    </row>
    <row r="352" ht="15.75" customHeight="1">
      <c r="A352" s="5" t="str">
        <f>IFERROR(__xludf.DUMMYFUNCTION("""COMPUTED_VALUE"""),"SCOPUS-000238")</f>
        <v>SCOPUS-000238</v>
      </c>
      <c r="B352" s="5" t="str">
        <f>IFERROR(__xludf.DUMMYFUNCTION("""COMPUTED_VALUE"""),"SCOPUS-000238-3")</f>
        <v>SCOPUS-000238-3</v>
      </c>
      <c r="C352" s="5" t="str">
        <f>IFERROR(__xludf.DUMMYFUNCTION("""COMPUTED_VALUE"""),"DATA")</f>
        <v>DATA</v>
      </c>
      <c r="D352" s="6" t="str">
        <f>IFERROR(__xludf.DUMMYFUNCTION("""COMPUTED_VALUE"""),"YOLOv9")</f>
        <v>YOLOv9</v>
      </c>
      <c r="E352" s="6" t="str">
        <f>IFERROR(__xludf.DUMMYFUNCTION("""COMPUTED_VALUE"""),"Class Imbalance")</f>
        <v>Class Imbalance</v>
      </c>
    </row>
    <row r="353" ht="15.75" customHeight="1">
      <c r="A353" s="5" t="str">
        <f>IFERROR(__xludf.DUMMYFUNCTION("""COMPUTED_VALUE"""),"SCOPUS-000238")</f>
        <v>SCOPUS-000238</v>
      </c>
      <c r="B353" s="5" t="str">
        <f>IFERROR(__xludf.DUMMYFUNCTION("""COMPUTED_VALUE"""),"SCOPUS-000238-4")</f>
        <v>SCOPUS-000238-4</v>
      </c>
      <c r="C353" s="5" t="str">
        <f>IFERROR(__xludf.DUMMYFUNCTION("""COMPUTED_VALUE"""),"DATA")</f>
        <v>DATA</v>
      </c>
      <c r="D353" s="6" t="str">
        <f>IFERROR(__xludf.DUMMYFUNCTION("""COMPUTED_VALUE"""),"YOLOv9")</f>
        <v>YOLOv9</v>
      </c>
      <c r="E353" s="6" t="str">
        <f>IFERROR(__xludf.DUMMYFUNCTION("""COMPUTED_VALUE"""),"Annotation")</f>
        <v>Annotation</v>
      </c>
    </row>
    <row r="354" ht="15.75" customHeight="1">
      <c r="A354" s="5" t="str">
        <f>IFERROR(__xludf.DUMMYFUNCTION("""COMPUTED_VALUE"""),"SCOPUS-000251")</f>
        <v>SCOPUS-000251</v>
      </c>
      <c r="B354" s="5" t="str">
        <f>IFERROR(__xludf.DUMMYFUNCTION("""COMPUTED_VALUE"""),"SCOPUS-000251-1")</f>
        <v>SCOPUS-000251-1</v>
      </c>
      <c r="C354" s="5" t="str">
        <f>IFERROR(__xludf.DUMMYFUNCTION("""COMPUTED_VALUE"""),"IMAGING")</f>
        <v>IMAGING</v>
      </c>
      <c r="D354" s="6" t="str">
        <f>IFERROR(__xludf.DUMMYFUNCTION("""COMPUTED_VALUE"""),"YOLOv10l RGB")</f>
        <v>YOLOv10l RGB</v>
      </c>
      <c r="E354" s="6" t="str">
        <f>IFERROR(__xludf.DUMMYFUNCTION("""COMPUTED_VALUE"""),"Visual Similarity")</f>
        <v>Visual Similarity</v>
      </c>
    </row>
    <row r="355" ht="15.75" customHeight="1">
      <c r="A355" s="5" t="str">
        <f>IFERROR(__xludf.DUMMYFUNCTION("""COMPUTED_VALUE"""),"SCOPUS-000251")</f>
        <v>SCOPUS-000251</v>
      </c>
      <c r="B355" s="5" t="str">
        <f>IFERROR(__xludf.DUMMYFUNCTION("""COMPUTED_VALUE"""),"SCOPUS-000251-2")</f>
        <v>SCOPUS-000251-2</v>
      </c>
      <c r="C355" s="5" t="str">
        <f>IFERROR(__xludf.DUMMYFUNCTION("""COMPUTED_VALUE"""),"IMAGING")</f>
        <v>IMAGING</v>
      </c>
      <c r="D355" s="6" t="str">
        <f>IFERROR(__xludf.DUMMYFUNCTION("""COMPUTED_VALUE"""),"YOLOv10l RGB")</f>
        <v>YOLOv10l RGB</v>
      </c>
      <c r="E355" s="6" t="str">
        <f>IFERROR(__xludf.DUMMYFUNCTION("""COMPUTED_VALUE"""),"Small Object Detection")</f>
        <v>Small Object Detection</v>
      </c>
    </row>
    <row r="356" ht="15.75" customHeight="1">
      <c r="A356" s="5" t="str">
        <f>IFERROR(__xludf.DUMMYFUNCTION("""COMPUTED_VALUE"""),"SCOPUS-000251")</f>
        <v>SCOPUS-000251</v>
      </c>
      <c r="B356" s="5" t="str">
        <f>IFERROR(__xludf.DUMMYFUNCTION("""COMPUTED_VALUE"""),"SCOPUS-000251-3")</f>
        <v>SCOPUS-000251-3</v>
      </c>
      <c r="C356" s="5" t="str">
        <f>IFERROR(__xludf.DUMMYFUNCTION("""COMPUTED_VALUE"""),"IMAGING")</f>
        <v>IMAGING</v>
      </c>
      <c r="D356" s="6" t="str">
        <f>IFERROR(__xludf.DUMMYFUNCTION("""COMPUTED_VALUE"""),"YOLOv10l RGB")</f>
        <v>YOLOv10l RGB</v>
      </c>
      <c r="E356" s="6" t="str">
        <f>IFERROR(__xludf.DUMMYFUNCTION("""COMPUTED_VALUE"""),"Image Alignment")</f>
        <v>Image Alignment</v>
      </c>
    </row>
    <row r="357" ht="15.75" customHeight="1">
      <c r="A357" s="5" t="str">
        <f>IFERROR(__xludf.DUMMYFUNCTION("""COMPUTED_VALUE"""),"SCOPUS-000251")</f>
        <v>SCOPUS-000251</v>
      </c>
      <c r="B357" s="5" t="str">
        <f>IFERROR(__xludf.DUMMYFUNCTION("""COMPUTED_VALUE"""),"SCOPUS-000251-4")</f>
        <v>SCOPUS-000251-4</v>
      </c>
      <c r="C357" s="5" t="str">
        <f>IFERROR(__xludf.DUMMYFUNCTION("""COMPUTED_VALUE"""),"ENVIRONMENTAL")</f>
        <v>ENVIRONMENTAL</v>
      </c>
      <c r="D357" s="6" t="str">
        <f>IFERROR(__xludf.DUMMYFUNCTION("""COMPUTED_VALUE"""),"YOLOv10l RGB")</f>
        <v>YOLOv10l RGB</v>
      </c>
      <c r="E357" s="6" t="str">
        <f>IFERROR(__xludf.DUMMYFUNCTION("""COMPUTED_VALUE"""),"Environmental Variation")</f>
        <v>Environmental Variation</v>
      </c>
    </row>
    <row r="358" ht="15.75" customHeight="1">
      <c r="A358" s="5" t="str">
        <f>IFERROR(__xludf.DUMMYFUNCTION("""COMPUTED_VALUE"""),"SCOPUS-000251")</f>
        <v>SCOPUS-000251</v>
      </c>
      <c r="B358" s="5" t="str">
        <f>IFERROR(__xludf.DUMMYFUNCTION("""COMPUTED_VALUE"""),"SCOPUS-000251-5")</f>
        <v>SCOPUS-000251-5</v>
      </c>
      <c r="C358" s="5" t="str">
        <f>IFERROR(__xludf.DUMMYFUNCTION("""COMPUTED_VALUE"""),"DATA")</f>
        <v>DATA</v>
      </c>
      <c r="D358" s="6" t="str">
        <f>IFERROR(__xludf.DUMMYFUNCTION("""COMPUTED_VALUE"""),"YOLOv10l RGB")</f>
        <v>YOLOv10l RGB</v>
      </c>
      <c r="E358" s="6" t="str">
        <f>IFERROR(__xludf.DUMMYFUNCTION("""COMPUTED_VALUE"""),"Annotation")</f>
        <v>Annotation</v>
      </c>
    </row>
    <row r="359" ht="15.75" customHeight="1">
      <c r="A359" s="5" t="str">
        <f>IFERROR(__xludf.DUMMYFUNCTION("""COMPUTED_VALUE"""),"SCOPUS-000257")</f>
        <v>SCOPUS-000257</v>
      </c>
      <c r="B359" s="5" t="str">
        <f>IFERROR(__xludf.DUMMYFUNCTION("""COMPUTED_VALUE"""),"SCOPUS-000257-1")</f>
        <v>SCOPUS-000257-1</v>
      </c>
      <c r="C359" s="5" t="str">
        <f>IFERROR(__xludf.DUMMYFUNCTION("""COMPUTED_VALUE"""),"TECHNICAL")</f>
        <v>TECHNICAL</v>
      </c>
      <c r="D359" s="6" t="str">
        <f>IFERROR(__xludf.DUMMYFUNCTION("""COMPUTED_VALUE"""),"YOLO v11n")</f>
        <v>YOLO v11n</v>
      </c>
      <c r="E359" s="6" t="str">
        <f>IFERROR(__xludf.DUMMYFUNCTION("""COMPUTED_VALUE"""),"Computational Resource")</f>
        <v>Computational Resource</v>
      </c>
    </row>
    <row r="360" ht="15.75" customHeight="1">
      <c r="A360" s="5" t="str">
        <f>IFERROR(__xludf.DUMMYFUNCTION("""COMPUTED_VALUE"""),"SCOPUS-000257")</f>
        <v>SCOPUS-000257</v>
      </c>
      <c r="B360" s="5" t="str">
        <f>IFERROR(__xludf.DUMMYFUNCTION("""COMPUTED_VALUE"""),"SCOPUS-000257-2")</f>
        <v>SCOPUS-000257-2</v>
      </c>
      <c r="C360" s="5" t="str">
        <f>IFERROR(__xludf.DUMMYFUNCTION("""COMPUTED_VALUE"""),"TECHNICAL")</f>
        <v>TECHNICAL</v>
      </c>
      <c r="D360" s="6" t="str">
        <f>IFERROR(__xludf.DUMMYFUNCTION("""COMPUTED_VALUE"""),"YOLO v11n")</f>
        <v>YOLO v11n</v>
      </c>
      <c r="E360" s="6" t="str">
        <f>IFERROR(__xludf.DUMMYFUNCTION("""COMPUTED_VALUE"""),"Inference Efficiency")</f>
        <v>Inference Efficiency</v>
      </c>
    </row>
    <row r="361" ht="15.75" customHeight="1">
      <c r="A361" s="5" t="str">
        <f>IFERROR(__xludf.DUMMYFUNCTION("""COMPUTED_VALUE"""),"SCOPUS-000257")</f>
        <v>SCOPUS-000257</v>
      </c>
      <c r="B361" s="5" t="str">
        <f>IFERROR(__xludf.DUMMYFUNCTION("""COMPUTED_VALUE"""),"SCOPUS-000257-3")</f>
        <v>SCOPUS-000257-3</v>
      </c>
      <c r="C361" s="5" t="str">
        <f>IFERROR(__xludf.DUMMYFUNCTION("""COMPUTED_VALUE"""),"IMAGING")</f>
        <v>IMAGING</v>
      </c>
      <c r="D361" s="6" t="str">
        <f>IFERROR(__xludf.DUMMYFUNCTION("""COMPUTED_VALUE"""),"YOLO v11n")</f>
        <v>YOLO v11n</v>
      </c>
      <c r="E361" s="6" t="str">
        <f>IFERROR(__xludf.DUMMYFUNCTION("""COMPUTED_VALUE"""),"Small Object Detection")</f>
        <v>Small Object Detection</v>
      </c>
    </row>
    <row r="362" ht="15.75" customHeight="1">
      <c r="A362" s="5" t="str">
        <f>IFERROR(__xludf.DUMMYFUNCTION("""COMPUTED_VALUE"""),"SCOPUS-000257")</f>
        <v>SCOPUS-000257</v>
      </c>
      <c r="B362" s="5" t="str">
        <f>IFERROR(__xludf.DUMMYFUNCTION("""COMPUTED_VALUE"""),"SCOPUS-000257-4")</f>
        <v>SCOPUS-000257-4</v>
      </c>
      <c r="C362" s="5" t="str">
        <f>IFERROR(__xludf.DUMMYFUNCTION("""COMPUTED_VALUE"""),"ENVIRONMENTAL")</f>
        <v>ENVIRONMENTAL</v>
      </c>
      <c r="D362" s="6" t="str">
        <f>IFERROR(__xludf.DUMMYFUNCTION("""COMPUTED_VALUE"""),"YOLO v11n")</f>
        <v>YOLO v11n</v>
      </c>
      <c r="E362" s="6" t="str">
        <f>IFERROR(__xludf.DUMMYFUNCTION("""COMPUTED_VALUE"""),"Background Complexity")</f>
        <v>Background Complexity</v>
      </c>
    </row>
    <row r="363" ht="15.75" customHeight="1">
      <c r="A363" s="5" t="str">
        <f>IFERROR(__xludf.DUMMYFUNCTION("""COMPUTED_VALUE"""),"SCOPUS-000257")</f>
        <v>SCOPUS-000257</v>
      </c>
      <c r="B363" s="5" t="str">
        <f>IFERROR(__xludf.DUMMYFUNCTION("""COMPUTED_VALUE"""),"SCOPUS-000257-5")</f>
        <v>SCOPUS-000257-5</v>
      </c>
      <c r="C363" s="5" t="str">
        <f>IFERROR(__xludf.DUMMYFUNCTION("""COMPUTED_VALUE"""),"IMAGING")</f>
        <v>IMAGING</v>
      </c>
      <c r="D363" s="6" t="str">
        <f>IFERROR(__xludf.DUMMYFUNCTION("""COMPUTED_VALUE"""),"YOLO v11n")</f>
        <v>YOLO v11n</v>
      </c>
      <c r="E363" s="6" t="str">
        <f>IFERROR(__xludf.DUMMYFUNCTION("""COMPUTED_VALUE"""),"Visual Similarity")</f>
        <v>Visual Similarity</v>
      </c>
    </row>
    <row r="364" ht="15.75" customHeight="1">
      <c r="A364" s="5" t="str">
        <f>IFERROR(__xludf.DUMMYFUNCTION("""COMPUTED_VALUE"""),"SCOPUS-000258")</f>
        <v>SCOPUS-000258</v>
      </c>
      <c r="B364" s="5" t="str">
        <f>IFERROR(__xludf.DUMMYFUNCTION("""COMPUTED_VALUE"""),"SCOPUS-000258-1")</f>
        <v>SCOPUS-000258-1</v>
      </c>
      <c r="C364" s="5" t="str">
        <f>IFERROR(__xludf.DUMMYFUNCTION("""COMPUTED_VALUE"""),"DATA")</f>
        <v>DATA</v>
      </c>
      <c r="D364" s="6" t="str">
        <f>IFERROR(__xludf.DUMMYFUNCTION("""COMPUTED_VALUE"""),"YOLOv8x")</f>
        <v>YOLOv8x</v>
      </c>
      <c r="E364" s="6" t="str">
        <f>IFERROR(__xludf.DUMMYFUNCTION("""COMPUTED_VALUE"""),"Domain Shift")</f>
        <v>Domain Shift</v>
      </c>
    </row>
    <row r="365" ht="15.75" customHeight="1">
      <c r="A365" s="5" t="str">
        <f>IFERROR(__xludf.DUMMYFUNCTION("""COMPUTED_VALUE"""),"SCOPUS-000258")</f>
        <v>SCOPUS-000258</v>
      </c>
      <c r="B365" s="5" t="str">
        <f>IFERROR(__xludf.DUMMYFUNCTION("""COMPUTED_VALUE"""),"SCOPUS-000258-2")</f>
        <v>SCOPUS-000258-2</v>
      </c>
      <c r="C365" s="5" t="str">
        <f>IFERROR(__xludf.DUMMYFUNCTION("""COMPUTED_VALUE"""),"TECHNICAL")</f>
        <v>TECHNICAL</v>
      </c>
      <c r="D365" s="6" t="str">
        <f>IFERROR(__xludf.DUMMYFUNCTION("""COMPUTED_VALUE"""),"YOLOv8x")</f>
        <v>YOLOv8x</v>
      </c>
      <c r="E365" s="6" t="str">
        <f>IFERROR(__xludf.DUMMYFUNCTION("""COMPUTED_VALUE"""),"Inference Efficiency")</f>
        <v>Inference Efficiency</v>
      </c>
    </row>
    <row r="366" ht="15.75" customHeight="1">
      <c r="A366" s="5" t="str">
        <f>IFERROR(__xludf.DUMMYFUNCTION("""COMPUTED_VALUE"""),"SCOPUS-000258")</f>
        <v>SCOPUS-000258</v>
      </c>
      <c r="B366" s="5" t="str">
        <f>IFERROR(__xludf.DUMMYFUNCTION("""COMPUTED_VALUE"""),"SCOPUS-000258-3")</f>
        <v>SCOPUS-000258-3</v>
      </c>
      <c r="C366" s="5" t="str">
        <f>IFERROR(__xludf.DUMMYFUNCTION("""COMPUTED_VALUE"""),"TECHNICAL")</f>
        <v>TECHNICAL</v>
      </c>
      <c r="D366" s="6" t="str">
        <f>IFERROR(__xludf.DUMMYFUNCTION("""COMPUTED_VALUE"""),"YOLOv8x")</f>
        <v>YOLOv8x</v>
      </c>
      <c r="E366" s="6" t="str">
        <f>IFERROR(__xludf.DUMMYFUNCTION("""COMPUTED_VALUE"""),"Computational Resource")</f>
        <v>Computational Resource</v>
      </c>
    </row>
    <row r="367" ht="15.75" customHeight="1">
      <c r="A367" s="5" t="str">
        <f>IFERROR(__xludf.DUMMYFUNCTION("""COMPUTED_VALUE"""),"SCOPUS-000258")</f>
        <v>SCOPUS-000258</v>
      </c>
      <c r="B367" s="5" t="str">
        <f>IFERROR(__xludf.DUMMYFUNCTION("""COMPUTED_VALUE"""),"SCOPUS-000258-4")</f>
        <v>SCOPUS-000258-4</v>
      </c>
      <c r="C367" s="5" t="str">
        <f>IFERROR(__xludf.DUMMYFUNCTION("""COMPUTED_VALUE"""),"ENVIRONMENTAL")</f>
        <v>ENVIRONMENTAL</v>
      </c>
      <c r="D367" s="6" t="str">
        <f>IFERROR(__xludf.DUMMYFUNCTION("""COMPUTED_VALUE"""),"YOLOv8x")</f>
        <v>YOLOv8x</v>
      </c>
      <c r="E367" s="6" t="str">
        <f>IFERROR(__xludf.DUMMYFUNCTION("""COMPUTED_VALUE"""),"Occlusion")</f>
        <v>Occlusion</v>
      </c>
    </row>
    <row r="368" ht="15.75" customHeight="1">
      <c r="A368" s="5" t="str">
        <f>IFERROR(__xludf.DUMMYFUNCTION("""COMPUTED_VALUE"""),"SCOPUS-000258")</f>
        <v>SCOPUS-000258</v>
      </c>
      <c r="B368" s="5" t="str">
        <f>IFERROR(__xludf.DUMMYFUNCTION("""COMPUTED_VALUE"""),"SCOPUS-000258-5")</f>
        <v>SCOPUS-000258-5</v>
      </c>
      <c r="C368" s="5" t="str">
        <f>IFERROR(__xludf.DUMMYFUNCTION("""COMPUTED_VALUE"""),"DATA")</f>
        <v>DATA</v>
      </c>
      <c r="D368" s="6" t="str">
        <f>IFERROR(__xludf.DUMMYFUNCTION("""COMPUTED_VALUE"""),"YOLOv8x")</f>
        <v>YOLOv8x</v>
      </c>
      <c r="E368" s="6" t="str">
        <f>IFERROR(__xludf.DUMMYFUNCTION("""COMPUTED_VALUE"""),"Class Imbalance")</f>
        <v>Class Imbalance</v>
      </c>
    </row>
    <row r="369" ht="15.75" customHeight="1">
      <c r="A369" s="5" t="str">
        <f>IFERROR(__xludf.DUMMYFUNCTION("""COMPUTED_VALUE"""),"SCOPUS-000262")</f>
        <v>SCOPUS-000262</v>
      </c>
      <c r="B369" s="5" t="str">
        <f>IFERROR(__xludf.DUMMYFUNCTION("""COMPUTED_VALUE"""),"SCOPUS-000262-1")</f>
        <v>SCOPUS-000262-1</v>
      </c>
      <c r="C369" s="5" t="str">
        <f>IFERROR(__xludf.DUMMYFUNCTION("""COMPUTED_VALUE"""),"IMAGING")</f>
        <v>IMAGING</v>
      </c>
      <c r="D369" s="6" t="str">
        <f>IFERROR(__xludf.DUMMYFUNCTION("""COMPUTED_VALUE"""),"YOLOv8n")</f>
        <v>YOLOv8n</v>
      </c>
      <c r="E369" s="6" t="str">
        <f>IFERROR(__xludf.DUMMYFUNCTION("""COMPUTED_VALUE"""),"Visual Similarity")</f>
        <v>Visual Similarity</v>
      </c>
    </row>
    <row r="370" ht="15.75" customHeight="1">
      <c r="A370" s="5" t="str">
        <f>IFERROR(__xludf.DUMMYFUNCTION("""COMPUTED_VALUE"""),"SCOPUS-000262")</f>
        <v>SCOPUS-000262</v>
      </c>
      <c r="B370" s="5" t="str">
        <f>IFERROR(__xludf.DUMMYFUNCTION("""COMPUTED_VALUE"""),"SCOPUS-000262-2")</f>
        <v>SCOPUS-000262-2</v>
      </c>
      <c r="C370" s="5" t="str">
        <f>IFERROR(__xludf.DUMMYFUNCTION("""COMPUTED_VALUE"""),"DATA")</f>
        <v>DATA</v>
      </c>
      <c r="D370" s="6" t="str">
        <f>IFERROR(__xludf.DUMMYFUNCTION("""COMPUTED_VALUE"""),"YOLOv8n")</f>
        <v>YOLOv8n</v>
      </c>
      <c r="E370" s="6" t="str">
        <f>IFERROR(__xludf.DUMMYFUNCTION("""COMPUTED_VALUE"""),"Annotation")</f>
        <v>Annotation</v>
      </c>
    </row>
    <row r="371" ht="15.75" customHeight="1">
      <c r="A371" s="5" t="str">
        <f>IFERROR(__xludf.DUMMYFUNCTION("""COMPUTED_VALUE"""),"SCOPUS-000262")</f>
        <v>SCOPUS-000262</v>
      </c>
      <c r="B371" s="5" t="str">
        <f>IFERROR(__xludf.DUMMYFUNCTION("""COMPUTED_VALUE"""),"SCOPUS-000262-3")</f>
        <v>SCOPUS-000262-3</v>
      </c>
      <c r="C371" s="5" t="str">
        <f>IFERROR(__xludf.DUMMYFUNCTION("""COMPUTED_VALUE"""),"DATA")</f>
        <v>DATA</v>
      </c>
      <c r="D371" s="6" t="str">
        <f>IFERROR(__xludf.DUMMYFUNCTION("""COMPUTED_VALUE"""),"YOLOv8n")</f>
        <v>YOLOv8n</v>
      </c>
      <c r="E371" s="6" t="str">
        <f>IFERROR(__xludf.DUMMYFUNCTION("""COMPUTED_VALUE"""),"Class Imbalance")</f>
        <v>Class Imbalance</v>
      </c>
    </row>
    <row r="372" ht="15.75" customHeight="1">
      <c r="A372" s="5" t="str">
        <f>IFERROR(__xludf.DUMMYFUNCTION("""COMPUTED_VALUE"""),"SCOPUS-000262")</f>
        <v>SCOPUS-000262</v>
      </c>
      <c r="B372" s="5" t="str">
        <f>IFERROR(__xludf.DUMMYFUNCTION("""COMPUTED_VALUE"""),"SCOPUS-000262-4")</f>
        <v>SCOPUS-000262-4</v>
      </c>
      <c r="C372" s="5" t="str">
        <f>IFERROR(__xludf.DUMMYFUNCTION("""COMPUTED_VALUE"""),"IMAGING")</f>
        <v>IMAGING</v>
      </c>
      <c r="D372" s="6" t="str">
        <f>IFERROR(__xludf.DUMMYFUNCTION("""COMPUTED_VALUE"""),"YOLOv8n")</f>
        <v>YOLOv8n</v>
      </c>
      <c r="E372" s="6" t="str">
        <f>IFERROR(__xludf.DUMMYFUNCTION("""COMPUTED_VALUE"""),"Small Object Detection")</f>
        <v>Small Object Detection</v>
      </c>
    </row>
    <row r="373" ht="15.75" customHeight="1">
      <c r="A373" s="5" t="str">
        <f>IFERROR(__xludf.DUMMYFUNCTION("""COMPUTED_VALUE"""),"SCOPUS-000262")</f>
        <v>SCOPUS-000262</v>
      </c>
      <c r="B373" s="5" t="str">
        <f>IFERROR(__xludf.DUMMYFUNCTION("""COMPUTED_VALUE"""),"SCOPUS-000262-5")</f>
        <v>SCOPUS-000262-5</v>
      </c>
      <c r="C373" s="5" t="str">
        <f>IFERROR(__xludf.DUMMYFUNCTION("""COMPUTED_VALUE"""),"TECHNICAL")</f>
        <v>TECHNICAL</v>
      </c>
      <c r="D373" s="6" t="str">
        <f>IFERROR(__xludf.DUMMYFUNCTION("""COMPUTED_VALUE"""),"YOLOv8n")</f>
        <v>YOLOv8n</v>
      </c>
      <c r="E373" s="6" t="str">
        <f>IFERROR(__xludf.DUMMYFUNCTION("""COMPUTED_VALUE"""),"Inference Efficiency")</f>
        <v>Inference Efficiency</v>
      </c>
    </row>
    <row r="374" ht="15.75" customHeight="1">
      <c r="A374" s="5" t="str">
        <f>IFERROR(__xludf.DUMMYFUNCTION("""COMPUTED_VALUE"""),"SCOPUS-000281")</f>
        <v>SCOPUS-000281</v>
      </c>
      <c r="B374" s="5" t="str">
        <f>IFERROR(__xludf.DUMMYFUNCTION("""COMPUTED_VALUE"""),"SCOPUS-000281-1")</f>
        <v>SCOPUS-000281-1</v>
      </c>
      <c r="C374" s="5" t="str">
        <f>IFERROR(__xludf.DUMMYFUNCTION("""COMPUTED_VALUE"""),"IMAGING")</f>
        <v>IMAGING</v>
      </c>
      <c r="D374" s="6" t="str">
        <f>IFERROR(__xludf.DUMMYFUNCTION("""COMPUTED_VALUE"""),"UNet++ (ResNeXt101_32x8d)")</f>
        <v>UNet++ (ResNeXt101_32x8d)</v>
      </c>
      <c r="E374" s="6" t="str">
        <f>IFERROR(__xludf.DUMMYFUNCTION("""COMPUTED_VALUE"""),"Visual Similarity")</f>
        <v>Visual Similarity</v>
      </c>
    </row>
    <row r="375" ht="15.75" customHeight="1">
      <c r="A375" s="5" t="str">
        <f>IFERROR(__xludf.DUMMYFUNCTION("""COMPUTED_VALUE"""),"SCOPUS-000281")</f>
        <v>SCOPUS-000281</v>
      </c>
      <c r="B375" s="5" t="str">
        <f>IFERROR(__xludf.DUMMYFUNCTION("""COMPUTED_VALUE"""),"SCOPUS-000281-2")</f>
        <v>SCOPUS-000281-2</v>
      </c>
      <c r="C375" s="5" t="str">
        <f>IFERROR(__xludf.DUMMYFUNCTION("""COMPUTED_VALUE"""),"ENVIRONMENTAL")</f>
        <v>ENVIRONMENTAL</v>
      </c>
      <c r="D375" s="6" t="str">
        <f>IFERROR(__xludf.DUMMYFUNCTION("""COMPUTED_VALUE"""),"UNet++ (ResNeXt101_32x8d)")</f>
        <v>UNet++ (ResNeXt101_32x8d)</v>
      </c>
      <c r="E375" s="6" t="str">
        <f>IFERROR(__xludf.DUMMYFUNCTION("""COMPUTED_VALUE"""),"Background Complexity")</f>
        <v>Background Complexity</v>
      </c>
    </row>
    <row r="376" ht="15.75" customHeight="1">
      <c r="A376" s="5" t="str">
        <f>IFERROR(__xludf.DUMMYFUNCTION("""COMPUTED_VALUE"""),"SCOPUS-000281")</f>
        <v>SCOPUS-000281</v>
      </c>
      <c r="B376" s="5" t="str">
        <f>IFERROR(__xludf.DUMMYFUNCTION("""COMPUTED_VALUE"""),"SCOPUS-000281-3")</f>
        <v>SCOPUS-000281-3</v>
      </c>
      <c r="C376" s="5" t="str">
        <f>IFERROR(__xludf.DUMMYFUNCTION("""COMPUTED_VALUE"""),"ENVIRONMENTAL")</f>
        <v>ENVIRONMENTAL</v>
      </c>
      <c r="D376" s="6" t="str">
        <f>IFERROR(__xludf.DUMMYFUNCTION("""COMPUTED_VALUE"""),"UNet++ (ResNeXt101_32x8d)")</f>
        <v>UNet++ (ResNeXt101_32x8d)</v>
      </c>
      <c r="E376" s="6" t="str">
        <f>IFERROR(__xludf.DUMMYFUNCTION("""COMPUTED_VALUE"""),"Environmental Variation")</f>
        <v>Environmental Variation</v>
      </c>
    </row>
    <row r="377" ht="15.75" customHeight="1">
      <c r="A377" s="5" t="str">
        <f>IFERROR(__xludf.DUMMYFUNCTION("""COMPUTED_VALUE"""),"SCOPUS-000281")</f>
        <v>SCOPUS-000281</v>
      </c>
      <c r="B377" s="5" t="str">
        <f>IFERROR(__xludf.DUMMYFUNCTION("""COMPUTED_VALUE"""),"SCOPUS-000281-4")</f>
        <v>SCOPUS-000281-4</v>
      </c>
      <c r="C377" s="5" t="str">
        <f>IFERROR(__xludf.DUMMYFUNCTION("""COMPUTED_VALUE"""),"IMAGING")</f>
        <v>IMAGING</v>
      </c>
      <c r="D377" s="6" t="str">
        <f>IFERROR(__xludf.DUMMYFUNCTION("""COMPUTED_VALUE"""),"UNet++ (ResNeXt101_32x8d)")</f>
        <v>UNet++ (ResNeXt101_32x8d)</v>
      </c>
      <c r="E377" s="6" t="str">
        <f>IFERROR(__xludf.DUMMYFUNCTION("""COMPUTED_VALUE"""),"Image Quality")</f>
        <v>Image Quality</v>
      </c>
    </row>
    <row r="378" ht="15.75" customHeight="1">
      <c r="A378" s="5" t="str">
        <f>IFERROR(__xludf.DUMMYFUNCTION("""COMPUTED_VALUE"""),"SCOPUS-000281")</f>
        <v>SCOPUS-000281</v>
      </c>
      <c r="B378" s="5" t="str">
        <f>IFERROR(__xludf.DUMMYFUNCTION("""COMPUTED_VALUE"""),"SCOPUS-000281-5")</f>
        <v>SCOPUS-000281-5</v>
      </c>
      <c r="C378" s="5" t="str">
        <f>IFERROR(__xludf.DUMMYFUNCTION("""COMPUTED_VALUE"""),"IMAGING")</f>
        <v>IMAGING</v>
      </c>
      <c r="D378" s="6" t="str">
        <f>IFERROR(__xludf.DUMMYFUNCTION("""COMPUTED_VALUE"""),"UNet++ (ResNeXt101_32x8d)")</f>
        <v>UNet++ (ResNeXt101_32x8d)</v>
      </c>
      <c r="E378" s="6" t="str">
        <f>IFERROR(__xludf.DUMMYFUNCTION("""COMPUTED_VALUE"""),"Small Object Detection")</f>
        <v>Small Object Detection</v>
      </c>
    </row>
    <row r="379" ht="15.75" customHeight="1">
      <c r="A379" s="5" t="str">
        <f>IFERROR(__xludf.DUMMYFUNCTION("""COMPUTED_VALUE"""),"SCOPUS-000281")</f>
        <v>SCOPUS-000281</v>
      </c>
      <c r="B379" s="5" t="str">
        <f>IFERROR(__xludf.DUMMYFUNCTION("""COMPUTED_VALUE"""),"SCOPUS-000281-6")</f>
        <v>SCOPUS-000281-6</v>
      </c>
      <c r="C379" s="5" t="str">
        <f>IFERROR(__xludf.DUMMYFUNCTION("""COMPUTED_VALUE"""),"TECHNICAL")</f>
        <v>TECHNICAL</v>
      </c>
      <c r="D379" s="6" t="str">
        <f>IFERROR(__xludf.DUMMYFUNCTION("""COMPUTED_VALUE"""),"UNet++ (ResNeXt101_32x8d)")</f>
        <v>UNet++ (ResNeXt101_32x8d)</v>
      </c>
      <c r="E379" s="6" t="str">
        <f>IFERROR(__xludf.DUMMYFUNCTION("""COMPUTED_VALUE"""),"Computational Resource")</f>
        <v>Computational Resource</v>
      </c>
    </row>
    <row r="380" ht="15.75" customHeight="1">
      <c r="A380" s="5" t="str">
        <f>IFERROR(__xludf.DUMMYFUNCTION("""COMPUTED_VALUE"""),"SCOPUS-000288")</f>
        <v>SCOPUS-000288</v>
      </c>
      <c r="B380" s="5" t="str">
        <f>IFERROR(__xludf.DUMMYFUNCTION("""COMPUTED_VALUE"""),"SCOPUS-000288-1")</f>
        <v>SCOPUS-000288-1</v>
      </c>
      <c r="C380" s="5" t="str">
        <f>IFERROR(__xludf.DUMMYFUNCTION("""COMPUTED_VALUE"""),"DATA")</f>
        <v>DATA</v>
      </c>
      <c r="D380" s="6" t="str">
        <f>IFERROR(__xludf.DUMMYFUNCTION("""COMPUTED_VALUE"""),"EfficientNet B0")</f>
        <v>EfficientNet B0</v>
      </c>
      <c r="E380" s="6" t="str">
        <f>IFERROR(__xludf.DUMMYFUNCTION("""COMPUTED_VALUE"""),"Class Imbalance")</f>
        <v>Class Imbalance</v>
      </c>
    </row>
    <row r="381" ht="15.75" customHeight="1">
      <c r="A381" s="5" t="str">
        <f>IFERROR(__xludf.DUMMYFUNCTION("""COMPUTED_VALUE"""),"SCOPUS-000288")</f>
        <v>SCOPUS-000288</v>
      </c>
      <c r="B381" s="5" t="str">
        <f>IFERROR(__xludf.DUMMYFUNCTION("""COMPUTED_VALUE"""),"SCOPUS-000288-2")</f>
        <v>SCOPUS-000288-2</v>
      </c>
      <c r="C381" s="5" t="str">
        <f>IFERROR(__xludf.DUMMYFUNCTION("""COMPUTED_VALUE"""),"TECHNICAL")</f>
        <v>TECHNICAL</v>
      </c>
      <c r="D381" s="6" t="str">
        <f>IFERROR(__xludf.DUMMYFUNCTION("""COMPUTED_VALUE"""),"EfficientNet B0")</f>
        <v>EfficientNet B0</v>
      </c>
      <c r="E381" s="6" t="str">
        <f>IFERROR(__xludf.DUMMYFUNCTION("""COMPUTED_VALUE"""),"Computational Resource")</f>
        <v>Computational Resource</v>
      </c>
    </row>
    <row r="382" ht="15.75" customHeight="1">
      <c r="A382" s="5" t="str">
        <f>IFERROR(__xludf.DUMMYFUNCTION("""COMPUTED_VALUE"""),"SCOPUS-000288")</f>
        <v>SCOPUS-000288</v>
      </c>
      <c r="B382" s="5" t="str">
        <f>IFERROR(__xludf.DUMMYFUNCTION("""COMPUTED_VALUE"""),"SCOPUS-000288-3")</f>
        <v>SCOPUS-000288-3</v>
      </c>
      <c r="C382" s="5" t="str">
        <f>IFERROR(__xludf.DUMMYFUNCTION("""COMPUTED_VALUE"""),"IMAGING")</f>
        <v>IMAGING</v>
      </c>
      <c r="D382" s="6" t="str">
        <f>IFERROR(__xludf.DUMMYFUNCTION("""COMPUTED_VALUE"""),"EfficientNet B0")</f>
        <v>EfficientNet B0</v>
      </c>
      <c r="E382" s="6" t="str">
        <f>IFERROR(__xludf.DUMMYFUNCTION("""COMPUTED_VALUE"""),"Visual Similarity")</f>
        <v>Visual Similarity</v>
      </c>
    </row>
    <row r="383" ht="15.75" customHeight="1">
      <c r="A383" s="5" t="str">
        <f>IFERROR(__xludf.DUMMYFUNCTION("""COMPUTED_VALUE"""),"SCOPUS-000288")</f>
        <v>SCOPUS-000288</v>
      </c>
      <c r="B383" s="5" t="str">
        <f>IFERROR(__xludf.DUMMYFUNCTION("""COMPUTED_VALUE"""),"SCOPUS-000288-4")</f>
        <v>SCOPUS-000288-4</v>
      </c>
      <c r="C383" s="5" t="str">
        <f>IFERROR(__xludf.DUMMYFUNCTION("""COMPUTED_VALUE"""),"IMAGING")</f>
        <v>IMAGING</v>
      </c>
      <c r="D383" s="6" t="str">
        <f>IFERROR(__xludf.DUMMYFUNCTION("""COMPUTED_VALUE"""),"EfficientNet B0")</f>
        <v>EfficientNet B0</v>
      </c>
      <c r="E383" s="6" t="str">
        <f>IFERROR(__xludf.DUMMYFUNCTION("""COMPUTED_VALUE"""),"Image Quality")</f>
        <v>Image Quality</v>
      </c>
    </row>
    <row r="384" ht="15.75" customHeight="1">
      <c r="A384" s="5" t="str">
        <f>IFERROR(__xludf.DUMMYFUNCTION("""COMPUTED_VALUE"""),"SCOPUS-000289")</f>
        <v>SCOPUS-000289</v>
      </c>
      <c r="B384" s="5" t="str">
        <f>IFERROR(__xludf.DUMMYFUNCTION("""COMPUTED_VALUE"""),"SCOPUS-000289-1")</f>
        <v>SCOPUS-000289-1</v>
      </c>
      <c r="C384" s="5" t="str">
        <f>IFERROR(__xludf.DUMMYFUNCTION("""COMPUTED_VALUE"""),"ENVIRONMENTAL")</f>
        <v>ENVIRONMENTAL</v>
      </c>
      <c r="D384" s="6" t="str">
        <f>IFERROR(__xludf.DUMMYFUNCTION("""COMPUTED_VALUE"""),"YOLOv8n")</f>
        <v>YOLOv8n</v>
      </c>
      <c r="E384" s="6" t="str">
        <f>IFERROR(__xludf.DUMMYFUNCTION("""COMPUTED_VALUE"""),"Environmental Variation")</f>
        <v>Environmental Variation</v>
      </c>
    </row>
    <row r="385" ht="15.75" customHeight="1">
      <c r="A385" s="5" t="str">
        <f>IFERROR(__xludf.DUMMYFUNCTION("""COMPUTED_VALUE"""),"SCOPUS-000289")</f>
        <v>SCOPUS-000289</v>
      </c>
      <c r="B385" s="5" t="str">
        <f>IFERROR(__xludf.DUMMYFUNCTION("""COMPUTED_VALUE"""),"SCOPUS-000289-2")</f>
        <v>SCOPUS-000289-2</v>
      </c>
      <c r="C385" s="5" t="str">
        <f>IFERROR(__xludf.DUMMYFUNCTION("""COMPUTED_VALUE"""),"IMAGING")</f>
        <v>IMAGING</v>
      </c>
      <c r="D385" s="6" t="str">
        <f>IFERROR(__xludf.DUMMYFUNCTION("""COMPUTED_VALUE"""),"YOLOv8n")</f>
        <v>YOLOv8n</v>
      </c>
      <c r="E385" s="6" t="str">
        <f>IFERROR(__xludf.DUMMYFUNCTION("""COMPUTED_VALUE"""),"Visual Similarity")</f>
        <v>Visual Similarity</v>
      </c>
    </row>
    <row r="386" ht="15.75" customHeight="1">
      <c r="A386" s="5" t="str">
        <f>IFERROR(__xludf.DUMMYFUNCTION("""COMPUTED_VALUE"""),"SCOPUS-000289")</f>
        <v>SCOPUS-000289</v>
      </c>
      <c r="B386" s="5" t="str">
        <f>IFERROR(__xludf.DUMMYFUNCTION("""COMPUTED_VALUE"""),"SCOPUS-000289-3")</f>
        <v>SCOPUS-000289-3</v>
      </c>
      <c r="C386" s="5" t="str">
        <f>IFERROR(__xludf.DUMMYFUNCTION("""COMPUTED_VALUE"""),"DATA")</f>
        <v>DATA</v>
      </c>
      <c r="D386" s="6" t="str">
        <f>IFERROR(__xludf.DUMMYFUNCTION("""COMPUTED_VALUE"""),"YOLOv8n")</f>
        <v>YOLOv8n</v>
      </c>
      <c r="E386" s="6" t="str">
        <f>IFERROR(__xludf.DUMMYFUNCTION("""COMPUTED_VALUE"""),"Data Scarcity")</f>
        <v>Data Scarcity</v>
      </c>
    </row>
    <row r="387" ht="15.75" customHeight="1">
      <c r="A387" s="5" t="str">
        <f>IFERROR(__xludf.DUMMYFUNCTION("""COMPUTED_VALUE"""),"SCOPUS-000289")</f>
        <v>SCOPUS-000289</v>
      </c>
      <c r="B387" s="5" t="str">
        <f>IFERROR(__xludf.DUMMYFUNCTION("""COMPUTED_VALUE"""),"SCOPUS-000289-4")</f>
        <v>SCOPUS-000289-4</v>
      </c>
      <c r="C387" s="5" t="str">
        <f>IFERROR(__xludf.DUMMYFUNCTION("""COMPUTED_VALUE"""),"TECHNICAL")</f>
        <v>TECHNICAL</v>
      </c>
      <c r="D387" s="6" t="str">
        <f>IFERROR(__xludf.DUMMYFUNCTION("""COMPUTED_VALUE"""),"YOLOv8n")</f>
        <v>YOLOv8n</v>
      </c>
      <c r="E387" s="6" t="str">
        <f>IFERROR(__xludf.DUMMYFUNCTION("""COMPUTED_VALUE"""),"Computational Resource")</f>
        <v>Computational Resource</v>
      </c>
    </row>
    <row r="388" ht="15.75" customHeight="1">
      <c r="A388" s="5" t="str">
        <f>IFERROR(__xludf.DUMMYFUNCTION("""COMPUTED_VALUE"""),"SCOPUS-000289")</f>
        <v>SCOPUS-000289</v>
      </c>
      <c r="B388" s="5" t="str">
        <f>IFERROR(__xludf.DUMMYFUNCTION("""COMPUTED_VALUE"""),"SCOPUS-000289-5")</f>
        <v>SCOPUS-000289-5</v>
      </c>
      <c r="C388" s="5" t="str">
        <f>IFERROR(__xludf.DUMMYFUNCTION("""COMPUTED_VALUE"""),"ENVIRONMENTAL")</f>
        <v>ENVIRONMENTAL</v>
      </c>
      <c r="D388" s="6" t="str">
        <f>IFERROR(__xludf.DUMMYFUNCTION("""COMPUTED_VALUE"""),"YOLOv8n")</f>
        <v>YOLOv8n</v>
      </c>
      <c r="E388" s="6" t="str">
        <f>IFERROR(__xludf.DUMMYFUNCTION("""COMPUTED_VALUE"""),"Occlusion")</f>
        <v>Occlusion</v>
      </c>
    </row>
    <row r="389" ht="15.75" customHeight="1">
      <c r="A389" s="5" t="str">
        <f>IFERROR(__xludf.DUMMYFUNCTION("""COMPUTED_VALUE"""),"SCOPUS-000306")</f>
        <v>SCOPUS-000306</v>
      </c>
      <c r="B389" s="5" t="str">
        <f>IFERROR(__xludf.DUMMYFUNCTION("""COMPUTED_VALUE"""),"SCOPUS-000306-1")</f>
        <v>SCOPUS-000306-1</v>
      </c>
      <c r="C389" s="5" t="str">
        <f>IFERROR(__xludf.DUMMYFUNCTION("""COMPUTED_VALUE"""),"IMAGING")</f>
        <v>IMAGING</v>
      </c>
      <c r="D389" s="6" t="str">
        <f>IFERROR(__xludf.DUMMYFUNCTION("""COMPUTED_VALUE"""),"YOLOv8")</f>
        <v>YOLOv8</v>
      </c>
      <c r="E389" s="6" t="str">
        <f>IFERROR(__xludf.DUMMYFUNCTION("""COMPUTED_VALUE"""),"Image Quality")</f>
        <v>Image Quality</v>
      </c>
    </row>
    <row r="390" ht="15.75" customHeight="1">
      <c r="A390" s="5" t="str">
        <f>IFERROR(__xludf.DUMMYFUNCTION("""COMPUTED_VALUE"""),"SCOPUS-000306")</f>
        <v>SCOPUS-000306</v>
      </c>
      <c r="B390" s="5" t="str">
        <f>IFERROR(__xludf.DUMMYFUNCTION("""COMPUTED_VALUE"""),"SCOPUS-000306-2")</f>
        <v>SCOPUS-000306-2</v>
      </c>
      <c r="C390" s="5" t="str">
        <f>IFERROR(__xludf.DUMMYFUNCTION("""COMPUTED_VALUE"""),"IMAGING")</f>
        <v>IMAGING</v>
      </c>
      <c r="D390" s="6" t="str">
        <f>IFERROR(__xludf.DUMMYFUNCTION("""COMPUTED_VALUE"""),"YOLOv8")</f>
        <v>YOLOv8</v>
      </c>
      <c r="E390" s="6" t="str">
        <f>IFERROR(__xludf.DUMMYFUNCTION("""COMPUTED_VALUE"""),"Visual Similarity")</f>
        <v>Visual Similarity</v>
      </c>
    </row>
    <row r="391" ht="15.75" customHeight="1">
      <c r="A391" s="5" t="str">
        <f>IFERROR(__xludf.DUMMYFUNCTION("""COMPUTED_VALUE"""),"SCOPUS-000306")</f>
        <v>SCOPUS-000306</v>
      </c>
      <c r="B391" s="5" t="str">
        <f>IFERROR(__xludf.DUMMYFUNCTION("""COMPUTED_VALUE"""),"SCOPUS-000306-3")</f>
        <v>SCOPUS-000306-3</v>
      </c>
      <c r="C391" s="5" t="str">
        <f>IFERROR(__xludf.DUMMYFUNCTION("""COMPUTED_VALUE"""),"DATA")</f>
        <v>DATA</v>
      </c>
      <c r="D391" s="6" t="str">
        <f>IFERROR(__xludf.DUMMYFUNCTION("""COMPUTED_VALUE"""),"YOLOv8")</f>
        <v>YOLOv8</v>
      </c>
      <c r="E391" s="6" t="str">
        <f>IFERROR(__xludf.DUMMYFUNCTION("""COMPUTED_VALUE"""),"Annotation")</f>
        <v>Annotation</v>
      </c>
    </row>
    <row r="392" ht="15.75" customHeight="1">
      <c r="A392" s="5" t="str">
        <f>IFERROR(__xludf.DUMMYFUNCTION("""COMPUTED_VALUE"""),"SCOPUS-000306")</f>
        <v>SCOPUS-000306</v>
      </c>
      <c r="B392" s="5" t="str">
        <f>IFERROR(__xludf.DUMMYFUNCTION("""COMPUTED_VALUE"""),"SCOPUS-000306-4")</f>
        <v>SCOPUS-000306-4</v>
      </c>
      <c r="C392" s="5" t="str">
        <f>IFERROR(__xludf.DUMMYFUNCTION("""COMPUTED_VALUE"""),"IMAGING")</f>
        <v>IMAGING</v>
      </c>
      <c r="D392" s="6" t="str">
        <f>IFERROR(__xludf.DUMMYFUNCTION("""COMPUTED_VALUE"""),"YOLOv8")</f>
        <v>YOLOv8</v>
      </c>
      <c r="E392" s="6" t="str">
        <f>IFERROR(__xludf.DUMMYFUNCTION("""COMPUTED_VALUE"""),"Small Object Detection")</f>
        <v>Small Object Detection</v>
      </c>
    </row>
    <row r="393" ht="15.75" customHeight="1">
      <c r="A393" s="5" t="str">
        <f>IFERROR(__xludf.DUMMYFUNCTION("""COMPUTED_VALUE"""),"SCOPUS-000319")</f>
        <v>SCOPUS-000319</v>
      </c>
      <c r="B393" s="5" t="str">
        <f>IFERROR(__xludf.DUMMYFUNCTION("""COMPUTED_VALUE"""),"SCOPUS-000319-1")</f>
        <v>SCOPUS-000319-1</v>
      </c>
      <c r="C393" s="5" t="str">
        <f>IFERROR(__xludf.DUMMYFUNCTION("""COMPUTED_VALUE"""),"IMAGING")</f>
        <v>IMAGING</v>
      </c>
      <c r="D393" s="6" t="str">
        <f>IFERROR(__xludf.DUMMYFUNCTION("""COMPUTED_VALUE"""),"InceptionV3")</f>
        <v>InceptionV3</v>
      </c>
      <c r="E393" s="6" t="str">
        <f>IFERROR(__xludf.DUMMYFUNCTION("""COMPUTED_VALUE"""),"Visual Similarity")</f>
        <v>Visual Similarity</v>
      </c>
    </row>
    <row r="394" ht="15.75" customHeight="1">
      <c r="A394" s="5" t="str">
        <f>IFERROR(__xludf.DUMMYFUNCTION("""COMPUTED_VALUE"""),"SCOPUS-000319")</f>
        <v>SCOPUS-000319</v>
      </c>
      <c r="B394" s="5" t="str">
        <f>IFERROR(__xludf.DUMMYFUNCTION("""COMPUTED_VALUE"""),"SCOPUS-000319-2")</f>
        <v>SCOPUS-000319-2</v>
      </c>
      <c r="C394" s="5" t="str">
        <f>IFERROR(__xludf.DUMMYFUNCTION("""COMPUTED_VALUE"""),"ENVIRONMENTAL")</f>
        <v>ENVIRONMENTAL</v>
      </c>
      <c r="D394" s="6" t="str">
        <f>IFERROR(__xludf.DUMMYFUNCTION("""COMPUTED_VALUE"""),"InceptionV3")</f>
        <v>InceptionV3</v>
      </c>
      <c r="E394" s="6" t="str">
        <f>IFERROR(__xludf.DUMMYFUNCTION("""COMPUTED_VALUE"""),"Morphological Variation")</f>
        <v>Morphological Variation</v>
      </c>
    </row>
    <row r="395" ht="15.75" customHeight="1">
      <c r="A395" s="5" t="str">
        <f>IFERROR(__xludf.DUMMYFUNCTION("""COMPUTED_VALUE"""),"SCOPUS-000319")</f>
        <v>SCOPUS-000319</v>
      </c>
      <c r="B395" s="5" t="str">
        <f>IFERROR(__xludf.DUMMYFUNCTION("""COMPUTED_VALUE"""),"SCOPUS-000319-3")</f>
        <v>SCOPUS-000319-3</v>
      </c>
      <c r="C395" s="5" t="str">
        <f>IFERROR(__xludf.DUMMYFUNCTION("""COMPUTED_VALUE"""),"ENVIRONMENTAL")</f>
        <v>ENVIRONMENTAL</v>
      </c>
      <c r="D395" s="6" t="str">
        <f>IFERROR(__xludf.DUMMYFUNCTION("""COMPUTED_VALUE"""),"InceptionV3")</f>
        <v>InceptionV3</v>
      </c>
      <c r="E395" s="6" t="str">
        <f>IFERROR(__xludf.DUMMYFUNCTION("""COMPUTED_VALUE"""),"Environmental Variation")</f>
        <v>Environmental Variation</v>
      </c>
    </row>
    <row r="396" ht="15.75" customHeight="1">
      <c r="A396" s="5" t="str">
        <f>IFERROR(__xludf.DUMMYFUNCTION("""COMPUTED_VALUE"""),"SCOPUS-000344")</f>
        <v>SCOPUS-000344</v>
      </c>
      <c r="B396" s="5" t="str">
        <f>IFERROR(__xludf.DUMMYFUNCTION("""COMPUTED_VALUE"""),"SCOPUS-000344-1")</f>
        <v>SCOPUS-000344-1</v>
      </c>
      <c r="C396" s="5" t="str">
        <f>IFERROR(__xludf.DUMMYFUNCTION("""COMPUTED_VALUE"""),"ENVIRONMENTAL")</f>
        <v>ENVIRONMENTAL</v>
      </c>
      <c r="D396" s="6" t="str">
        <f>IFERROR(__xludf.DUMMYFUNCTION("""COMPUTED_VALUE"""),"R-CNN (RGB)")</f>
        <v>R-CNN (RGB)</v>
      </c>
      <c r="E396" s="6" t="str">
        <f>IFERROR(__xludf.DUMMYFUNCTION("""COMPUTED_VALUE"""),"Environmental Variation")</f>
        <v>Environmental Variation</v>
      </c>
    </row>
    <row r="397" ht="15.75" customHeight="1">
      <c r="A397" s="5" t="str">
        <f>IFERROR(__xludf.DUMMYFUNCTION("""COMPUTED_VALUE"""),"SCOPUS-000344")</f>
        <v>SCOPUS-000344</v>
      </c>
      <c r="B397" s="5" t="str">
        <f>IFERROR(__xludf.DUMMYFUNCTION("""COMPUTED_VALUE"""),"SCOPUS-000344-2")</f>
        <v>SCOPUS-000344-2</v>
      </c>
      <c r="C397" s="5" t="str">
        <f>IFERROR(__xludf.DUMMYFUNCTION("""COMPUTED_VALUE"""),"ENVIRONMENTAL")</f>
        <v>ENVIRONMENTAL</v>
      </c>
      <c r="D397" s="6" t="str">
        <f>IFERROR(__xludf.DUMMYFUNCTION("""COMPUTED_VALUE"""),"R-CNN (RGB)")</f>
        <v>R-CNN (RGB)</v>
      </c>
      <c r="E397" s="6" t="str">
        <f>IFERROR(__xludf.DUMMYFUNCTION("""COMPUTED_VALUE"""),"Occlusion")</f>
        <v>Occlusion</v>
      </c>
    </row>
    <row r="398" ht="15.75" customHeight="1">
      <c r="A398" s="5" t="str">
        <f>IFERROR(__xludf.DUMMYFUNCTION("""COMPUTED_VALUE"""),"SCOPUS-000344")</f>
        <v>SCOPUS-000344</v>
      </c>
      <c r="B398" s="5" t="str">
        <f>IFERROR(__xludf.DUMMYFUNCTION("""COMPUTED_VALUE"""),"SCOPUS-000344-3")</f>
        <v>SCOPUS-000344-3</v>
      </c>
      <c r="C398" s="5" t="str">
        <f>IFERROR(__xludf.DUMMYFUNCTION("""COMPUTED_VALUE"""),"IMAGING")</f>
        <v>IMAGING</v>
      </c>
      <c r="D398" s="6" t="str">
        <f>IFERROR(__xludf.DUMMYFUNCTION("""COMPUTED_VALUE"""),"R-CNN (RGB)")</f>
        <v>R-CNN (RGB)</v>
      </c>
      <c r="E398" s="6" t="str">
        <f>IFERROR(__xludf.DUMMYFUNCTION("""COMPUTED_VALUE"""),"Visual Similarity")</f>
        <v>Visual Similarity</v>
      </c>
    </row>
    <row r="399" ht="15.75" customHeight="1">
      <c r="A399" s="5" t="str">
        <f>IFERROR(__xludf.DUMMYFUNCTION("""COMPUTED_VALUE"""),"SCOPUS-000344")</f>
        <v>SCOPUS-000344</v>
      </c>
      <c r="B399" s="5" t="str">
        <f>IFERROR(__xludf.DUMMYFUNCTION("""COMPUTED_VALUE"""),"SCOPUS-000344-4")</f>
        <v>SCOPUS-000344-4</v>
      </c>
      <c r="C399" s="5" t="str">
        <f>IFERROR(__xludf.DUMMYFUNCTION("""COMPUTED_VALUE"""),"ENVIRONMENTAL")</f>
        <v>ENVIRONMENTAL</v>
      </c>
      <c r="D399" s="6" t="str">
        <f>IFERROR(__xludf.DUMMYFUNCTION("""COMPUTED_VALUE"""),"R-CNN (RGB)")</f>
        <v>R-CNN (RGB)</v>
      </c>
      <c r="E399" s="6" t="str">
        <f>IFERROR(__xludf.DUMMYFUNCTION("""COMPUTED_VALUE"""),"Morphological Variation")</f>
        <v>Morphological Variation</v>
      </c>
    </row>
    <row r="400" ht="15.75" customHeight="1">
      <c r="A400" s="5" t="str">
        <f>IFERROR(__xludf.DUMMYFUNCTION("""COMPUTED_VALUE"""),"SCOPUS-000344")</f>
        <v>SCOPUS-000344</v>
      </c>
      <c r="B400" s="5" t="str">
        <f>IFERROR(__xludf.DUMMYFUNCTION("""COMPUTED_VALUE"""),"SCOPUS-000344-5")</f>
        <v>SCOPUS-000344-5</v>
      </c>
      <c r="C400" s="5" t="str">
        <f>IFERROR(__xludf.DUMMYFUNCTION("""COMPUTED_VALUE"""),"DATA")</f>
        <v>DATA</v>
      </c>
      <c r="D400" s="6" t="str">
        <f>IFERROR(__xludf.DUMMYFUNCTION("""COMPUTED_VALUE"""),"R-CNN (RGB)")</f>
        <v>R-CNN (RGB)</v>
      </c>
      <c r="E400" s="6" t="str">
        <f>IFERROR(__xludf.DUMMYFUNCTION("""COMPUTED_VALUE"""),"Data Scarcity")</f>
        <v>Data Scarcity</v>
      </c>
    </row>
    <row r="401" ht="15.75" customHeight="1">
      <c r="A401" s="5" t="str">
        <f>IFERROR(__xludf.DUMMYFUNCTION("""COMPUTED_VALUE"""),"SCOPUS-000344")</f>
        <v>SCOPUS-000344</v>
      </c>
      <c r="B401" s="5" t="str">
        <f>IFERROR(__xludf.DUMMYFUNCTION("""COMPUTED_VALUE"""),"SCOPUS-000344-6")</f>
        <v>SCOPUS-000344-6</v>
      </c>
      <c r="C401" s="5" t="str">
        <f>IFERROR(__xludf.DUMMYFUNCTION("""COMPUTED_VALUE"""),"TECHNICAL")</f>
        <v>TECHNICAL</v>
      </c>
      <c r="D401" s="6" t="str">
        <f>IFERROR(__xludf.DUMMYFUNCTION("""COMPUTED_VALUE"""),"R-CNN (RGB)")</f>
        <v>R-CNN (RGB)</v>
      </c>
      <c r="E401" s="6" t="str">
        <f>IFERROR(__xludf.DUMMYFUNCTION("""COMPUTED_VALUE"""),"Inference Efficiency")</f>
        <v>Inference Efficiency</v>
      </c>
    </row>
    <row r="402" ht="15.75" customHeight="1">
      <c r="A402" s="5" t="str">
        <f>IFERROR(__xludf.DUMMYFUNCTION("""COMPUTED_VALUE"""),"SCOPUS-000364")</f>
        <v>SCOPUS-000364</v>
      </c>
      <c r="B402" s="5" t="str">
        <f>IFERROR(__xludf.DUMMYFUNCTION("""COMPUTED_VALUE"""),"SCOPUS-000364-1")</f>
        <v>SCOPUS-000364-1</v>
      </c>
      <c r="C402" s="5" t="str">
        <f>IFERROR(__xludf.DUMMYFUNCTION("""COMPUTED_VALUE"""),"IMAGING")</f>
        <v>IMAGING</v>
      </c>
      <c r="D402" s="6" t="str">
        <f>IFERROR(__xludf.DUMMYFUNCTION("""COMPUTED_VALUE"""),"Faster RCNN R101-FPN")</f>
        <v>Faster RCNN R101-FPN</v>
      </c>
      <c r="E402" s="6" t="str">
        <f>IFERROR(__xludf.DUMMYFUNCTION("""COMPUTED_VALUE"""),"Small Object Detection")</f>
        <v>Small Object Detection</v>
      </c>
    </row>
    <row r="403" ht="15.75" customHeight="1">
      <c r="A403" s="5" t="str">
        <f>IFERROR(__xludf.DUMMYFUNCTION("""COMPUTED_VALUE"""),"SCOPUS-000364")</f>
        <v>SCOPUS-000364</v>
      </c>
      <c r="B403" s="5" t="str">
        <f>IFERROR(__xludf.DUMMYFUNCTION("""COMPUTED_VALUE"""),"SCOPUS-000364-2")</f>
        <v>SCOPUS-000364-2</v>
      </c>
      <c r="C403" s="5" t="str">
        <f>IFERROR(__xludf.DUMMYFUNCTION("""COMPUTED_VALUE"""),"ENVIRONMENTAL")</f>
        <v>ENVIRONMENTAL</v>
      </c>
      <c r="D403" s="6" t="str">
        <f>IFERROR(__xludf.DUMMYFUNCTION("""COMPUTED_VALUE"""),"Faster RCNN R101-FPN")</f>
        <v>Faster RCNN R101-FPN</v>
      </c>
      <c r="E403" s="6" t="str">
        <f>IFERROR(__xludf.DUMMYFUNCTION("""COMPUTED_VALUE"""),"Environmental Variation")</f>
        <v>Environmental Variation</v>
      </c>
    </row>
    <row r="404" ht="15.75" customHeight="1">
      <c r="A404" s="5" t="str">
        <f>IFERROR(__xludf.DUMMYFUNCTION("""COMPUTED_VALUE"""),"SCOPUS-000364")</f>
        <v>SCOPUS-000364</v>
      </c>
      <c r="B404" s="5" t="str">
        <f>IFERROR(__xludf.DUMMYFUNCTION("""COMPUTED_VALUE"""),"SCOPUS-000364-3")</f>
        <v>SCOPUS-000364-3</v>
      </c>
      <c r="C404" s="5" t="str">
        <f>IFERROR(__xludf.DUMMYFUNCTION("""COMPUTED_VALUE"""),"IMAGING")</f>
        <v>IMAGING</v>
      </c>
      <c r="D404" s="6" t="str">
        <f>IFERROR(__xludf.DUMMYFUNCTION("""COMPUTED_VALUE"""),"Faster RCNN R101-FPN")</f>
        <v>Faster RCNN R101-FPN</v>
      </c>
      <c r="E404" s="6" t="str">
        <f>IFERROR(__xludf.DUMMYFUNCTION("""COMPUTED_VALUE"""),"Visual Similarity")</f>
        <v>Visual Similarity</v>
      </c>
    </row>
    <row r="405" ht="15.75" customHeight="1">
      <c r="A405" s="5" t="str">
        <f>IFERROR(__xludf.DUMMYFUNCTION("""COMPUTED_VALUE"""),"SCOPUS-000364")</f>
        <v>SCOPUS-000364</v>
      </c>
      <c r="B405" s="5" t="str">
        <f>IFERROR(__xludf.DUMMYFUNCTION("""COMPUTED_VALUE"""),"SCOPUS-000364-4")</f>
        <v>SCOPUS-000364-4</v>
      </c>
      <c r="C405" s="5" t="str">
        <f>IFERROR(__xludf.DUMMYFUNCTION("""COMPUTED_VALUE"""),"TECHNICAL")</f>
        <v>TECHNICAL</v>
      </c>
      <c r="D405" s="6" t="str">
        <f>IFERROR(__xludf.DUMMYFUNCTION("""COMPUTED_VALUE"""),"Faster RCNN R101-FPN")</f>
        <v>Faster RCNN R101-FPN</v>
      </c>
      <c r="E405" s="6" t="str">
        <f>IFERROR(__xludf.DUMMYFUNCTION("""COMPUTED_VALUE"""),"Computational Resource")</f>
        <v>Computational Resource</v>
      </c>
    </row>
    <row r="406" ht="15.75" customHeight="1">
      <c r="A406" s="5" t="str">
        <f>IFERROR(__xludf.DUMMYFUNCTION("""COMPUTED_VALUE"""),"SCOPUS-000364")</f>
        <v>SCOPUS-000364</v>
      </c>
      <c r="B406" s="5" t="str">
        <f>IFERROR(__xludf.DUMMYFUNCTION("""COMPUTED_VALUE"""),"SCOPUS-000364-5")</f>
        <v>SCOPUS-000364-5</v>
      </c>
      <c r="C406" s="5" t="str">
        <f>IFERROR(__xludf.DUMMYFUNCTION("""COMPUTED_VALUE"""),"TECHNICAL")</f>
        <v>TECHNICAL</v>
      </c>
      <c r="D406" s="6" t="str">
        <f>IFERROR(__xludf.DUMMYFUNCTION("""COMPUTED_VALUE"""),"Faster RCNN R101-FPN")</f>
        <v>Faster RCNN R101-FPN</v>
      </c>
      <c r="E406" s="6" t="str">
        <f>IFERROR(__xludf.DUMMYFUNCTION("""COMPUTED_VALUE"""),"Inference Efficiency")</f>
        <v>Inference Efficiency</v>
      </c>
    </row>
    <row r="407" ht="15.75" customHeight="1">
      <c r="A407" s="5" t="str">
        <f>IFERROR(__xludf.DUMMYFUNCTION("""COMPUTED_VALUE"""),"SCOPUS-000364")</f>
        <v>SCOPUS-000364</v>
      </c>
      <c r="B407" s="5" t="str">
        <f>IFERROR(__xludf.DUMMYFUNCTION("""COMPUTED_VALUE"""),"SCOPUS-000364-6")</f>
        <v>SCOPUS-000364-6</v>
      </c>
      <c r="C407" s="5" t="str">
        <f>IFERROR(__xludf.DUMMYFUNCTION("""COMPUTED_VALUE"""),"DATA")</f>
        <v>DATA</v>
      </c>
      <c r="D407" s="6" t="str">
        <f>IFERROR(__xludf.DUMMYFUNCTION("""COMPUTED_VALUE"""),"Faster RCNN R101-FPN")</f>
        <v>Faster RCNN R101-FPN</v>
      </c>
      <c r="E407" s="6" t="str">
        <f>IFERROR(__xludf.DUMMYFUNCTION("""COMPUTED_VALUE"""),"Data Scarcity")</f>
        <v>Data Scarcity</v>
      </c>
    </row>
    <row r="408" ht="15.75" customHeight="1">
      <c r="A408" s="5" t="str">
        <f>IFERROR(__xludf.DUMMYFUNCTION("""COMPUTED_VALUE"""),"SCOPUS-000372")</f>
        <v>SCOPUS-000372</v>
      </c>
      <c r="B408" s="5" t="str">
        <f>IFERROR(__xludf.DUMMYFUNCTION("""COMPUTED_VALUE"""),"SCOPUS-000372-1")</f>
        <v>SCOPUS-000372-1</v>
      </c>
      <c r="C408" s="5" t="str">
        <f>IFERROR(__xludf.DUMMYFUNCTION("""COMPUTED_VALUE"""),"TECHNICAL")</f>
        <v>TECHNICAL</v>
      </c>
      <c r="D408" s="6" t="str">
        <f>IFERROR(__xludf.DUMMYFUNCTION("""COMPUTED_VALUE"""),"InceptionV3")</f>
        <v>InceptionV3</v>
      </c>
      <c r="E408" s="6" t="str">
        <f>IFERROR(__xludf.DUMMYFUNCTION("""COMPUTED_VALUE"""),"Feature Representation")</f>
        <v>Feature Representation</v>
      </c>
    </row>
    <row r="409" ht="15.75" customHeight="1">
      <c r="A409" s="5" t="str">
        <f>IFERROR(__xludf.DUMMYFUNCTION("""COMPUTED_VALUE"""),"SCOPUS-000372")</f>
        <v>SCOPUS-000372</v>
      </c>
      <c r="B409" s="5" t="str">
        <f>IFERROR(__xludf.DUMMYFUNCTION("""COMPUTED_VALUE"""),"SCOPUS-000372-2")</f>
        <v>SCOPUS-000372-2</v>
      </c>
      <c r="C409" s="5" t="str">
        <f>IFERROR(__xludf.DUMMYFUNCTION("""COMPUTED_VALUE"""),"IMAGING")</f>
        <v>IMAGING</v>
      </c>
      <c r="D409" s="6" t="str">
        <f>IFERROR(__xludf.DUMMYFUNCTION("""COMPUTED_VALUE"""),"InceptionV3")</f>
        <v>InceptionV3</v>
      </c>
      <c r="E409" s="6" t="str">
        <f>IFERROR(__xludf.DUMMYFUNCTION("""COMPUTED_VALUE"""),"Scale Variation")</f>
        <v>Scale Variation</v>
      </c>
    </row>
    <row r="410" ht="15.75" customHeight="1">
      <c r="A410" s="5" t="str">
        <f>IFERROR(__xludf.DUMMYFUNCTION("""COMPUTED_VALUE"""),"SCOPUS-000372")</f>
        <v>SCOPUS-000372</v>
      </c>
      <c r="B410" s="5" t="str">
        <f>IFERROR(__xludf.DUMMYFUNCTION("""COMPUTED_VALUE"""),"SCOPUS-000372-3")</f>
        <v>SCOPUS-000372-3</v>
      </c>
      <c r="C410" s="5" t="str">
        <f>IFERROR(__xludf.DUMMYFUNCTION("""COMPUTED_VALUE"""),"IMAGING")</f>
        <v>IMAGING</v>
      </c>
      <c r="D410" s="6" t="str">
        <f>IFERROR(__xludf.DUMMYFUNCTION("""COMPUTED_VALUE"""),"InceptionV3")</f>
        <v>InceptionV3</v>
      </c>
      <c r="E410" s="6" t="str">
        <f>IFERROR(__xludf.DUMMYFUNCTION("""COMPUTED_VALUE"""),"Visual Similarity")</f>
        <v>Visual Similarity</v>
      </c>
    </row>
    <row r="411" ht="15.75" customHeight="1">
      <c r="A411" s="5" t="str">
        <f>IFERROR(__xludf.DUMMYFUNCTION("""COMPUTED_VALUE"""),"SCOPUS-000372")</f>
        <v>SCOPUS-000372</v>
      </c>
      <c r="B411" s="5" t="str">
        <f>IFERROR(__xludf.DUMMYFUNCTION("""COMPUTED_VALUE"""),"SCOPUS-000372-4")</f>
        <v>SCOPUS-000372-4</v>
      </c>
      <c r="C411" s="5" t="str">
        <f>IFERROR(__xludf.DUMMYFUNCTION("""COMPUTED_VALUE"""),"TECHNICAL")</f>
        <v>TECHNICAL</v>
      </c>
      <c r="D411" s="6" t="str">
        <f>IFERROR(__xludf.DUMMYFUNCTION("""COMPUTED_VALUE"""),"InceptionV3")</f>
        <v>InceptionV3</v>
      </c>
      <c r="E411" s="6" t="str">
        <f>IFERROR(__xludf.DUMMYFUNCTION("""COMPUTED_VALUE"""),"Computational Resource")</f>
        <v>Computational Resource</v>
      </c>
    </row>
    <row r="412" ht="15.75" customHeight="1">
      <c r="A412" s="5" t="str">
        <f>IFERROR(__xludf.DUMMYFUNCTION("""COMPUTED_VALUE"""),"SCOPUS-000372")</f>
        <v>SCOPUS-000372</v>
      </c>
      <c r="B412" s="5" t="str">
        <f>IFERROR(__xludf.DUMMYFUNCTION("""COMPUTED_VALUE"""),"SCOPUS-000372-5")</f>
        <v>SCOPUS-000372-5</v>
      </c>
      <c r="C412" s="5" t="str">
        <f>IFERROR(__xludf.DUMMYFUNCTION("""COMPUTED_VALUE"""),"DATA")</f>
        <v>DATA</v>
      </c>
      <c r="D412" s="6" t="str">
        <f>IFERROR(__xludf.DUMMYFUNCTION("""COMPUTED_VALUE"""),"InceptionV3")</f>
        <v>InceptionV3</v>
      </c>
      <c r="E412" s="6" t="str">
        <f>IFERROR(__xludf.DUMMYFUNCTION("""COMPUTED_VALUE"""),"Data Scarcity")</f>
        <v>Data Scarcity</v>
      </c>
    </row>
    <row r="413" ht="15.75" customHeight="1">
      <c r="A413" s="5" t="str">
        <f>IFERROR(__xludf.DUMMYFUNCTION("""COMPUTED_VALUE"""),"SCOPUS-000379")</f>
        <v>SCOPUS-000379</v>
      </c>
      <c r="B413" s="5" t="str">
        <f>IFERROR(__xludf.DUMMYFUNCTION("""COMPUTED_VALUE"""),"SCOPUS-000379-1")</f>
        <v>SCOPUS-000379-1</v>
      </c>
      <c r="C413" s="5" t="str">
        <f>IFERROR(__xludf.DUMMYFUNCTION("""COMPUTED_VALUE"""),"IMAGING")</f>
        <v>IMAGING</v>
      </c>
      <c r="D413" s="6" t="str">
        <f>IFERROR(__xludf.DUMMYFUNCTION("""COMPUTED_VALUE"""),"LBP+SVM")</f>
        <v>LBP+SVM</v>
      </c>
      <c r="E413" s="6" t="str">
        <f>IFERROR(__xludf.DUMMYFUNCTION("""COMPUTED_VALUE"""),"Visual Similarity")</f>
        <v>Visual Similarity</v>
      </c>
    </row>
    <row r="414" ht="15.75" customHeight="1">
      <c r="A414" s="5" t="str">
        <f>IFERROR(__xludf.DUMMYFUNCTION("""COMPUTED_VALUE"""),"SCOPUS-000379")</f>
        <v>SCOPUS-000379</v>
      </c>
      <c r="B414" s="5" t="str">
        <f>IFERROR(__xludf.DUMMYFUNCTION("""COMPUTED_VALUE"""),"SCOPUS-000379-2")</f>
        <v>SCOPUS-000379-2</v>
      </c>
      <c r="C414" s="5" t="str">
        <f>IFERROR(__xludf.DUMMYFUNCTION("""COMPUTED_VALUE"""),"ENVIRONMENTAL")</f>
        <v>ENVIRONMENTAL</v>
      </c>
      <c r="D414" s="6" t="str">
        <f>IFERROR(__xludf.DUMMYFUNCTION("""COMPUTED_VALUE"""),"LBP+SVM")</f>
        <v>LBP+SVM</v>
      </c>
      <c r="E414" s="6" t="str">
        <f>IFERROR(__xludf.DUMMYFUNCTION("""COMPUTED_VALUE"""),"Environmental Variation")</f>
        <v>Environmental Variation</v>
      </c>
    </row>
    <row r="415" ht="15.75" customHeight="1">
      <c r="A415" s="5" t="str">
        <f>IFERROR(__xludf.DUMMYFUNCTION("""COMPUTED_VALUE"""),"SCOPUS-000379")</f>
        <v>SCOPUS-000379</v>
      </c>
      <c r="B415" s="5" t="str">
        <f>IFERROR(__xludf.DUMMYFUNCTION("""COMPUTED_VALUE"""),"SCOPUS-000379-3")</f>
        <v>SCOPUS-000379-3</v>
      </c>
      <c r="C415" s="5" t="str">
        <f>IFERROR(__xludf.DUMMYFUNCTION("""COMPUTED_VALUE"""),"ENVIRONMENTAL")</f>
        <v>ENVIRONMENTAL</v>
      </c>
      <c r="D415" s="6" t="str">
        <f>IFERROR(__xludf.DUMMYFUNCTION("""COMPUTED_VALUE"""),"VGG16")</f>
        <v>VGG16</v>
      </c>
      <c r="E415" s="6" t="str">
        <f>IFERROR(__xludf.DUMMYFUNCTION("""COMPUTED_VALUE"""),"Morphological Variation")</f>
        <v>Morphological Variation</v>
      </c>
    </row>
    <row r="416" ht="15.75" customHeight="1">
      <c r="A416" s="5" t="str">
        <f>IFERROR(__xludf.DUMMYFUNCTION("""COMPUTED_VALUE"""),"SCOPUS-000379")</f>
        <v>SCOPUS-000379</v>
      </c>
      <c r="B416" s="5" t="str">
        <f>IFERROR(__xludf.DUMMYFUNCTION("""COMPUTED_VALUE"""),"SCOPUS-000379-4")</f>
        <v>SCOPUS-000379-4</v>
      </c>
      <c r="C416" s="5" t="str">
        <f>IFERROR(__xludf.DUMMYFUNCTION("""COMPUTED_VALUE"""),"ENVIRONMENTAL")</f>
        <v>ENVIRONMENTAL</v>
      </c>
      <c r="D416" s="6" t="str">
        <f>IFERROR(__xludf.DUMMYFUNCTION("""COMPUTED_VALUE"""),"VGG16")</f>
        <v>VGG16</v>
      </c>
      <c r="E416" s="6" t="str">
        <f>IFERROR(__xludf.DUMMYFUNCTION("""COMPUTED_VALUE"""),"Background Complexity")</f>
        <v>Background Complexity</v>
      </c>
    </row>
    <row r="417" ht="15.75" customHeight="1">
      <c r="A417" s="5" t="str">
        <f>IFERROR(__xludf.DUMMYFUNCTION("""COMPUTED_VALUE"""),"SCOPUS-000383")</f>
        <v>SCOPUS-000383</v>
      </c>
      <c r="B417" s="5" t="str">
        <f>IFERROR(__xludf.DUMMYFUNCTION("""COMPUTED_VALUE"""),"SCOPUS-000383-1")</f>
        <v>SCOPUS-000383-1</v>
      </c>
      <c r="C417" s="5" t="str">
        <f>IFERROR(__xludf.DUMMYFUNCTION("""COMPUTED_VALUE"""),"IMAGING")</f>
        <v>IMAGING</v>
      </c>
      <c r="D417" s="6" t="str">
        <f>IFERROR(__xludf.DUMMYFUNCTION("""COMPUTED_VALUE"""),"YOLOv3")</f>
        <v>YOLOv3</v>
      </c>
      <c r="E417" s="6" t="str">
        <f>IFERROR(__xludf.DUMMYFUNCTION("""COMPUTED_VALUE"""),"Small Object Detection")</f>
        <v>Small Object Detection</v>
      </c>
    </row>
    <row r="418" ht="15.75" customHeight="1">
      <c r="A418" s="5" t="str">
        <f>IFERROR(__xludf.DUMMYFUNCTION("""COMPUTED_VALUE"""),"SCOPUS-000383")</f>
        <v>SCOPUS-000383</v>
      </c>
      <c r="B418" s="5" t="str">
        <f>IFERROR(__xludf.DUMMYFUNCTION("""COMPUTED_VALUE"""),"SCOPUS-000383-2")</f>
        <v>SCOPUS-000383-2</v>
      </c>
      <c r="C418" s="5" t="str">
        <f>IFERROR(__xludf.DUMMYFUNCTION("""COMPUTED_VALUE"""),"IMAGING")</f>
        <v>IMAGING</v>
      </c>
      <c r="D418" s="6" t="str">
        <f>IFERROR(__xludf.DUMMYFUNCTION("""COMPUTED_VALUE"""),"YOLOv3")</f>
        <v>YOLOv3</v>
      </c>
      <c r="E418" s="6" t="str">
        <f>IFERROR(__xludf.DUMMYFUNCTION("""COMPUTED_VALUE"""),"Image Quality")</f>
        <v>Image Quality</v>
      </c>
    </row>
    <row r="419" ht="15.75" customHeight="1">
      <c r="A419" s="5" t="str">
        <f>IFERROR(__xludf.DUMMYFUNCTION("""COMPUTED_VALUE"""),"SCOPUS-000383")</f>
        <v>SCOPUS-000383</v>
      </c>
      <c r="B419" s="5" t="str">
        <f>IFERROR(__xludf.DUMMYFUNCTION("""COMPUTED_VALUE"""),"SCOPUS-000383-3")</f>
        <v>SCOPUS-000383-3</v>
      </c>
      <c r="C419" s="5" t="str">
        <f>IFERROR(__xludf.DUMMYFUNCTION("""COMPUTED_VALUE"""),"IMAGING")</f>
        <v>IMAGING</v>
      </c>
      <c r="D419" s="6" t="str">
        <f>IFERROR(__xludf.DUMMYFUNCTION("""COMPUTED_VALUE"""),"YOLOv3")</f>
        <v>YOLOv3</v>
      </c>
      <c r="E419" s="6" t="str">
        <f>IFERROR(__xludf.DUMMYFUNCTION("""COMPUTED_VALUE"""),"Visual Similarity")</f>
        <v>Visual Similarity</v>
      </c>
    </row>
    <row r="420" ht="15.75" customHeight="1">
      <c r="A420" s="5" t="str">
        <f>IFERROR(__xludf.DUMMYFUNCTION("""COMPUTED_VALUE"""),"SCOPUS-000383")</f>
        <v>SCOPUS-000383</v>
      </c>
      <c r="B420" s="5" t="str">
        <f>IFERROR(__xludf.DUMMYFUNCTION("""COMPUTED_VALUE"""),"SCOPUS-000383-4")</f>
        <v>SCOPUS-000383-4</v>
      </c>
      <c r="C420" s="5" t="str">
        <f>IFERROR(__xludf.DUMMYFUNCTION("""COMPUTED_VALUE"""),"IMAGING")</f>
        <v>IMAGING</v>
      </c>
      <c r="D420" s="6" t="str">
        <f>IFERROR(__xludf.DUMMYFUNCTION("""COMPUTED_VALUE"""),"YOLOv3")</f>
        <v>YOLOv3</v>
      </c>
      <c r="E420" s="6" t="str">
        <f>IFERROR(__xludf.DUMMYFUNCTION("""COMPUTED_VALUE"""),"Scale Variation")</f>
        <v>Scale Variation</v>
      </c>
    </row>
    <row r="421" ht="15.75" customHeight="1">
      <c r="A421" s="5" t="str">
        <f>IFERROR(__xludf.DUMMYFUNCTION("""COMPUTED_VALUE"""),"SCOPUS-000383")</f>
        <v>SCOPUS-000383</v>
      </c>
      <c r="B421" s="5" t="str">
        <f>IFERROR(__xludf.DUMMYFUNCTION("""COMPUTED_VALUE"""),"SCOPUS-000383-5")</f>
        <v>SCOPUS-000383-5</v>
      </c>
      <c r="C421" s="5" t="str">
        <f>IFERROR(__xludf.DUMMYFUNCTION("""COMPUTED_VALUE"""),"DATA")</f>
        <v>DATA</v>
      </c>
      <c r="D421" s="6" t="str">
        <f>IFERROR(__xludf.DUMMYFUNCTION("""COMPUTED_VALUE"""),"YOLOv3")</f>
        <v>YOLOv3</v>
      </c>
      <c r="E421" s="6" t="str">
        <f>IFERROR(__xludf.DUMMYFUNCTION("""COMPUTED_VALUE"""),"Annotation")</f>
        <v>Annotation</v>
      </c>
    </row>
    <row r="422" ht="15.75" customHeight="1">
      <c r="A422" s="5" t="str">
        <f>IFERROR(__xludf.DUMMYFUNCTION("""COMPUTED_VALUE"""),"SCOPUS-000402")</f>
        <v>SCOPUS-000402</v>
      </c>
      <c r="B422" s="5" t="str">
        <f>IFERROR(__xludf.DUMMYFUNCTION("""COMPUTED_VALUE"""),"SCOPUS-000402-1")</f>
        <v>SCOPUS-000402-1</v>
      </c>
      <c r="C422" s="5" t="str">
        <f>IFERROR(__xludf.DUMMYFUNCTION("""COMPUTED_VALUE"""),"DATA")</f>
        <v>DATA</v>
      </c>
      <c r="D422" s="6" t="str">
        <f>IFERROR(__xludf.DUMMYFUNCTION("""COMPUTED_VALUE"""),"Faster-RCNN")</f>
        <v>Faster-RCNN</v>
      </c>
      <c r="E422" s="6" t="str">
        <f>IFERROR(__xludf.DUMMYFUNCTION("""COMPUTED_VALUE"""),"Annotation")</f>
        <v>Annotation</v>
      </c>
    </row>
    <row r="423" ht="15.75" customHeight="1">
      <c r="A423" s="5" t="str">
        <f>IFERROR(__xludf.DUMMYFUNCTION("""COMPUTED_VALUE"""),"SCOPUS-000402")</f>
        <v>SCOPUS-000402</v>
      </c>
      <c r="B423" s="5" t="str">
        <f>IFERROR(__xludf.DUMMYFUNCTION("""COMPUTED_VALUE"""),"SCOPUS-000402-2")</f>
        <v>SCOPUS-000402-2</v>
      </c>
      <c r="C423" s="5" t="str">
        <f>IFERROR(__xludf.DUMMYFUNCTION("""COMPUTED_VALUE"""),"DATA")</f>
        <v>DATA</v>
      </c>
      <c r="D423" s="6" t="str">
        <f>IFERROR(__xludf.DUMMYFUNCTION("""COMPUTED_VALUE"""),"YOLOv7")</f>
        <v>YOLOv7</v>
      </c>
      <c r="E423" s="6" t="str">
        <f>IFERROR(__xludf.DUMMYFUNCTION("""COMPUTED_VALUE"""),"Class Imbalance")</f>
        <v>Class Imbalance</v>
      </c>
    </row>
    <row r="424" ht="15.75" customHeight="1">
      <c r="A424" s="5" t="str">
        <f>IFERROR(__xludf.DUMMYFUNCTION("""COMPUTED_VALUE"""),"SCOPUS-000402")</f>
        <v>SCOPUS-000402</v>
      </c>
      <c r="B424" s="5" t="str">
        <f>IFERROR(__xludf.DUMMYFUNCTION("""COMPUTED_VALUE"""),"SCOPUS-000402-3")</f>
        <v>SCOPUS-000402-3</v>
      </c>
      <c r="C424" s="5" t="str">
        <f>IFERROR(__xludf.DUMMYFUNCTION("""COMPUTED_VALUE"""),"ENVIRONMENTAL")</f>
        <v>ENVIRONMENTAL</v>
      </c>
      <c r="D424" s="6" t="str">
        <f>IFERROR(__xludf.DUMMYFUNCTION("""COMPUTED_VALUE"""),"YOLOv7")</f>
        <v>YOLOv7</v>
      </c>
      <c r="E424" s="6" t="str">
        <f>IFERROR(__xludf.DUMMYFUNCTION("""COMPUTED_VALUE"""),"Occlusion")</f>
        <v>Occlusion</v>
      </c>
    </row>
    <row r="425" ht="15.75" customHeight="1">
      <c r="A425" s="5" t="str">
        <f>IFERROR(__xludf.DUMMYFUNCTION("""COMPUTED_VALUE"""),"SCOPUS-000402")</f>
        <v>SCOPUS-000402</v>
      </c>
      <c r="B425" s="5" t="str">
        <f>IFERROR(__xludf.DUMMYFUNCTION("""COMPUTED_VALUE"""),"SCOPUS-000402-4")</f>
        <v>SCOPUS-000402-4</v>
      </c>
      <c r="C425" s="5" t="str">
        <f>IFERROR(__xludf.DUMMYFUNCTION("""COMPUTED_VALUE"""),"IMAGING")</f>
        <v>IMAGING</v>
      </c>
      <c r="D425" s="6" t="str">
        <f>IFERROR(__xludf.DUMMYFUNCTION("""COMPUTED_VALUE"""),"YOLOv7")</f>
        <v>YOLOv7</v>
      </c>
      <c r="E425" s="6" t="str">
        <f>IFERROR(__xludf.DUMMYFUNCTION("""COMPUTED_VALUE"""),"Visual Similarity")</f>
        <v>Visual Similarity</v>
      </c>
    </row>
    <row r="426" ht="15.75" customHeight="1">
      <c r="A426" s="5" t="str">
        <f>IFERROR(__xludf.DUMMYFUNCTION("""COMPUTED_VALUE"""),"SCOPUS-000402")</f>
        <v>SCOPUS-000402</v>
      </c>
      <c r="B426" s="5" t="str">
        <f>IFERROR(__xludf.DUMMYFUNCTION("""COMPUTED_VALUE"""),"SCOPUS-000402-5")</f>
        <v>SCOPUS-000402-5</v>
      </c>
      <c r="C426" s="5" t="str">
        <f>IFERROR(__xludf.DUMMYFUNCTION("""COMPUTED_VALUE"""),"IMAGING")</f>
        <v>IMAGING</v>
      </c>
      <c r="D426" s="6" t="str">
        <f>IFERROR(__xludf.DUMMYFUNCTION("""COMPUTED_VALUE"""),"YOLOv7")</f>
        <v>YOLOv7</v>
      </c>
      <c r="E426" s="6" t="str">
        <f>IFERROR(__xludf.DUMMYFUNCTION("""COMPUTED_VALUE"""),"Small Object Detection")</f>
        <v>Small Object Detection</v>
      </c>
    </row>
    <row r="427" ht="15.75" customHeight="1">
      <c r="A427" s="5" t="str">
        <f>IFERROR(__xludf.DUMMYFUNCTION("""COMPUTED_VALUE"""),"SCOPUS-000402")</f>
        <v>SCOPUS-000402</v>
      </c>
      <c r="B427" s="5" t="str">
        <f>IFERROR(__xludf.DUMMYFUNCTION("""COMPUTED_VALUE"""),"SCOPUS-000402-6")</f>
        <v>SCOPUS-000402-6</v>
      </c>
      <c r="C427" s="5" t="str">
        <f>IFERROR(__xludf.DUMMYFUNCTION("""COMPUTED_VALUE"""),"TECHNICAL")</f>
        <v>TECHNICAL</v>
      </c>
      <c r="D427" s="6" t="str">
        <f>IFERROR(__xludf.DUMMYFUNCTION("""COMPUTED_VALUE"""),"Faster-RCNN")</f>
        <v>Faster-RCNN</v>
      </c>
      <c r="E427" s="6" t="str">
        <f>IFERROR(__xludf.DUMMYFUNCTION("""COMPUTED_VALUE"""),"Inference Efficiency")</f>
        <v>Inference Efficiency</v>
      </c>
    </row>
    <row r="428" ht="15.75" customHeight="1">
      <c r="A428" s="5" t="str">
        <f>IFERROR(__xludf.DUMMYFUNCTION("""COMPUTED_VALUE"""),"SCOPUS-000415")</f>
        <v>SCOPUS-000415</v>
      </c>
      <c r="B428" s="5" t="str">
        <f>IFERROR(__xludf.DUMMYFUNCTION("""COMPUTED_VALUE"""),"SCOPUS-000415-1")</f>
        <v>SCOPUS-000415-1</v>
      </c>
      <c r="C428" s="5" t="str">
        <f>IFERROR(__xludf.DUMMYFUNCTION("""COMPUTED_VALUE"""),"IMAGING")</f>
        <v>IMAGING</v>
      </c>
      <c r="D428" s="6" t="str">
        <f>IFERROR(__xludf.DUMMYFUNCTION("""COMPUTED_VALUE"""),"Deeplab-v3")</f>
        <v>Deeplab-v3</v>
      </c>
      <c r="E428" s="6" t="str">
        <f>IFERROR(__xludf.DUMMYFUNCTION("""COMPUTED_VALUE"""),"Image Quality")</f>
        <v>Image Quality</v>
      </c>
    </row>
    <row r="429" ht="15.75" customHeight="1">
      <c r="A429" s="5" t="str">
        <f>IFERROR(__xludf.DUMMYFUNCTION("""COMPUTED_VALUE"""),"SCOPUS-000415")</f>
        <v>SCOPUS-000415</v>
      </c>
      <c r="B429" s="5" t="str">
        <f>IFERROR(__xludf.DUMMYFUNCTION("""COMPUTED_VALUE"""),"SCOPUS-000415-2")</f>
        <v>SCOPUS-000415-2</v>
      </c>
      <c r="C429" s="5" t="str">
        <f>IFERROR(__xludf.DUMMYFUNCTION("""COMPUTED_VALUE"""),"ENVIRONMENTAL")</f>
        <v>ENVIRONMENTAL</v>
      </c>
      <c r="D429" s="6" t="str">
        <f>IFERROR(__xludf.DUMMYFUNCTION("""COMPUTED_VALUE"""),"Deeplab-v3")</f>
        <v>Deeplab-v3</v>
      </c>
      <c r="E429" s="6" t="str">
        <f>IFERROR(__xludf.DUMMYFUNCTION("""COMPUTED_VALUE"""),"Environmental Variation")</f>
        <v>Environmental Variation</v>
      </c>
    </row>
    <row r="430" ht="15.75" customHeight="1">
      <c r="A430" s="5" t="str">
        <f>IFERROR(__xludf.DUMMYFUNCTION("""COMPUTED_VALUE"""),"SCOPUS-000415")</f>
        <v>SCOPUS-000415</v>
      </c>
      <c r="B430" s="5" t="str">
        <f>IFERROR(__xludf.DUMMYFUNCTION("""COMPUTED_VALUE"""),"SCOPUS-000415-3")</f>
        <v>SCOPUS-000415-3</v>
      </c>
      <c r="C430" s="5" t="str">
        <f>IFERROR(__xludf.DUMMYFUNCTION("""COMPUTED_VALUE"""),"DATA")</f>
        <v>DATA</v>
      </c>
      <c r="D430" s="6" t="str">
        <f>IFERROR(__xludf.DUMMYFUNCTION("""COMPUTED_VALUE"""),"Deeplab-v3")</f>
        <v>Deeplab-v3</v>
      </c>
      <c r="E430" s="6" t="str">
        <f>IFERROR(__xludf.DUMMYFUNCTION("""COMPUTED_VALUE"""),"Domain Shift")</f>
        <v>Domain Shift</v>
      </c>
    </row>
    <row r="431" ht="15.75" customHeight="1">
      <c r="A431" s="5" t="str">
        <f>IFERROR(__xludf.DUMMYFUNCTION("""COMPUTED_VALUE"""),"SCOPUS-000415")</f>
        <v>SCOPUS-000415</v>
      </c>
      <c r="B431" s="5" t="str">
        <f>IFERROR(__xludf.DUMMYFUNCTION("""COMPUTED_VALUE"""),"SCOPUS-000415-4")</f>
        <v>SCOPUS-000415-4</v>
      </c>
      <c r="C431" s="5" t="str">
        <f>IFERROR(__xludf.DUMMYFUNCTION("""COMPUTED_VALUE"""),"IMAGING")</f>
        <v>IMAGING</v>
      </c>
      <c r="D431" s="6" t="str">
        <f>IFERROR(__xludf.DUMMYFUNCTION("""COMPUTED_VALUE"""),"Faster R-CNN")</f>
        <v>Faster R-CNN</v>
      </c>
      <c r="E431" s="6" t="str">
        <f>IFERROR(__xludf.DUMMYFUNCTION("""COMPUTED_VALUE"""),"Small Object Detection")</f>
        <v>Small Object Detection</v>
      </c>
    </row>
    <row r="432" ht="15.75" customHeight="1">
      <c r="A432" s="5" t="str">
        <f>IFERROR(__xludf.DUMMYFUNCTION("""COMPUTED_VALUE"""),"SCOPUS-000421")</f>
        <v>SCOPUS-000421</v>
      </c>
      <c r="B432" s="5" t="str">
        <f>IFERROR(__xludf.DUMMYFUNCTION("""COMPUTED_VALUE"""),"SCOPUS-000421-1")</f>
        <v>SCOPUS-000421-1</v>
      </c>
      <c r="C432" s="5" t="str">
        <f>IFERROR(__xludf.DUMMYFUNCTION("""COMPUTED_VALUE"""),"ENVIRONMENTAL")</f>
        <v>ENVIRONMENTAL</v>
      </c>
      <c r="D432" s="6" t="str">
        <f>IFERROR(__xludf.DUMMYFUNCTION("""COMPUTED_VALUE"""),"EfficientDet-D3")</f>
        <v>EfficientDet-D3</v>
      </c>
      <c r="E432" s="6" t="str">
        <f>IFERROR(__xludf.DUMMYFUNCTION("""COMPUTED_VALUE"""),"Occlusion")</f>
        <v>Occlusion</v>
      </c>
    </row>
    <row r="433" ht="15.75" customHeight="1">
      <c r="A433" s="5" t="str">
        <f>IFERROR(__xludf.DUMMYFUNCTION("""COMPUTED_VALUE"""),"SCOPUS-000421")</f>
        <v>SCOPUS-000421</v>
      </c>
      <c r="B433" s="5" t="str">
        <f>IFERROR(__xludf.DUMMYFUNCTION("""COMPUTED_VALUE"""),"SCOPUS-000421-2")</f>
        <v>SCOPUS-000421-2</v>
      </c>
      <c r="C433" s="5" t="str">
        <f>IFERROR(__xludf.DUMMYFUNCTION("""COMPUTED_VALUE"""),"ENVIRONMENTAL")</f>
        <v>ENVIRONMENTAL</v>
      </c>
      <c r="D433" s="6" t="str">
        <f>IFERROR(__xludf.DUMMYFUNCTION("""COMPUTED_VALUE"""),"EfficientDet-D3")</f>
        <v>EfficientDet-D3</v>
      </c>
      <c r="E433" s="6" t="str">
        <f>IFERROR(__xludf.DUMMYFUNCTION("""COMPUTED_VALUE"""),"Background Complexity")</f>
        <v>Background Complexity</v>
      </c>
    </row>
    <row r="434" ht="15.75" customHeight="1">
      <c r="A434" s="5" t="str">
        <f>IFERROR(__xludf.DUMMYFUNCTION("""COMPUTED_VALUE"""),"SCOPUS-000421")</f>
        <v>SCOPUS-000421</v>
      </c>
      <c r="B434" s="5" t="str">
        <f>IFERROR(__xludf.DUMMYFUNCTION("""COMPUTED_VALUE"""),"SCOPUS-000421-3")</f>
        <v>SCOPUS-000421-3</v>
      </c>
      <c r="C434" s="5" t="str">
        <f>IFERROR(__xludf.DUMMYFUNCTION("""COMPUTED_VALUE"""),"IMAGING")</f>
        <v>IMAGING</v>
      </c>
      <c r="D434" s="6" t="str">
        <f>IFERROR(__xludf.DUMMYFUNCTION("""COMPUTED_VALUE"""),"EfficientDet-D3")</f>
        <v>EfficientDet-D3</v>
      </c>
      <c r="E434" s="6" t="str">
        <f>IFERROR(__xludf.DUMMYFUNCTION("""COMPUTED_VALUE"""),"Visual Similarity")</f>
        <v>Visual Similarity</v>
      </c>
    </row>
    <row r="435" ht="15.75" customHeight="1">
      <c r="A435" s="5" t="str">
        <f>IFERROR(__xludf.DUMMYFUNCTION("""COMPUTED_VALUE"""),"SCOPUS-000421")</f>
        <v>SCOPUS-000421</v>
      </c>
      <c r="B435" s="5" t="str">
        <f>IFERROR(__xludf.DUMMYFUNCTION("""COMPUTED_VALUE"""),"SCOPUS-000421-4")</f>
        <v>SCOPUS-000421-4</v>
      </c>
      <c r="C435" s="5" t="str">
        <f>IFERROR(__xludf.DUMMYFUNCTION("""COMPUTED_VALUE"""),"IMAGING")</f>
        <v>IMAGING</v>
      </c>
      <c r="D435" s="6" t="str">
        <f>IFERROR(__xludf.DUMMYFUNCTION("""COMPUTED_VALUE"""),"EfficientDet-D3")</f>
        <v>EfficientDet-D3</v>
      </c>
      <c r="E435" s="6" t="str">
        <f>IFERROR(__xludf.DUMMYFUNCTION("""COMPUTED_VALUE"""),"Small Object Detection")</f>
        <v>Small Object Detection</v>
      </c>
    </row>
    <row r="436" ht="15.75" customHeight="1">
      <c r="A436" s="5" t="str">
        <f>IFERROR(__xludf.DUMMYFUNCTION("""COMPUTED_VALUE"""),"SCOPUS-000421")</f>
        <v>SCOPUS-000421</v>
      </c>
      <c r="B436" s="5" t="str">
        <f>IFERROR(__xludf.DUMMYFUNCTION("""COMPUTED_VALUE"""),"SCOPUS-000421-5")</f>
        <v>SCOPUS-000421-5</v>
      </c>
      <c r="C436" s="5" t="str">
        <f>IFERROR(__xludf.DUMMYFUNCTION("""COMPUTED_VALUE"""),"ENVIRONMENTAL")</f>
        <v>ENVIRONMENTAL</v>
      </c>
      <c r="D436" s="6" t="str">
        <f>IFERROR(__xludf.DUMMYFUNCTION("""COMPUTED_VALUE"""),"EfficientDet-D3")</f>
        <v>EfficientDet-D3</v>
      </c>
      <c r="E436" s="6" t="str">
        <f>IFERROR(__xludf.DUMMYFUNCTION("""COMPUTED_VALUE"""),"Environmental Variation")</f>
        <v>Environmental Variation</v>
      </c>
    </row>
    <row r="437" ht="15.75" customHeight="1">
      <c r="A437" s="5" t="str">
        <f>IFERROR(__xludf.DUMMYFUNCTION("""COMPUTED_VALUE"""),"SCOPUS-000429")</f>
        <v>SCOPUS-000429</v>
      </c>
      <c r="B437" s="5" t="str">
        <f>IFERROR(__xludf.DUMMYFUNCTION("""COMPUTED_VALUE"""),"SCOPUS-000429-1")</f>
        <v>SCOPUS-000429-1</v>
      </c>
      <c r="C437" s="5" t="str">
        <f>IFERROR(__xludf.DUMMYFUNCTION("""COMPUTED_VALUE"""),"DATA")</f>
        <v>DATA</v>
      </c>
      <c r="D437" s="6" t="str">
        <f>IFERROR(__xludf.DUMMYFUNCTION("""COMPUTED_VALUE"""),"YOLOv3")</f>
        <v>YOLOv3</v>
      </c>
      <c r="E437" s="6" t="str">
        <f>IFERROR(__xludf.DUMMYFUNCTION("""COMPUTED_VALUE"""),"Data Scarcity")</f>
        <v>Data Scarcity</v>
      </c>
    </row>
    <row r="438" ht="15.75" customHeight="1">
      <c r="A438" s="5" t="str">
        <f>IFERROR(__xludf.DUMMYFUNCTION("""COMPUTED_VALUE"""),"SCOPUS-000429")</f>
        <v>SCOPUS-000429</v>
      </c>
      <c r="B438" s="5" t="str">
        <f>IFERROR(__xludf.DUMMYFUNCTION("""COMPUTED_VALUE"""),"SCOPUS-000429-2")</f>
        <v>SCOPUS-000429-2</v>
      </c>
      <c r="C438" s="5" t="str">
        <f>IFERROR(__xludf.DUMMYFUNCTION("""COMPUTED_VALUE"""),"IMAGING")</f>
        <v>IMAGING</v>
      </c>
      <c r="D438" s="6" t="str">
        <f>IFERROR(__xludf.DUMMYFUNCTION("""COMPUTED_VALUE"""),"YOLOv5")</f>
        <v>YOLOv5</v>
      </c>
      <c r="E438" s="6" t="str">
        <f>IFERROR(__xludf.DUMMYFUNCTION("""COMPUTED_VALUE"""),"Visual Similarity")</f>
        <v>Visual Similarity</v>
      </c>
    </row>
    <row r="439" ht="15.75" customHeight="1">
      <c r="A439" s="5" t="str">
        <f>IFERROR(__xludf.DUMMYFUNCTION("""COMPUTED_VALUE"""),"SCOPUS-000429")</f>
        <v>SCOPUS-000429</v>
      </c>
      <c r="B439" s="5" t="str">
        <f>IFERROR(__xludf.DUMMYFUNCTION("""COMPUTED_VALUE"""),"SCOPUS-000429-3")</f>
        <v>SCOPUS-000429-3</v>
      </c>
      <c r="C439" s="5" t="str">
        <f>IFERROR(__xludf.DUMMYFUNCTION("""COMPUTED_VALUE"""),"ENVIRONMENTAL")</f>
        <v>ENVIRONMENTAL</v>
      </c>
      <c r="D439" s="6" t="str">
        <f>IFERROR(__xludf.DUMMYFUNCTION("""COMPUTED_VALUE"""),"YOLOv5")</f>
        <v>YOLOv5</v>
      </c>
      <c r="E439" s="6" t="str">
        <f>IFERROR(__xludf.DUMMYFUNCTION("""COMPUTED_VALUE"""),"Morphological Variation")</f>
        <v>Morphological Variation</v>
      </c>
    </row>
    <row r="440" ht="15.75" customHeight="1">
      <c r="A440" s="5" t="str">
        <f>IFERROR(__xludf.DUMMYFUNCTION("""COMPUTED_VALUE"""),"SCOPUS-000429")</f>
        <v>SCOPUS-000429</v>
      </c>
      <c r="B440" s="5" t="str">
        <f>IFERROR(__xludf.DUMMYFUNCTION("""COMPUTED_VALUE"""),"SCOPUS-000429-4")</f>
        <v>SCOPUS-000429-4</v>
      </c>
      <c r="C440" s="5" t="str">
        <f>IFERROR(__xludf.DUMMYFUNCTION("""COMPUTED_VALUE"""),"ENVIRONMENTAL")</f>
        <v>ENVIRONMENTAL</v>
      </c>
      <c r="D440" s="6" t="str">
        <f>IFERROR(__xludf.DUMMYFUNCTION("""COMPUTED_VALUE"""),"YOLOv3")</f>
        <v>YOLOv3</v>
      </c>
      <c r="E440" s="6" t="str">
        <f>IFERROR(__xludf.DUMMYFUNCTION("""COMPUTED_VALUE"""),"Occlusion")</f>
        <v>Occlusion</v>
      </c>
    </row>
    <row r="441" ht="15.75" customHeight="1">
      <c r="A441" s="5" t="str">
        <f>IFERROR(__xludf.DUMMYFUNCTION("""COMPUTED_VALUE"""),"SCOPUS-000429")</f>
        <v>SCOPUS-000429</v>
      </c>
      <c r="B441" s="5" t="str">
        <f>IFERROR(__xludf.DUMMYFUNCTION("""COMPUTED_VALUE"""),"SCOPUS-000429-5")</f>
        <v>SCOPUS-000429-5</v>
      </c>
      <c r="C441" s="5" t="str">
        <f>IFERROR(__xludf.DUMMYFUNCTION("""COMPUTED_VALUE"""),"ENVIRONMENTAL")</f>
        <v>ENVIRONMENTAL</v>
      </c>
      <c r="D441" s="6" t="str">
        <f>IFERROR(__xludf.DUMMYFUNCTION("""COMPUTED_VALUE"""),"YOLOv5")</f>
        <v>YOLOv5</v>
      </c>
      <c r="E441" s="6" t="str">
        <f>IFERROR(__xludf.DUMMYFUNCTION("""COMPUTED_VALUE"""),"Background Complexity")</f>
        <v>Background Complexity</v>
      </c>
    </row>
    <row r="442" ht="15.75" customHeight="1">
      <c r="A442" s="5" t="str">
        <f>IFERROR(__xludf.DUMMYFUNCTION("""COMPUTED_VALUE"""),"SCOPUS-000441")</f>
        <v>SCOPUS-000441</v>
      </c>
      <c r="B442" s="5" t="str">
        <f>IFERROR(__xludf.DUMMYFUNCTION("""COMPUTED_VALUE"""),"SCOPUS-000441-1")</f>
        <v>SCOPUS-000441-1</v>
      </c>
      <c r="C442" s="5" t="str">
        <f>IFERROR(__xludf.DUMMYFUNCTION("""COMPUTED_VALUE"""),"ENVIRONMENTAL")</f>
        <v>ENVIRONMENTAL</v>
      </c>
      <c r="D442" s="6" t="str">
        <f>IFERROR(__xludf.DUMMYFUNCTION("""COMPUTED_VALUE"""),"U-Net")</f>
        <v>U-Net</v>
      </c>
      <c r="E442" s="6" t="str">
        <f>IFERROR(__xludf.DUMMYFUNCTION("""COMPUTED_VALUE"""),"Occlusion")</f>
        <v>Occlusion</v>
      </c>
    </row>
    <row r="443" ht="15.75" customHeight="1">
      <c r="A443" s="5" t="str">
        <f>IFERROR(__xludf.DUMMYFUNCTION("""COMPUTED_VALUE"""),"SCOPUS-000441")</f>
        <v>SCOPUS-000441</v>
      </c>
      <c r="B443" s="5" t="str">
        <f>IFERROR(__xludf.DUMMYFUNCTION("""COMPUTED_VALUE"""),"SCOPUS-000441-2")</f>
        <v>SCOPUS-000441-2</v>
      </c>
      <c r="C443" s="5" t="str">
        <f>IFERROR(__xludf.DUMMYFUNCTION("""COMPUTED_VALUE"""),"IMAGING")</f>
        <v>IMAGING</v>
      </c>
      <c r="D443" s="6" t="str">
        <f>IFERROR(__xludf.DUMMYFUNCTION("""COMPUTED_VALUE"""),"U-Net")</f>
        <v>U-Net</v>
      </c>
      <c r="E443" s="6" t="str">
        <f>IFERROR(__xludf.DUMMYFUNCTION("""COMPUTED_VALUE"""),"Scale Variation")</f>
        <v>Scale Variation</v>
      </c>
    </row>
    <row r="444" ht="15.75" customHeight="1">
      <c r="A444" s="5" t="str">
        <f>IFERROR(__xludf.DUMMYFUNCTION("""COMPUTED_VALUE"""),"SCOPUS-000441")</f>
        <v>SCOPUS-000441</v>
      </c>
      <c r="B444" s="5" t="str">
        <f>IFERROR(__xludf.DUMMYFUNCTION("""COMPUTED_VALUE"""),"SCOPUS-000441-3")</f>
        <v>SCOPUS-000441-3</v>
      </c>
      <c r="C444" s="5" t="str">
        <f>IFERROR(__xludf.DUMMYFUNCTION("""COMPUTED_VALUE"""),"IMAGING")</f>
        <v>IMAGING</v>
      </c>
      <c r="D444" s="6" t="str">
        <f>IFERROR(__xludf.DUMMYFUNCTION("""COMPUTED_VALUE"""),"U-Net")</f>
        <v>U-Net</v>
      </c>
      <c r="E444" s="6" t="str">
        <f>IFERROR(__xludf.DUMMYFUNCTION("""COMPUTED_VALUE"""),"Visual Similarity")</f>
        <v>Visual Similarity</v>
      </c>
    </row>
    <row r="445" ht="15.75" customHeight="1">
      <c r="A445" s="5" t="str">
        <f>IFERROR(__xludf.DUMMYFUNCTION("""COMPUTED_VALUE"""),"SCOPUS-000441")</f>
        <v>SCOPUS-000441</v>
      </c>
      <c r="B445" s="5" t="str">
        <f>IFERROR(__xludf.DUMMYFUNCTION("""COMPUTED_VALUE"""),"SCOPUS-000441-4")</f>
        <v>SCOPUS-000441-4</v>
      </c>
      <c r="C445" s="5" t="str">
        <f>IFERROR(__xludf.DUMMYFUNCTION("""COMPUTED_VALUE"""),"TECHNICAL")</f>
        <v>TECHNICAL</v>
      </c>
      <c r="D445" s="6" t="str">
        <f>IFERROR(__xludf.DUMMYFUNCTION("""COMPUTED_VALUE"""),"FCN")</f>
        <v>FCN</v>
      </c>
      <c r="E445" s="6" t="str">
        <f>IFERROR(__xludf.DUMMYFUNCTION("""COMPUTED_VALUE"""),"Feature Representation")</f>
        <v>Feature Representation</v>
      </c>
    </row>
    <row r="446" ht="15.75" customHeight="1">
      <c r="A446" s="5" t="str">
        <f>IFERROR(__xludf.DUMMYFUNCTION("""COMPUTED_VALUE"""),"SCOPUS-000441")</f>
        <v>SCOPUS-000441</v>
      </c>
      <c r="B446" s="5" t="str">
        <f>IFERROR(__xludf.DUMMYFUNCTION("""COMPUTED_VALUE"""),"SCOPUS-000441-5")</f>
        <v>SCOPUS-000441-5</v>
      </c>
      <c r="C446" s="5" t="str">
        <f>IFERROR(__xludf.DUMMYFUNCTION("""COMPUTED_VALUE"""),"DATA")</f>
        <v>DATA</v>
      </c>
      <c r="D446" s="6" t="str">
        <f>IFERROR(__xludf.DUMMYFUNCTION("""COMPUTED_VALUE"""),"U-Net")</f>
        <v>U-Net</v>
      </c>
      <c r="E446" s="6" t="str">
        <f>IFERROR(__xludf.DUMMYFUNCTION("""COMPUTED_VALUE"""),"Class Imbalance")</f>
        <v>Class Imbalance</v>
      </c>
    </row>
    <row r="447" ht="15.75" customHeight="1">
      <c r="A447" s="5" t="str">
        <f>IFERROR(__xludf.DUMMYFUNCTION("""COMPUTED_VALUE"""),"SCOPUS-000441")</f>
        <v>SCOPUS-000441</v>
      </c>
      <c r="B447" s="5" t="str">
        <f>IFERROR(__xludf.DUMMYFUNCTION("""COMPUTED_VALUE"""),"SCOPUS-000441-6")</f>
        <v>SCOPUS-000441-6</v>
      </c>
      <c r="C447" s="5" t="str">
        <f>IFERROR(__xludf.DUMMYFUNCTION("""COMPUTED_VALUE"""),"ENVIRONMENTAL")</f>
        <v>ENVIRONMENTAL</v>
      </c>
      <c r="D447" s="6" t="str">
        <f>IFERROR(__xludf.DUMMYFUNCTION("""COMPUTED_VALUE"""),"U-Net")</f>
        <v>U-Net</v>
      </c>
      <c r="E447" s="6" t="str">
        <f>IFERROR(__xludf.DUMMYFUNCTION("""COMPUTED_VALUE"""),"Environmental Variation")</f>
        <v>Environmental Variation</v>
      </c>
    </row>
    <row r="448" ht="15.75" customHeight="1">
      <c r="A448" s="5" t="str">
        <f>IFERROR(__xludf.DUMMYFUNCTION("""COMPUTED_VALUE"""),"SCOPUS-000454")</f>
        <v>SCOPUS-000454</v>
      </c>
      <c r="B448" s="5" t="str">
        <f>IFERROR(__xludf.DUMMYFUNCTION("""COMPUTED_VALUE"""),"SCOPUS-000454-1")</f>
        <v>SCOPUS-000454-1</v>
      </c>
      <c r="C448" s="5" t="str">
        <f>IFERROR(__xludf.DUMMYFUNCTION("""COMPUTED_VALUE"""),"DATA")</f>
        <v>DATA</v>
      </c>
      <c r="D448" s="6" t="str">
        <f>IFERROR(__xludf.DUMMYFUNCTION("""COMPUTED_VALUE"""),"ResNet50")</f>
        <v>ResNet50</v>
      </c>
      <c r="E448" s="6" t="str">
        <f>IFERROR(__xludf.DUMMYFUNCTION("""COMPUTED_VALUE"""),"Data Scarcity")</f>
        <v>Data Scarcity</v>
      </c>
    </row>
    <row r="449" ht="15.75" customHeight="1">
      <c r="A449" s="5" t="str">
        <f>IFERROR(__xludf.DUMMYFUNCTION("""COMPUTED_VALUE"""),"SCOPUS-000454")</f>
        <v>SCOPUS-000454</v>
      </c>
      <c r="B449" s="5" t="str">
        <f>IFERROR(__xludf.DUMMYFUNCTION("""COMPUTED_VALUE"""),"SCOPUS-000454-2")</f>
        <v>SCOPUS-000454-2</v>
      </c>
      <c r="C449" s="5" t="str">
        <f>IFERROR(__xludf.DUMMYFUNCTION("""COMPUTED_VALUE"""),"DATA")</f>
        <v>DATA</v>
      </c>
      <c r="D449" s="6" t="str">
        <f>IFERROR(__xludf.DUMMYFUNCTION("""COMPUTED_VALUE"""),"ResNet50")</f>
        <v>ResNet50</v>
      </c>
      <c r="E449" s="6" t="str">
        <f>IFERROR(__xludf.DUMMYFUNCTION("""COMPUTED_VALUE"""),"Class Imbalance")</f>
        <v>Class Imbalance</v>
      </c>
    </row>
    <row r="450" ht="15.75" customHeight="1">
      <c r="A450" s="5" t="str">
        <f>IFERROR(__xludf.DUMMYFUNCTION("""COMPUTED_VALUE"""),"SCOPUS-000454")</f>
        <v>SCOPUS-000454</v>
      </c>
      <c r="B450" s="5" t="str">
        <f>IFERROR(__xludf.DUMMYFUNCTION("""COMPUTED_VALUE"""),"SCOPUS-000454-3")</f>
        <v>SCOPUS-000454-3</v>
      </c>
      <c r="C450" s="5" t="str">
        <f>IFERROR(__xludf.DUMMYFUNCTION("""COMPUTED_VALUE"""),"ENVIRONMENTAL")</f>
        <v>ENVIRONMENTAL</v>
      </c>
      <c r="D450" s="6" t="str">
        <f>IFERROR(__xludf.DUMMYFUNCTION("""COMPUTED_VALUE"""),"ResNet50")</f>
        <v>ResNet50</v>
      </c>
      <c r="E450" s="6" t="str">
        <f>IFERROR(__xludf.DUMMYFUNCTION("""COMPUTED_VALUE"""),"Environmental Variation")</f>
        <v>Environmental Variation</v>
      </c>
    </row>
    <row r="451" ht="15.75" customHeight="1">
      <c r="A451" s="5" t="str">
        <f>IFERROR(__xludf.DUMMYFUNCTION("""COMPUTED_VALUE"""),"SCOPUS-000454")</f>
        <v>SCOPUS-000454</v>
      </c>
      <c r="B451" s="5" t="str">
        <f>IFERROR(__xludf.DUMMYFUNCTION("""COMPUTED_VALUE"""),"SCOPUS-000454-4")</f>
        <v>SCOPUS-000454-4</v>
      </c>
      <c r="C451" s="5" t="str">
        <f>IFERROR(__xludf.DUMMYFUNCTION("""COMPUTED_VALUE"""),"ENVIRONMENTAL")</f>
        <v>ENVIRONMENTAL</v>
      </c>
      <c r="D451" s="6" t="str">
        <f>IFERROR(__xludf.DUMMYFUNCTION("""COMPUTED_VALUE"""),"ResNet50")</f>
        <v>ResNet50</v>
      </c>
      <c r="E451" s="6" t="str">
        <f>IFERROR(__xludf.DUMMYFUNCTION("""COMPUTED_VALUE"""),"Morphological Variation")</f>
        <v>Morphological Variation</v>
      </c>
    </row>
    <row r="452" ht="15.75" customHeight="1">
      <c r="A452" s="5" t="str">
        <f>IFERROR(__xludf.DUMMYFUNCTION("""COMPUTED_VALUE"""),"SCOPUS-000459")</f>
        <v>SCOPUS-000459</v>
      </c>
      <c r="B452" s="5" t="str">
        <f>IFERROR(__xludf.DUMMYFUNCTION("""COMPUTED_VALUE"""),"SCOPUS-000459-1")</f>
        <v>SCOPUS-000459-1</v>
      </c>
      <c r="C452" s="5" t="str">
        <f>IFERROR(__xludf.DUMMYFUNCTION("""COMPUTED_VALUE"""),"IMAGING")</f>
        <v>IMAGING</v>
      </c>
      <c r="D452" s="6" t="str">
        <f>IFERROR(__xludf.DUMMYFUNCTION("""COMPUTED_VALUE"""),"Inception V4")</f>
        <v>Inception V4</v>
      </c>
      <c r="E452" s="6" t="str">
        <f>IFERROR(__xludf.DUMMYFUNCTION("""COMPUTED_VALUE"""),"Visual Similarity")</f>
        <v>Visual Similarity</v>
      </c>
    </row>
    <row r="453" ht="15.75" customHeight="1">
      <c r="A453" s="5" t="str">
        <f>IFERROR(__xludf.DUMMYFUNCTION("""COMPUTED_VALUE"""),"SCOPUS-000459")</f>
        <v>SCOPUS-000459</v>
      </c>
      <c r="B453" s="5" t="str">
        <f>IFERROR(__xludf.DUMMYFUNCTION("""COMPUTED_VALUE"""),"SCOPUS-000459-2")</f>
        <v>SCOPUS-000459-2</v>
      </c>
      <c r="C453" s="5" t="str">
        <f>IFERROR(__xludf.DUMMYFUNCTION("""COMPUTED_VALUE"""),"TECHNICAL")</f>
        <v>TECHNICAL</v>
      </c>
      <c r="D453" s="6" t="str">
        <f>IFERROR(__xludf.DUMMYFUNCTION("""COMPUTED_VALUE"""),"Inception V4")</f>
        <v>Inception V4</v>
      </c>
      <c r="E453" s="6" t="str">
        <f>IFERROR(__xludf.DUMMYFUNCTION("""COMPUTED_VALUE"""),"Computational Resource")</f>
        <v>Computational Resource</v>
      </c>
    </row>
    <row r="454" ht="15.75" customHeight="1">
      <c r="A454" s="5" t="str">
        <f>IFERROR(__xludf.DUMMYFUNCTION("""COMPUTED_VALUE"""),"SCOPUS-000459")</f>
        <v>SCOPUS-000459</v>
      </c>
      <c r="B454" s="5" t="str">
        <f>IFERROR(__xludf.DUMMYFUNCTION("""COMPUTED_VALUE"""),"SCOPUS-000459-3")</f>
        <v>SCOPUS-000459-3</v>
      </c>
      <c r="C454" s="5" t="str">
        <f>IFERROR(__xludf.DUMMYFUNCTION("""COMPUTED_VALUE"""),"TECHNICAL")</f>
        <v>TECHNICAL</v>
      </c>
      <c r="D454" s="6" t="str">
        <f>IFERROR(__xludf.DUMMYFUNCTION("""COMPUTED_VALUE"""),"Inception V4")</f>
        <v>Inception V4</v>
      </c>
      <c r="E454" s="6" t="str">
        <f>IFERROR(__xludf.DUMMYFUNCTION("""COMPUTED_VALUE"""),"Inference Efficiency")</f>
        <v>Inference Efficiency</v>
      </c>
    </row>
    <row r="455" ht="15.75" customHeight="1">
      <c r="A455" s="5" t="str">
        <f>IFERROR(__xludf.DUMMYFUNCTION("""COMPUTED_VALUE"""),"SCOPUS-000459")</f>
        <v>SCOPUS-000459</v>
      </c>
      <c r="B455" s="5" t="str">
        <f>IFERROR(__xludf.DUMMYFUNCTION("""COMPUTED_VALUE"""),"SCOPUS-000459-4")</f>
        <v>SCOPUS-000459-4</v>
      </c>
      <c r="C455" s="5" t="str">
        <f>IFERROR(__xludf.DUMMYFUNCTION("""COMPUTED_VALUE"""),"DATA")</f>
        <v>DATA</v>
      </c>
      <c r="D455" s="6" t="str">
        <f>IFERROR(__xludf.DUMMYFUNCTION("""COMPUTED_VALUE"""),"Inception V4")</f>
        <v>Inception V4</v>
      </c>
      <c r="E455" s="6" t="str">
        <f>IFERROR(__xludf.DUMMYFUNCTION("""COMPUTED_VALUE"""),"Data Scarcity")</f>
        <v>Data Scarcity</v>
      </c>
    </row>
    <row r="456" ht="15.75" customHeight="1">
      <c r="A456" s="5" t="str">
        <f>IFERROR(__xludf.DUMMYFUNCTION("""COMPUTED_VALUE"""),"SCOPUS-000471")</f>
        <v>SCOPUS-000471</v>
      </c>
      <c r="B456" s="5" t="str">
        <f>IFERROR(__xludf.DUMMYFUNCTION("""COMPUTED_VALUE"""),"SCOPUS-000471-1")</f>
        <v>SCOPUS-000471-1</v>
      </c>
      <c r="C456" s="5" t="str">
        <f>IFERROR(__xludf.DUMMYFUNCTION("""COMPUTED_VALUE"""),"DATA")</f>
        <v>DATA</v>
      </c>
      <c r="D456" s="6" t="str">
        <f>IFERROR(__xludf.DUMMYFUNCTION("""COMPUTED_VALUE"""),"ResNet50")</f>
        <v>ResNet50</v>
      </c>
      <c r="E456" s="6" t="str">
        <f>IFERROR(__xludf.DUMMYFUNCTION("""COMPUTED_VALUE"""),"Data Scarcity")</f>
        <v>Data Scarcity</v>
      </c>
    </row>
    <row r="457" ht="15.75" customHeight="1">
      <c r="A457" s="5" t="str">
        <f>IFERROR(__xludf.DUMMYFUNCTION("""COMPUTED_VALUE"""),"SCOPUS-000471")</f>
        <v>SCOPUS-000471</v>
      </c>
      <c r="B457" s="5" t="str">
        <f>IFERROR(__xludf.DUMMYFUNCTION("""COMPUTED_VALUE"""),"SCOPUS-000471-2")</f>
        <v>SCOPUS-000471-2</v>
      </c>
      <c r="C457" s="5" t="str">
        <f>IFERROR(__xludf.DUMMYFUNCTION("""COMPUTED_VALUE"""),"TECHNICAL")</f>
        <v>TECHNICAL</v>
      </c>
      <c r="D457" s="6" t="str">
        <f>IFERROR(__xludf.DUMMYFUNCTION("""COMPUTED_VALUE"""),"ResNet50")</f>
        <v>ResNet50</v>
      </c>
      <c r="E457" s="6" t="str">
        <f>IFERROR(__xludf.DUMMYFUNCTION("""COMPUTED_VALUE"""),"Feature Representation")</f>
        <v>Feature Representation</v>
      </c>
    </row>
    <row r="458" ht="15.75" customHeight="1">
      <c r="A458" s="5" t="str">
        <f>IFERROR(__xludf.DUMMYFUNCTION("""COMPUTED_VALUE"""),"SCOPUS-000471")</f>
        <v>SCOPUS-000471</v>
      </c>
      <c r="B458" s="5" t="str">
        <f>IFERROR(__xludf.DUMMYFUNCTION("""COMPUTED_VALUE"""),"SCOPUS-000471-3")</f>
        <v>SCOPUS-000471-3</v>
      </c>
      <c r="C458" s="5" t="str">
        <f>IFERROR(__xludf.DUMMYFUNCTION("""COMPUTED_VALUE"""),"IMAGING")</f>
        <v>IMAGING</v>
      </c>
      <c r="D458" s="6" t="str">
        <f>IFERROR(__xludf.DUMMYFUNCTION("""COMPUTED_VALUE"""),"ResNet50")</f>
        <v>ResNet50</v>
      </c>
      <c r="E458" s="6" t="str">
        <f>IFERROR(__xludf.DUMMYFUNCTION("""COMPUTED_VALUE"""),"Visual Similarity")</f>
        <v>Visual Similarity</v>
      </c>
    </row>
    <row r="459" ht="15.75" customHeight="1">
      <c r="A459" s="5" t="str">
        <f>IFERROR(__xludf.DUMMYFUNCTION("""COMPUTED_VALUE"""),"SCOPUS-000480")</f>
        <v>SCOPUS-000480</v>
      </c>
      <c r="B459" s="5" t="str">
        <f>IFERROR(__xludf.DUMMYFUNCTION("""COMPUTED_VALUE"""),"SCOPUS-000480-1")</f>
        <v>SCOPUS-000480-1</v>
      </c>
      <c r="C459" s="5" t="str">
        <f>IFERROR(__xludf.DUMMYFUNCTION("""COMPUTED_VALUE"""),"DATA")</f>
        <v>DATA</v>
      </c>
      <c r="D459" s="6" t="str">
        <f>IFERROR(__xludf.DUMMYFUNCTION("""COMPUTED_VALUE"""),"ResNet-50")</f>
        <v>ResNet-50</v>
      </c>
      <c r="E459" s="6" t="str">
        <f>IFERROR(__xludf.DUMMYFUNCTION("""COMPUTED_VALUE"""),"Class Imbalance")</f>
        <v>Class Imbalance</v>
      </c>
    </row>
    <row r="460" ht="15.75" customHeight="1">
      <c r="A460" s="5" t="str">
        <f>IFERROR(__xludf.DUMMYFUNCTION("""COMPUTED_VALUE"""),"SCOPUS-000480")</f>
        <v>SCOPUS-000480</v>
      </c>
      <c r="B460" s="5" t="str">
        <f>IFERROR(__xludf.DUMMYFUNCTION("""COMPUTED_VALUE"""),"SCOPUS-000480-2")</f>
        <v>SCOPUS-000480-2</v>
      </c>
      <c r="C460" s="5" t="str">
        <f>IFERROR(__xludf.DUMMYFUNCTION("""COMPUTED_VALUE"""),"IMAGING")</f>
        <v>IMAGING</v>
      </c>
      <c r="D460" s="6" t="str">
        <f>IFERROR(__xludf.DUMMYFUNCTION("""COMPUTED_VALUE"""),"ResNet-50")</f>
        <v>ResNet-50</v>
      </c>
      <c r="E460" s="6" t="str">
        <f>IFERROR(__xludf.DUMMYFUNCTION("""COMPUTED_VALUE"""),"Visual Similarity")</f>
        <v>Visual Similarity</v>
      </c>
    </row>
    <row r="461" ht="15.75" customHeight="1">
      <c r="A461" s="5" t="str">
        <f>IFERROR(__xludf.DUMMYFUNCTION("""COMPUTED_VALUE"""),"SCOPUS-000480")</f>
        <v>SCOPUS-000480</v>
      </c>
      <c r="B461" s="5" t="str">
        <f>IFERROR(__xludf.DUMMYFUNCTION("""COMPUTED_VALUE"""),"SCOPUS-000480-3")</f>
        <v>SCOPUS-000480-3</v>
      </c>
      <c r="C461" s="5" t="str">
        <f>IFERROR(__xludf.DUMMYFUNCTION("""COMPUTED_VALUE"""),"DATA")</f>
        <v>DATA</v>
      </c>
      <c r="D461" s="6" t="str">
        <f>IFERROR(__xludf.DUMMYFUNCTION("""COMPUTED_VALUE"""),"ResNet-50")</f>
        <v>ResNet-50</v>
      </c>
      <c r="E461" s="6" t="str">
        <f>IFERROR(__xludf.DUMMYFUNCTION("""COMPUTED_VALUE"""),"Domain Shift")</f>
        <v>Domain Shift</v>
      </c>
    </row>
    <row r="462" ht="15.75" customHeight="1">
      <c r="A462" s="5" t="str">
        <f>IFERROR(__xludf.DUMMYFUNCTION("""COMPUTED_VALUE"""),"SCOPUS-000480")</f>
        <v>SCOPUS-000480</v>
      </c>
      <c r="B462" s="5" t="str">
        <f>IFERROR(__xludf.DUMMYFUNCTION("""COMPUTED_VALUE"""),"SCOPUS-000480-4")</f>
        <v>SCOPUS-000480-4</v>
      </c>
      <c r="C462" s="5" t="str">
        <f>IFERROR(__xludf.DUMMYFUNCTION("""COMPUTED_VALUE"""),"ENVIRONMENTAL")</f>
        <v>ENVIRONMENTAL</v>
      </c>
      <c r="D462" s="6" t="str">
        <f>IFERROR(__xludf.DUMMYFUNCTION("""COMPUTED_VALUE"""),"ResNet-50")</f>
        <v>ResNet-50</v>
      </c>
      <c r="E462" s="6" t="str">
        <f>IFERROR(__xludf.DUMMYFUNCTION("""COMPUTED_VALUE"""),"Environmental Variation")</f>
        <v>Environmental Variation</v>
      </c>
    </row>
    <row r="463" ht="15.75" customHeight="1">
      <c r="A463" s="5" t="str">
        <f>IFERROR(__xludf.DUMMYFUNCTION("""COMPUTED_VALUE"""),"SCOPUS-000480")</f>
        <v>SCOPUS-000480</v>
      </c>
      <c r="B463" s="5" t="str">
        <f>IFERROR(__xludf.DUMMYFUNCTION("""COMPUTED_VALUE"""),"SCOPUS-000480-5")</f>
        <v>SCOPUS-000480-5</v>
      </c>
      <c r="C463" s="5" t="str">
        <f>IFERROR(__xludf.DUMMYFUNCTION("""COMPUTED_VALUE"""),"DATA")</f>
        <v>DATA</v>
      </c>
      <c r="D463" s="6" t="str">
        <f>IFERROR(__xludf.DUMMYFUNCTION("""COMPUTED_VALUE"""),"ResNet-50")</f>
        <v>ResNet-50</v>
      </c>
      <c r="E463" s="6" t="str">
        <f>IFERROR(__xludf.DUMMYFUNCTION("""COMPUTED_VALUE"""),"Data Scarcity")</f>
        <v>Data Scarcity</v>
      </c>
    </row>
    <row r="464" ht="15.75" customHeight="1">
      <c r="A464" s="5" t="str">
        <f>IFERROR(__xludf.DUMMYFUNCTION("""COMPUTED_VALUE"""),"SCOPUS-000492")</f>
        <v>SCOPUS-000492</v>
      </c>
      <c r="B464" s="5" t="str">
        <f>IFERROR(__xludf.DUMMYFUNCTION("""COMPUTED_VALUE"""),"SCOPUS-000492-1")</f>
        <v>SCOPUS-000492-1</v>
      </c>
      <c r="C464" s="5" t="str">
        <f>IFERROR(__xludf.DUMMYFUNCTION("""COMPUTED_VALUE"""),"DATA")</f>
        <v>DATA</v>
      </c>
      <c r="D464" s="6" t="str">
        <f>IFERROR(__xludf.DUMMYFUNCTION("""COMPUTED_VALUE"""),"AlexNet TL")</f>
        <v>AlexNet TL</v>
      </c>
      <c r="E464" s="6" t="str">
        <f>IFERROR(__xludf.DUMMYFUNCTION("""COMPUTED_VALUE"""),"Data Scarcity")</f>
        <v>Data Scarcity</v>
      </c>
    </row>
    <row r="465" ht="15.75" customHeight="1">
      <c r="A465" s="5" t="str">
        <f>IFERROR(__xludf.DUMMYFUNCTION("""COMPUTED_VALUE"""),"SCOPUS-000492")</f>
        <v>SCOPUS-000492</v>
      </c>
      <c r="B465" s="5" t="str">
        <f>IFERROR(__xludf.DUMMYFUNCTION("""COMPUTED_VALUE"""),"SCOPUS-000492-2")</f>
        <v>SCOPUS-000492-2</v>
      </c>
      <c r="C465" s="5" t="str">
        <f>IFERROR(__xludf.DUMMYFUNCTION("""COMPUTED_VALUE"""),"IMAGING")</f>
        <v>IMAGING</v>
      </c>
      <c r="D465" s="6" t="str">
        <f>IFERROR(__xludf.DUMMYFUNCTION("""COMPUTED_VALUE"""),"AlexNet TL")</f>
        <v>AlexNet TL</v>
      </c>
      <c r="E465" s="6" t="str">
        <f>IFERROR(__xludf.DUMMYFUNCTION("""COMPUTED_VALUE"""),"Visual Similarity")</f>
        <v>Visual Similarity</v>
      </c>
    </row>
    <row r="466" ht="15.75" customHeight="1">
      <c r="A466" s="5" t="str">
        <f>IFERROR(__xludf.DUMMYFUNCTION("""COMPUTED_VALUE"""),"SCOPUS-000492")</f>
        <v>SCOPUS-000492</v>
      </c>
      <c r="B466" s="5" t="str">
        <f>IFERROR(__xludf.DUMMYFUNCTION("""COMPUTED_VALUE"""),"SCOPUS-000492-3")</f>
        <v>SCOPUS-000492-3</v>
      </c>
      <c r="C466" s="5" t="str">
        <f>IFERROR(__xludf.DUMMYFUNCTION("""COMPUTED_VALUE"""),"ENVIRONMENTAL")</f>
        <v>ENVIRONMENTAL</v>
      </c>
      <c r="D466" s="6" t="str">
        <f>IFERROR(__xludf.DUMMYFUNCTION("""COMPUTED_VALUE"""),"AlexNet TL")</f>
        <v>AlexNet TL</v>
      </c>
      <c r="E466" s="6" t="str">
        <f>IFERROR(__xludf.DUMMYFUNCTION("""COMPUTED_VALUE"""),"Morphological Variation")</f>
        <v>Morphological Variation</v>
      </c>
    </row>
    <row r="467" ht="15.75" customHeight="1">
      <c r="A467" s="5" t="str">
        <f>IFERROR(__xludf.DUMMYFUNCTION("""COMPUTED_VALUE"""),"SCOPUS-000492")</f>
        <v>SCOPUS-000492</v>
      </c>
      <c r="B467" s="5" t="str">
        <f>IFERROR(__xludf.DUMMYFUNCTION("""COMPUTED_VALUE"""),"SCOPUS-000492-4")</f>
        <v>SCOPUS-000492-4</v>
      </c>
      <c r="C467" s="5" t="str">
        <f>IFERROR(__xludf.DUMMYFUNCTION("""COMPUTED_VALUE"""),"DATA")</f>
        <v>DATA</v>
      </c>
      <c r="D467" s="6" t="str">
        <f>IFERROR(__xludf.DUMMYFUNCTION("""COMPUTED_VALUE"""),"AlexNet TL")</f>
        <v>AlexNet TL</v>
      </c>
      <c r="E467" s="6" t="str">
        <f>IFERROR(__xludf.DUMMYFUNCTION("""COMPUTED_VALUE"""),"Annotation")</f>
        <v>Annotation</v>
      </c>
    </row>
    <row r="468" ht="15.75" customHeight="1">
      <c r="A468" s="5" t="str">
        <f>IFERROR(__xludf.DUMMYFUNCTION("""COMPUTED_VALUE"""),"SCOPUS-000493")</f>
        <v>SCOPUS-000493</v>
      </c>
      <c r="B468" s="5" t="str">
        <f>IFERROR(__xludf.DUMMYFUNCTION("""COMPUTED_VALUE"""),"SCOPUS-000493-1")</f>
        <v>SCOPUS-000493-1</v>
      </c>
      <c r="C468" s="5" t="str">
        <f>IFERROR(__xludf.DUMMYFUNCTION("""COMPUTED_VALUE"""),"DATA")</f>
        <v>DATA</v>
      </c>
      <c r="D468" s="6" t="str">
        <f>IFERROR(__xludf.DUMMYFUNCTION("""COMPUTED_VALUE"""),"ResNet50")</f>
        <v>ResNet50</v>
      </c>
      <c r="E468" s="6" t="str">
        <f>IFERROR(__xludf.DUMMYFUNCTION("""COMPUTED_VALUE"""),"Data Scarcity")</f>
        <v>Data Scarcity</v>
      </c>
    </row>
    <row r="469" ht="15.75" customHeight="1">
      <c r="A469" s="5" t="str">
        <f>IFERROR(__xludf.DUMMYFUNCTION("""COMPUTED_VALUE"""),"SCOPUS-000493")</f>
        <v>SCOPUS-000493</v>
      </c>
      <c r="B469" s="5" t="str">
        <f>IFERROR(__xludf.DUMMYFUNCTION("""COMPUTED_VALUE"""),"SCOPUS-000493-2")</f>
        <v>SCOPUS-000493-2</v>
      </c>
      <c r="C469" s="5" t="str">
        <f>IFERROR(__xludf.DUMMYFUNCTION("""COMPUTED_VALUE"""),"DATA")</f>
        <v>DATA</v>
      </c>
      <c r="D469" s="6" t="str">
        <f>IFERROR(__xludf.DUMMYFUNCTION("""COMPUTED_VALUE"""),"ResNet50")</f>
        <v>ResNet50</v>
      </c>
      <c r="E469" s="6" t="str">
        <f>IFERROR(__xludf.DUMMYFUNCTION("""COMPUTED_VALUE"""),"Class Imbalance")</f>
        <v>Class Imbalance</v>
      </c>
    </row>
    <row r="470" ht="15.75" customHeight="1">
      <c r="A470" s="5" t="str">
        <f>IFERROR(__xludf.DUMMYFUNCTION("""COMPUTED_VALUE"""),"SCOPUS-000493")</f>
        <v>SCOPUS-000493</v>
      </c>
      <c r="B470" s="5" t="str">
        <f>IFERROR(__xludf.DUMMYFUNCTION("""COMPUTED_VALUE"""),"SCOPUS-000493-3")</f>
        <v>SCOPUS-000493-3</v>
      </c>
      <c r="C470" s="5" t="str">
        <f>IFERROR(__xludf.DUMMYFUNCTION("""COMPUTED_VALUE"""),"ENVIRONMENTAL")</f>
        <v>ENVIRONMENTAL</v>
      </c>
      <c r="D470" s="6" t="str">
        <f>IFERROR(__xludf.DUMMYFUNCTION("""COMPUTED_VALUE"""),"ResNet50")</f>
        <v>ResNet50</v>
      </c>
      <c r="E470" s="6" t="str">
        <f>IFERROR(__xludf.DUMMYFUNCTION("""COMPUTED_VALUE"""),"Occlusion")</f>
        <v>Occlusion</v>
      </c>
    </row>
    <row r="471" ht="15.75" customHeight="1">
      <c r="A471" s="5" t="str">
        <f>IFERROR(__xludf.DUMMYFUNCTION("""COMPUTED_VALUE"""),"SCOPUS-000493")</f>
        <v>SCOPUS-000493</v>
      </c>
      <c r="B471" s="5" t="str">
        <f>IFERROR(__xludf.DUMMYFUNCTION("""COMPUTED_VALUE"""),"SCOPUS-000493-4")</f>
        <v>SCOPUS-000493-4</v>
      </c>
      <c r="C471" s="5" t="str">
        <f>IFERROR(__xludf.DUMMYFUNCTION("""COMPUTED_VALUE"""),"IMAGING")</f>
        <v>IMAGING</v>
      </c>
      <c r="D471" s="6" t="str">
        <f>IFERROR(__xludf.DUMMYFUNCTION("""COMPUTED_VALUE"""),"ResNet50")</f>
        <v>ResNet50</v>
      </c>
      <c r="E471" s="6" t="str">
        <f>IFERROR(__xludf.DUMMYFUNCTION("""COMPUTED_VALUE"""),"Image Quality")</f>
        <v>Image Quality</v>
      </c>
    </row>
    <row r="472" ht="15.75" customHeight="1">
      <c r="A472" s="5" t="str">
        <f>IFERROR(__xludf.DUMMYFUNCTION("""COMPUTED_VALUE"""),"SCOPUS-000493")</f>
        <v>SCOPUS-000493</v>
      </c>
      <c r="B472" s="5" t="str">
        <f>IFERROR(__xludf.DUMMYFUNCTION("""COMPUTED_VALUE"""),"SCOPUS-000493-5")</f>
        <v>SCOPUS-000493-5</v>
      </c>
      <c r="C472" s="5" t="str">
        <f>IFERROR(__xludf.DUMMYFUNCTION("""COMPUTED_VALUE"""),"ENVIRONMENTAL")</f>
        <v>ENVIRONMENTAL</v>
      </c>
      <c r="D472" s="6" t="str">
        <f>IFERROR(__xludf.DUMMYFUNCTION("""COMPUTED_VALUE"""),"ResNet50")</f>
        <v>ResNet50</v>
      </c>
      <c r="E472" s="6" t="str">
        <f>IFERROR(__xludf.DUMMYFUNCTION("""COMPUTED_VALUE"""),"Morphological Variation")</f>
        <v>Morphological Variation</v>
      </c>
    </row>
    <row r="473" ht="15.75" customHeight="1">
      <c r="A473" s="5" t="str">
        <f>IFERROR(__xludf.DUMMYFUNCTION("""COMPUTED_VALUE"""),"SCOPUS-000493")</f>
        <v>SCOPUS-000493</v>
      </c>
      <c r="B473" s="5" t="str">
        <f>IFERROR(__xludf.DUMMYFUNCTION("""COMPUTED_VALUE"""),"SCOPUS-000493-6")</f>
        <v>SCOPUS-000493-6</v>
      </c>
      <c r="C473" s="5" t="str">
        <f>IFERROR(__xludf.DUMMYFUNCTION("""COMPUTED_VALUE"""),"TECHNICAL")</f>
        <v>TECHNICAL</v>
      </c>
      <c r="D473" s="6" t="str">
        <f>IFERROR(__xludf.DUMMYFUNCTION("""COMPUTED_VALUE"""),"ResNet152")</f>
        <v>ResNet152</v>
      </c>
      <c r="E473" s="6" t="str">
        <f>IFERROR(__xludf.DUMMYFUNCTION("""COMPUTED_VALUE"""),"Feature Representation")</f>
        <v>Feature Representation</v>
      </c>
    </row>
    <row r="474" ht="15.75" customHeight="1">
      <c r="A474" s="5" t="str">
        <f>IFERROR(__xludf.DUMMYFUNCTION("""COMPUTED_VALUE"""),"SCOPUS-000505")</f>
        <v>SCOPUS-000505</v>
      </c>
      <c r="B474" s="5" t="str">
        <f>IFERROR(__xludf.DUMMYFUNCTION("""COMPUTED_VALUE"""),"SCOPUS-000505-1")</f>
        <v>SCOPUS-000505-1</v>
      </c>
      <c r="C474" s="5" t="str">
        <f>IFERROR(__xludf.DUMMYFUNCTION("""COMPUTED_VALUE"""),"DATA")</f>
        <v>DATA</v>
      </c>
      <c r="D474" s="6" t="str">
        <f>IFERROR(__xludf.DUMMYFUNCTION("""COMPUTED_VALUE"""),"NN")</f>
        <v>NN</v>
      </c>
      <c r="E474" s="6" t="str">
        <f>IFERROR(__xludf.DUMMYFUNCTION("""COMPUTED_VALUE"""),"Class Imbalance")</f>
        <v>Class Imbalance</v>
      </c>
    </row>
    <row r="475" ht="15.75" customHeight="1">
      <c r="A475" s="5" t="str">
        <f>IFERROR(__xludf.DUMMYFUNCTION("""COMPUTED_VALUE"""),"SCOPUS-000505")</f>
        <v>SCOPUS-000505</v>
      </c>
      <c r="B475" s="5" t="str">
        <f>IFERROR(__xludf.DUMMYFUNCTION("""COMPUTED_VALUE"""),"SCOPUS-000505-2")</f>
        <v>SCOPUS-000505-2</v>
      </c>
      <c r="C475" s="5" t="str">
        <f>IFERROR(__xludf.DUMMYFUNCTION("""COMPUTED_VALUE"""),"DATA")</f>
        <v>DATA</v>
      </c>
      <c r="D475" s="6" t="str">
        <f>IFERROR(__xludf.DUMMYFUNCTION("""COMPUTED_VALUE"""),"AlexNet")</f>
        <v>AlexNet</v>
      </c>
      <c r="E475" s="6" t="str">
        <f>IFERROR(__xludf.DUMMYFUNCTION("""COMPUTED_VALUE"""),"Data Scarcity")</f>
        <v>Data Scarcity</v>
      </c>
    </row>
    <row r="476" ht="15.75" customHeight="1">
      <c r="A476" s="5" t="str">
        <f>IFERROR(__xludf.DUMMYFUNCTION("""COMPUTED_VALUE"""),"SCOPUS-000505")</f>
        <v>SCOPUS-000505</v>
      </c>
      <c r="B476" s="5" t="str">
        <f>IFERROR(__xludf.DUMMYFUNCTION("""COMPUTED_VALUE"""),"SCOPUS-000505-3")</f>
        <v>SCOPUS-000505-3</v>
      </c>
      <c r="C476" s="5" t="str">
        <f>IFERROR(__xludf.DUMMYFUNCTION("""COMPUTED_VALUE"""),"TECHNICAL")</f>
        <v>TECHNICAL</v>
      </c>
      <c r="D476" s="6" t="str">
        <f>IFERROR(__xludf.DUMMYFUNCTION("""COMPUTED_VALUE"""),"NN")</f>
        <v>NN</v>
      </c>
      <c r="E476" s="6" t="str">
        <f>IFERROR(__xludf.DUMMYFUNCTION("""COMPUTED_VALUE"""),"Feature Representation")</f>
        <v>Feature Representation</v>
      </c>
    </row>
    <row r="477" ht="15.75" customHeight="1">
      <c r="A477" s="5" t="str">
        <f>IFERROR(__xludf.DUMMYFUNCTION("""COMPUTED_VALUE"""),"SCOPUS-000505")</f>
        <v>SCOPUS-000505</v>
      </c>
      <c r="B477" s="5" t="str">
        <f>IFERROR(__xludf.DUMMYFUNCTION("""COMPUTED_VALUE"""),"SCOPUS-000505-4")</f>
        <v>SCOPUS-000505-4</v>
      </c>
      <c r="C477" s="5" t="str">
        <f>IFERROR(__xludf.DUMMYFUNCTION("""COMPUTED_VALUE"""),"IMAGING")</f>
        <v>IMAGING</v>
      </c>
      <c r="D477" s="6" t="str">
        <f>IFERROR(__xludf.DUMMYFUNCTION("""COMPUTED_VALUE"""),"KNN")</f>
        <v>KNN</v>
      </c>
      <c r="E477" s="6" t="str">
        <f>IFERROR(__xludf.DUMMYFUNCTION("""COMPUTED_VALUE"""),"Visual Similarity")</f>
        <v>Visual Similarity</v>
      </c>
    </row>
    <row r="478" ht="15.75" customHeight="1">
      <c r="A478" s="5" t="str">
        <f>IFERROR(__xludf.DUMMYFUNCTION("""COMPUTED_VALUE"""),"SCOPUS-000532")</f>
        <v>SCOPUS-000532</v>
      </c>
      <c r="B478" s="5" t="str">
        <f>IFERROR(__xludf.DUMMYFUNCTION("""COMPUTED_VALUE"""),"SCOPUS-000532-1")</f>
        <v>SCOPUS-000532-1</v>
      </c>
      <c r="C478" s="5" t="str">
        <f>IFERROR(__xludf.DUMMYFUNCTION("""COMPUTED_VALUE"""),"ENVIRONMENTAL")</f>
        <v>ENVIRONMENTAL</v>
      </c>
      <c r="D478" s="6" t="str">
        <f>IFERROR(__xludf.DUMMYFUNCTION("""COMPUTED_VALUE"""),"YOLOv8")</f>
        <v>YOLOv8</v>
      </c>
      <c r="E478" s="6" t="str">
        <f>IFERROR(__xludf.DUMMYFUNCTION("""COMPUTED_VALUE"""),"Environmental Variation")</f>
        <v>Environmental Variation</v>
      </c>
    </row>
    <row r="479" ht="15.75" customHeight="1">
      <c r="A479" s="5" t="str">
        <f>IFERROR(__xludf.DUMMYFUNCTION("""COMPUTED_VALUE"""),"SCOPUS-000532")</f>
        <v>SCOPUS-000532</v>
      </c>
      <c r="B479" s="5" t="str">
        <f>IFERROR(__xludf.DUMMYFUNCTION("""COMPUTED_VALUE"""),"SCOPUS-000532-2")</f>
        <v>SCOPUS-000532-2</v>
      </c>
      <c r="C479" s="5" t="str">
        <f>IFERROR(__xludf.DUMMYFUNCTION("""COMPUTED_VALUE"""),"ENVIRONMENTAL")</f>
        <v>ENVIRONMENTAL</v>
      </c>
      <c r="D479" s="6" t="str">
        <f>IFERROR(__xludf.DUMMYFUNCTION("""COMPUTED_VALUE"""),"YOLOv8")</f>
        <v>YOLOv8</v>
      </c>
      <c r="E479" s="6" t="str">
        <f>IFERROR(__xludf.DUMMYFUNCTION("""COMPUTED_VALUE"""),"Occlusion")</f>
        <v>Occlusion</v>
      </c>
    </row>
    <row r="480" ht="15.75" customHeight="1">
      <c r="A480" s="5" t="str">
        <f>IFERROR(__xludf.DUMMYFUNCTION("""COMPUTED_VALUE"""),"SCOPUS-000532")</f>
        <v>SCOPUS-000532</v>
      </c>
      <c r="B480" s="5" t="str">
        <f>IFERROR(__xludf.DUMMYFUNCTION("""COMPUTED_VALUE"""),"SCOPUS-000532-3")</f>
        <v>SCOPUS-000532-3</v>
      </c>
      <c r="C480" s="5" t="str">
        <f>IFERROR(__xludf.DUMMYFUNCTION("""COMPUTED_VALUE"""),"IMAGING")</f>
        <v>IMAGING</v>
      </c>
      <c r="D480" s="6" t="str">
        <f>IFERROR(__xludf.DUMMYFUNCTION("""COMPUTED_VALUE"""),"YOLOv8")</f>
        <v>YOLOv8</v>
      </c>
      <c r="E480" s="6" t="str">
        <f>IFERROR(__xludf.DUMMYFUNCTION("""COMPUTED_VALUE"""),"Small Object Detection")</f>
        <v>Small Object Detection</v>
      </c>
    </row>
    <row r="481" ht="15.75" customHeight="1">
      <c r="A481" s="5" t="str">
        <f>IFERROR(__xludf.DUMMYFUNCTION("""COMPUTED_VALUE"""),"SCOPUS-000532")</f>
        <v>SCOPUS-000532</v>
      </c>
      <c r="B481" s="5" t="str">
        <f>IFERROR(__xludf.DUMMYFUNCTION("""COMPUTED_VALUE"""),"SCOPUS-000532-4")</f>
        <v>SCOPUS-000532-4</v>
      </c>
      <c r="C481" s="5" t="str">
        <f>IFERROR(__xludf.DUMMYFUNCTION("""COMPUTED_VALUE"""),"IMAGING")</f>
        <v>IMAGING</v>
      </c>
      <c r="D481" s="6" t="str">
        <f>IFERROR(__xludf.DUMMYFUNCTION("""COMPUTED_VALUE"""),"YOLOv8")</f>
        <v>YOLOv8</v>
      </c>
      <c r="E481" s="6" t="str">
        <f>IFERROR(__xludf.DUMMYFUNCTION("""COMPUTED_VALUE"""),"Image Alignment")</f>
        <v>Image Alignment</v>
      </c>
    </row>
    <row r="482" ht="15.75" customHeight="1">
      <c r="A482" s="5" t="str">
        <f>IFERROR(__xludf.DUMMYFUNCTION("""COMPUTED_VALUE"""),"SCOPUS-000532")</f>
        <v>SCOPUS-000532</v>
      </c>
      <c r="B482" s="5" t="str">
        <f>IFERROR(__xludf.DUMMYFUNCTION("""COMPUTED_VALUE"""),"SCOPUS-000532-5")</f>
        <v>SCOPUS-000532-5</v>
      </c>
      <c r="C482" s="5" t="str">
        <f>IFERROR(__xludf.DUMMYFUNCTION("""COMPUTED_VALUE"""),"IMAGING")</f>
        <v>IMAGING</v>
      </c>
      <c r="D482" s="6" t="str">
        <f>IFERROR(__xludf.DUMMYFUNCTION("""COMPUTED_VALUE"""),"YOLOv8")</f>
        <v>YOLOv8</v>
      </c>
      <c r="E482" s="6" t="str">
        <f>IFERROR(__xludf.DUMMYFUNCTION("""COMPUTED_VALUE"""),"Image Quality")</f>
        <v>Image Quality</v>
      </c>
    </row>
    <row r="483" ht="15.75" customHeight="1">
      <c r="A483" s="5" t="str">
        <f>IFERROR(__xludf.DUMMYFUNCTION("""COMPUTED_VALUE"""),"SCOPUS-000532")</f>
        <v>SCOPUS-000532</v>
      </c>
      <c r="B483" s="5" t="str">
        <f>IFERROR(__xludf.DUMMYFUNCTION("""COMPUTED_VALUE"""),"SCOPUS-000532-6")</f>
        <v>SCOPUS-000532-6</v>
      </c>
      <c r="C483" s="5" t="str">
        <f>IFERROR(__xludf.DUMMYFUNCTION("""COMPUTED_VALUE"""),"IMAGING")</f>
        <v>IMAGING</v>
      </c>
      <c r="D483" s="6" t="str">
        <f>IFERROR(__xludf.DUMMYFUNCTION("""COMPUTED_VALUE"""),"YOLOv8")</f>
        <v>YOLOv8</v>
      </c>
      <c r="E483" s="6" t="str">
        <f>IFERROR(__xludf.DUMMYFUNCTION("""COMPUTED_VALUE"""),"Visual Similarity")</f>
        <v>Visual Similarity</v>
      </c>
    </row>
    <row r="484" ht="15.75" customHeight="1">
      <c r="A484" s="5" t="str">
        <f>IFERROR(__xludf.DUMMYFUNCTION("""COMPUTED_VALUE"""),"SCOPUS-000542")</f>
        <v>SCOPUS-000542</v>
      </c>
      <c r="B484" s="5" t="str">
        <f>IFERROR(__xludf.DUMMYFUNCTION("""COMPUTED_VALUE"""),"SCOPUS-000542-1")</f>
        <v>SCOPUS-000542-1</v>
      </c>
      <c r="C484" s="5" t="str">
        <f>IFERROR(__xludf.DUMMYFUNCTION("""COMPUTED_VALUE"""),"TECHNICAL")</f>
        <v>TECHNICAL</v>
      </c>
      <c r="D484" s="6" t="str">
        <f>IFERROR(__xludf.DUMMYFUNCTION("""COMPUTED_VALUE"""),"YOLOv3")</f>
        <v>YOLOv3</v>
      </c>
      <c r="E484" s="6" t="str">
        <f>IFERROR(__xludf.DUMMYFUNCTION("""COMPUTED_VALUE"""),"Model Generalization")</f>
        <v>Model Generalization</v>
      </c>
    </row>
    <row r="485" ht="15.75" customHeight="1">
      <c r="A485" s="5" t="str">
        <f>IFERROR(__xludf.DUMMYFUNCTION("""COMPUTED_VALUE"""),"SCOPUS-000542")</f>
        <v>SCOPUS-000542</v>
      </c>
      <c r="B485" s="5" t="str">
        <f>IFERROR(__xludf.DUMMYFUNCTION("""COMPUTED_VALUE"""),"SCOPUS-000542-2")</f>
        <v>SCOPUS-000542-2</v>
      </c>
      <c r="C485" s="5" t="str">
        <f>IFERROR(__xludf.DUMMYFUNCTION("""COMPUTED_VALUE"""),"DATA")</f>
        <v>DATA</v>
      </c>
      <c r="D485" s="6" t="str">
        <f>IFERROR(__xludf.DUMMYFUNCTION("""COMPUTED_VALUE"""),"YOLOv3")</f>
        <v>YOLOv3</v>
      </c>
      <c r="E485" s="6" t="str">
        <f>IFERROR(__xludf.DUMMYFUNCTION("""COMPUTED_VALUE"""),"Domain Shift")</f>
        <v>Domain Shift</v>
      </c>
    </row>
    <row r="486" ht="15.75" customHeight="1">
      <c r="A486" s="5" t="str">
        <f>IFERROR(__xludf.DUMMYFUNCTION("""COMPUTED_VALUE"""),"SCOPUS-000542")</f>
        <v>SCOPUS-000542</v>
      </c>
      <c r="B486" s="5" t="str">
        <f>IFERROR(__xludf.DUMMYFUNCTION("""COMPUTED_VALUE"""),"SCOPUS-000542-3")</f>
        <v>SCOPUS-000542-3</v>
      </c>
      <c r="C486" s="5" t="str">
        <f>IFERROR(__xludf.DUMMYFUNCTION("""COMPUTED_VALUE"""),"DATA")</f>
        <v>DATA</v>
      </c>
      <c r="D486" s="6" t="str">
        <f>IFERROR(__xludf.DUMMYFUNCTION("""COMPUTED_VALUE"""),"YOLOv3")</f>
        <v>YOLOv3</v>
      </c>
      <c r="E486" s="6" t="str">
        <f>IFERROR(__xludf.DUMMYFUNCTION("""COMPUTED_VALUE"""),"Class Imbalance")</f>
        <v>Class Imbalance</v>
      </c>
    </row>
    <row r="487" ht="15.75" customHeight="1">
      <c r="A487" s="5" t="str">
        <f>IFERROR(__xludf.DUMMYFUNCTION("""COMPUTED_VALUE"""),"SCOPUS-000542")</f>
        <v>SCOPUS-000542</v>
      </c>
      <c r="B487" s="5" t="str">
        <f>IFERROR(__xludf.DUMMYFUNCTION("""COMPUTED_VALUE"""),"SCOPUS-000542-4")</f>
        <v>SCOPUS-000542-4</v>
      </c>
      <c r="C487" s="5" t="str">
        <f>IFERROR(__xludf.DUMMYFUNCTION("""COMPUTED_VALUE"""),"ENVIRONMENTAL")</f>
        <v>ENVIRONMENTAL</v>
      </c>
      <c r="D487" s="6" t="str">
        <f>IFERROR(__xludf.DUMMYFUNCTION("""COMPUTED_VALUE"""),"YOLOv3")</f>
        <v>YOLOv3</v>
      </c>
      <c r="E487" s="6" t="str">
        <f>IFERROR(__xludf.DUMMYFUNCTION("""COMPUTED_VALUE"""),"Morphological Variation")</f>
        <v>Morphological Variation</v>
      </c>
    </row>
    <row r="488" ht="15.75" customHeight="1">
      <c r="A488" s="5" t="str">
        <f>IFERROR(__xludf.DUMMYFUNCTION("""COMPUTED_VALUE"""),"SCOPUS-000542")</f>
        <v>SCOPUS-000542</v>
      </c>
      <c r="B488" s="5" t="str">
        <f>IFERROR(__xludf.DUMMYFUNCTION("""COMPUTED_VALUE"""),"SCOPUS-000542-5")</f>
        <v>SCOPUS-000542-5</v>
      </c>
      <c r="C488" s="5" t="str">
        <f>IFERROR(__xludf.DUMMYFUNCTION("""COMPUTED_VALUE"""),"IMAGING")</f>
        <v>IMAGING</v>
      </c>
      <c r="D488" s="6" t="str">
        <f>IFERROR(__xludf.DUMMYFUNCTION("""COMPUTED_VALUE"""),"YOLOv3")</f>
        <v>YOLOv3</v>
      </c>
      <c r="E488" s="6" t="str">
        <f>IFERROR(__xludf.DUMMYFUNCTION("""COMPUTED_VALUE"""),"Image Quality")</f>
        <v>Image Quality</v>
      </c>
    </row>
    <row r="489" ht="15.75" customHeight="1">
      <c r="A489" s="5" t="str">
        <f>IFERROR(__xludf.DUMMYFUNCTION("""COMPUTED_VALUE"""),"SCOPUS-000542")</f>
        <v>SCOPUS-000542</v>
      </c>
      <c r="B489" s="5" t="str">
        <f>IFERROR(__xludf.DUMMYFUNCTION("""COMPUTED_VALUE"""),"SCOPUS-000542-6")</f>
        <v>SCOPUS-000542-6</v>
      </c>
      <c r="C489" s="5" t="str">
        <f>IFERROR(__xludf.DUMMYFUNCTION("""COMPUTED_VALUE"""),"ENVIRONMENTAL")</f>
        <v>ENVIRONMENTAL</v>
      </c>
      <c r="D489" s="6" t="str">
        <f>IFERROR(__xludf.DUMMYFUNCTION("""COMPUTED_VALUE"""),"YOLOv3")</f>
        <v>YOLOv3</v>
      </c>
      <c r="E489" s="6" t="str">
        <f>IFERROR(__xludf.DUMMYFUNCTION("""COMPUTED_VALUE"""),"Environmental Variation")</f>
        <v>Environmental Variation</v>
      </c>
    </row>
    <row r="490" ht="15.75" customHeight="1">
      <c r="A490" s="5" t="str">
        <f>IFERROR(__xludf.DUMMYFUNCTION("""COMPUTED_VALUE"""),"SCOPUS-000545")</f>
        <v>SCOPUS-000545</v>
      </c>
      <c r="B490" s="5" t="str">
        <f>IFERROR(__xludf.DUMMYFUNCTION("""COMPUTED_VALUE"""),"SCOPUS-000545-1")</f>
        <v>SCOPUS-000545-1</v>
      </c>
      <c r="C490" s="5" t="str">
        <f>IFERROR(__xludf.DUMMYFUNCTION("""COMPUTED_VALUE"""),"ENVIRONMENTAL")</f>
        <v>ENVIRONMENTAL</v>
      </c>
      <c r="D490" s="6" t="str">
        <f>IFERROR(__xludf.DUMMYFUNCTION("""COMPUTED_VALUE"""),"BaseNet")</f>
        <v>BaseNet</v>
      </c>
      <c r="E490" s="6" t="str">
        <f>IFERROR(__xludf.DUMMYFUNCTION("""COMPUTED_VALUE"""),"Occlusion")</f>
        <v>Occlusion</v>
      </c>
    </row>
    <row r="491" ht="15.75" customHeight="1">
      <c r="A491" s="5" t="str">
        <f>IFERROR(__xludf.DUMMYFUNCTION("""COMPUTED_VALUE"""),"SCOPUS-000545")</f>
        <v>SCOPUS-000545</v>
      </c>
      <c r="B491" s="5" t="str">
        <f>IFERROR(__xludf.DUMMYFUNCTION("""COMPUTED_VALUE"""),"SCOPUS-000545-2")</f>
        <v>SCOPUS-000545-2</v>
      </c>
      <c r="C491" s="5" t="str">
        <f>IFERROR(__xludf.DUMMYFUNCTION("""COMPUTED_VALUE"""),"IMAGING")</f>
        <v>IMAGING</v>
      </c>
      <c r="D491" s="6" t="str">
        <f>IFERROR(__xludf.DUMMYFUNCTION("""COMPUTED_VALUE"""),"BaseNet")</f>
        <v>BaseNet</v>
      </c>
      <c r="E491" s="6" t="str">
        <f>IFERROR(__xludf.DUMMYFUNCTION("""COMPUTED_VALUE"""),"Scale Variation")</f>
        <v>Scale Variation</v>
      </c>
    </row>
    <row r="492" ht="15.75" customHeight="1">
      <c r="A492" s="5" t="str">
        <f>IFERROR(__xludf.DUMMYFUNCTION("""COMPUTED_VALUE"""),"SCOPUS-000545")</f>
        <v>SCOPUS-000545</v>
      </c>
      <c r="B492" s="5" t="str">
        <f>IFERROR(__xludf.DUMMYFUNCTION("""COMPUTED_VALUE"""),"SCOPUS-000545-3")</f>
        <v>SCOPUS-000545-3</v>
      </c>
      <c r="C492" s="5" t="str">
        <f>IFERROR(__xludf.DUMMYFUNCTION("""COMPUTED_VALUE"""),"DATA")</f>
        <v>DATA</v>
      </c>
      <c r="D492" s="6" t="str">
        <f>IFERROR(__xludf.DUMMYFUNCTION("""COMPUTED_VALUE"""),"BaseNet")</f>
        <v>BaseNet</v>
      </c>
      <c r="E492" s="6" t="str">
        <f>IFERROR(__xludf.DUMMYFUNCTION("""COMPUTED_VALUE"""),"Class Imbalance")</f>
        <v>Class Imbalance</v>
      </c>
    </row>
    <row r="493" ht="15.75" customHeight="1">
      <c r="A493" s="5" t="str">
        <f>IFERROR(__xludf.DUMMYFUNCTION("""COMPUTED_VALUE"""),"SCOPUS-000545")</f>
        <v>SCOPUS-000545</v>
      </c>
      <c r="B493" s="5" t="str">
        <f>IFERROR(__xludf.DUMMYFUNCTION("""COMPUTED_VALUE"""),"SCOPUS-000545-4")</f>
        <v>SCOPUS-000545-4</v>
      </c>
      <c r="C493" s="5" t="str">
        <f>IFERROR(__xludf.DUMMYFUNCTION("""COMPUTED_VALUE"""),"DATA")</f>
        <v>DATA</v>
      </c>
      <c r="D493" s="6" t="str">
        <f>IFERROR(__xludf.DUMMYFUNCTION("""COMPUTED_VALUE"""),"BaseNet")</f>
        <v>BaseNet</v>
      </c>
      <c r="E493" s="6" t="str">
        <f>IFERROR(__xludf.DUMMYFUNCTION("""COMPUTED_VALUE"""),"Data Scarcity")</f>
        <v>Data Scarcity</v>
      </c>
    </row>
    <row r="494" ht="15.75" customHeight="1">
      <c r="A494" s="5" t="str">
        <f>IFERROR(__xludf.DUMMYFUNCTION("""COMPUTED_VALUE"""),"SCOPUS-000545")</f>
        <v>SCOPUS-000545</v>
      </c>
      <c r="B494" s="5" t="str">
        <f>IFERROR(__xludf.DUMMYFUNCTION("""COMPUTED_VALUE"""),"SCOPUS-000545-5")</f>
        <v>SCOPUS-000545-5</v>
      </c>
      <c r="C494" s="5" t="str">
        <f>IFERROR(__xludf.DUMMYFUNCTION("""COMPUTED_VALUE"""),"ENVIRONMENTAL")</f>
        <v>ENVIRONMENTAL</v>
      </c>
      <c r="D494" s="6" t="str">
        <f>IFERROR(__xludf.DUMMYFUNCTION("""COMPUTED_VALUE"""),"BaseNet")</f>
        <v>BaseNet</v>
      </c>
      <c r="E494" s="6" t="str">
        <f>IFERROR(__xludf.DUMMYFUNCTION("""COMPUTED_VALUE"""),"Background Complexity")</f>
        <v>Background Complexity</v>
      </c>
    </row>
    <row r="495" ht="15.75" customHeight="1">
      <c r="A495" s="5" t="str">
        <f>IFERROR(__xludf.DUMMYFUNCTION("""COMPUTED_VALUE"""),"SCOPUS-000545")</f>
        <v>SCOPUS-000545</v>
      </c>
      <c r="B495" s="5" t="str">
        <f>IFERROR(__xludf.DUMMYFUNCTION("""COMPUTED_VALUE"""),"SCOPUS-000545-6")</f>
        <v>SCOPUS-000545-6</v>
      </c>
      <c r="C495" s="5" t="str">
        <f>IFERROR(__xludf.DUMMYFUNCTION("""COMPUTED_VALUE"""),"ENVIRONMENTAL")</f>
        <v>ENVIRONMENTAL</v>
      </c>
      <c r="D495" s="6" t="str">
        <f>IFERROR(__xludf.DUMMYFUNCTION("""COMPUTED_VALUE"""),"BaseNet")</f>
        <v>BaseNet</v>
      </c>
      <c r="E495" s="6" t="str">
        <f>IFERROR(__xludf.DUMMYFUNCTION("""COMPUTED_VALUE"""),"Environmental Variation")</f>
        <v>Environmental Variation</v>
      </c>
    </row>
    <row r="496" ht="15.75" customHeight="1">
      <c r="A496" s="5" t="str">
        <f>IFERROR(__xludf.DUMMYFUNCTION("""COMPUTED_VALUE"""),"SCOPUS-000552")</f>
        <v>SCOPUS-000552</v>
      </c>
      <c r="B496" s="5" t="str">
        <f>IFERROR(__xludf.DUMMYFUNCTION("""COMPUTED_VALUE"""),"SCOPUS-000552-1")</f>
        <v>SCOPUS-000552-1</v>
      </c>
      <c r="C496" s="5" t="str">
        <f>IFERROR(__xludf.DUMMYFUNCTION("""COMPUTED_VALUE"""),"TECHNICAL")</f>
        <v>TECHNICAL</v>
      </c>
      <c r="D496" s="6" t="str">
        <f>IFERROR(__xludf.DUMMYFUNCTION("""COMPUTED_VALUE"""),"EfficientDet")</f>
        <v>EfficientDet</v>
      </c>
      <c r="E496" s="6" t="str">
        <f>IFERROR(__xludf.DUMMYFUNCTION("""COMPUTED_VALUE"""),"Computational Resource")</f>
        <v>Computational Resource</v>
      </c>
    </row>
    <row r="497" ht="15.75" customHeight="1">
      <c r="A497" s="5" t="str">
        <f>IFERROR(__xludf.DUMMYFUNCTION("""COMPUTED_VALUE"""),"SCOPUS-000552")</f>
        <v>SCOPUS-000552</v>
      </c>
      <c r="B497" s="5" t="str">
        <f>IFERROR(__xludf.DUMMYFUNCTION("""COMPUTED_VALUE"""),"SCOPUS-000552-2")</f>
        <v>SCOPUS-000552-2</v>
      </c>
      <c r="C497" s="5" t="str">
        <f>IFERROR(__xludf.DUMMYFUNCTION("""COMPUTED_VALUE"""),"TECHNICAL")</f>
        <v>TECHNICAL</v>
      </c>
      <c r="D497" s="6" t="str">
        <f>IFERROR(__xludf.DUMMYFUNCTION("""COMPUTED_VALUE"""),"YOLOv4")</f>
        <v>YOLOv4</v>
      </c>
      <c r="E497" s="6" t="str">
        <f>IFERROR(__xludf.DUMMYFUNCTION("""COMPUTED_VALUE"""),"Inference Efficiency")</f>
        <v>Inference Efficiency</v>
      </c>
    </row>
    <row r="498" ht="15.75" customHeight="1">
      <c r="A498" s="5" t="str">
        <f>IFERROR(__xludf.DUMMYFUNCTION("""COMPUTED_VALUE"""),"SCOPUS-000552")</f>
        <v>SCOPUS-000552</v>
      </c>
      <c r="B498" s="5" t="str">
        <f>IFERROR(__xludf.DUMMYFUNCTION("""COMPUTED_VALUE"""),"SCOPUS-000552-3")</f>
        <v>SCOPUS-000552-3</v>
      </c>
      <c r="C498" s="5" t="str">
        <f>IFERROR(__xludf.DUMMYFUNCTION("""COMPUTED_VALUE"""),"IMAGING")</f>
        <v>IMAGING</v>
      </c>
      <c r="D498" s="6" t="str">
        <f>IFERROR(__xludf.DUMMYFUNCTION("""COMPUTED_VALUE"""),"EfficientDet")</f>
        <v>EfficientDet</v>
      </c>
      <c r="E498" s="6" t="str">
        <f>IFERROR(__xludf.DUMMYFUNCTION("""COMPUTED_VALUE"""),"Visual Similarity")</f>
        <v>Visual Similarity</v>
      </c>
    </row>
    <row r="499" ht="15.75" customHeight="1">
      <c r="A499" s="5" t="str">
        <f>IFERROR(__xludf.DUMMYFUNCTION("""COMPUTED_VALUE"""),"SCOPUS-000552")</f>
        <v>SCOPUS-000552</v>
      </c>
      <c r="B499" s="5" t="str">
        <f>IFERROR(__xludf.DUMMYFUNCTION("""COMPUTED_VALUE"""),"SCOPUS-000552-4")</f>
        <v>SCOPUS-000552-4</v>
      </c>
      <c r="C499" s="5" t="str">
        <f>IFERROR(__xludf.DUMMYFUNCTION("""COMPUTED_VALUE"""),"DATA")</f>
        <v>DATA</v>
      </c>
      <c r="D499" s="6" t="str">
        <f>IFERROR(__xludf.DUMMYFUNCTION("""COMPUTED_VALUE"""),"CenterNet")</f>
        <v>CenterNet</v>
      </c>
      <c r="E499" s="6" t="str">
        <f>IFERROR(__xludf.DUMMYFUNCTION("""COMPUTED_VALUE"""),"Class Imbalance")</f>
        <v>Class Imbalance</v>
      </c>
    </row>
    <row r="500" ht="15.75" customHeight="1">
      <c r="A500" s="5" t="str">
        <f>IFERROR(__xludf.DUMMYFUNCTION("""COMPUTED_VALUE"""),"SCOPUS-000582")</f>
        <v>SCOPUS-000582</v>
      </c>
      <c r="B500" s="5" t="str">
        <f>IFERROR(__xludf.DUMMYFUNCTION("""COMPUTED_VALUE"""),"SCOPUS-000582-1")</f>
        <v>SCOPUS-000582-1</v>
      </c>
      <c r="C500" s="5" t="str">
        <f>IFERROR(__xludf.DUMMYFUNCTION("""COMPUTED_VALUE"""),"ENVIRONMENTAL")</f>
        <v>ENVIRONMENTAL</v>
      </c>
      <c r="D500" s="6" t="str">
        <f>IFERROR(__xludf.DUMMYFUNCTION("""COMPUTED_VALUE"""),"Thermal RT")</f>
        <v>Thermal RT</v>
      </c>
      <c r="E500" s="6" t="str">
        <f>IFERROR(__xludf.DUMMYFUNCTION("""COMPUTED_VALUE"""),"Environmental Variation")</f>
        <v>Environmental Variation</v>
      </c>
    </row>
    <row r="501" ht="15.75" customHeight="1">
      <c r="A501" s="5" t="str">
        <f>IFERROR(__xludf.DUMMYFUNCTION("""COMPUTED_VALUE"""),"SCOPUS-000582")</f>
        <v>SCOPUS-000582</v>
      </c>
      <c r="B501" s="5" t="str">
        <f>IFERROR(__xludf.DUMMYFUNCTION("""COMPUTED_VALUE"""),"SCOPUS-000582-2")</f>
        <v>SCOPUS-000582-2</v>
      </c>
      <c r="C501" s="5" t="str">
        <f>IFERROR(__xludf.DUMMYFUNCTION("""COMPUTED_VALUE"""),"IMAGING")</f>
        <v>IMAGING</v>
      </c>
      <c r="D501" s="6" t="str">
        <f>IFERROR(__xludf.DUMMYFUNCTION("""COMPUTED_VALUE"""),"Thermal RT")</f>
        <v>Thermal RT</v>
      </c>
      <c r="E501" s="6" t="str">
        <f>IFERROR(__xludf.DUMMYFUNCTION("""COMPUTED_VALUE"""),"Image Quality")</f>
        <v>Image Quality</v>
      </c>
    </row>
    <row r="502" ht="15.75" customHeight="1">
      <c r="A502" s="5" t="str">
        <f>IFERROR(__xludf.DUMMYFUNCTION("""COMPUTED_VALUE"""),"SCOPUS-000582")</f>
        <v>SCOPUS-000582</v>
      </c>
      <c r="B502" s="5" t="str">
        <f>IFERROR(__xludf.DUMMYFUNCTION("""COMPUTED_VALUE"""),"SCOPUS-000582-3")</f>
        <v>SCOPUS-000582-3</v>
      </c>
      <c r="C502" s="5" t="str">
        <f>IFERROR(__xludf.DUMMYFUNCTION("""COMPUTED_VALUE"""),"IMAGING")</f>
        <v>IMAGING</v>
      </c>
      <c r="D502" s="6" t="str">
        <f>IFERROR(__xludf.DUMMYFUNCTION("""COMPUTED_VALUE"""),"Thermal RT")</f>
        <v>Thermal RT</v>
      </c>
      <c r="E502" s="6" t="str">
        <f>IFERROR(__xludf.DUMMYFUNCTION("""COMPUTED_VALUE"""),"Visual Similarity")</f>
        <v>Visual Similarity</v>
      </c>
    </row>
    <row r="503" ht="15.75" customHeight="1">
      <c r="A503" s="5" t="str">
        <f>IFERROR(__xludf.DUMMYFUNCTION("""COMPUTED_VALUE"""),"SCOPUS-000582")</f>
        <v>SCOPUS-000582</v>
      </c>
      <c r="B503" s="5" t="str">
        <f>IFERROR(__xludf.DUMMYFUNCTION("""COMPUTED_VALUE"""),"SCOPUS-000582-4")</f>
        <v>SCOPUS-000582-4</v>
      </c>
      <c r="C503" s="5" t="str">
        <f>IFERROR(__xludf.DUMMYFUNCTION("""COMPUTED_VALUE"""),"DATA")</f>
        <v>DATA</v>
      </c>
      <c r="D503" s="6" t="str">
        <f>IFERROR(__xludf.DUMMYFUNCTION("""COMPUTED_VALUE"""),"Thermal RT")</f>
        <v>Thermal RT</v>
      </c>
      <c r="E503" s="6" t="str">
        <f>IFERROR(__xludf.DUMMYFUNCTION("""COMPUTED_VALUE"""),"Class Imbalance")</f>
        <v>Class Imbalance</v>
      </c>
    </row>
    <row r="504" ht="15.75" customHeight="1">
      <c r="A504" s="5" t="str">
        <f>IFERROR(__xludf.DUMMYFUNCTION("""COMPUTED_VALUE"""),"SCOPUS-000600")</f>
        <v>SCOPUS-000600</v>
      </c>
      <c r="B504" s="5" t="str">
        <f>IFERROR(__xludf.DUMMYFUNCTION("""COMPUTED_VALUE"""),"SCOPUS-000600-1")</f>
        <v>SCOPUS-000600-1</v>
      </c>
      <c r="C504" s="5" t="str">
        <f>IFERROR(__xludf.DUMMYFUNCTION("""COMPUTED_VALUE"""),"DATA")</f>
        <v>DATA</v>
      </c>
      <c r="D504" s="6" t="str">
        <f>IFERROR(__xludf.DUMMYFUNCTION("""COMPUTED_VALUE"""),"MaxVit")</f>
        <v>MaxVit</v>
      </c>
      <c r="E504" s="6" t="str">
        <f>IFERROR(__xludf.DUMMYFUNCTION("""COMPUTED_VALUE"""),"Data Scarcity")</f>
        <v>Data Scarcity</v>
      </c>
    </row>
    <row r="505" ht="15.75" customHeight="1">
      <c r="A505" s="5" t="str">
        <f>IFERROR(__xludf.DUMMYFUNCTION("""COMPUTED_VALUE"""),"SCOPUS-000600")</f>
        <v>SCOPUS-000600</v>
      </c>
      <c r="B505" s="5" t="str">
        <f>IFERROR(__xludf.DUMMYFUNCTION("""COMPUTED_VALUE"""),"SCOPUS-000600-2")</f>
        <v>SCOPUS-000600-2</v>
      </c>
      <c r="C505" s="5" t="str">
        <f>IFERROR(__xludf.DUMMYFUNCTION("""COMPUTED_VALUE"""),"IMAGING")</f>
        <v>IMAGING</v>
      </c>
      <c r="D505" s="6" t="str">
        <f>IFERROR(__xludf.DUMMYFUNCTION("""COMPUTED_VALUE"""),"EfficientNet_B1")</f>
        <v>EfficientNet_B1</v>
      </c>
      <c r="E505" s="6" t="str">
        <f>IFERROR(__xludf.DUMMYFUNCTION("""COMPUTED_VALUE"""),"Visual Similarity")</f>
        <v>Visual Similarity</v>
      </c>
    </row>
    <row r="506" ht="15.75" customHeight="1">
      <c r="A506" s="5" t="str">
        <f>IFERROR(__xludf.DUMMYFUNCTION("""COMPUTED_VALUE"""),"SCOPUS-000600")</f>
        <v>SCOPUS-000600</v>
      </c>
      <c r="B506" s="5" t="str">
        <f>IFERROR(__xludf.DUMMYFUNCTION("""COMPUTED_VALUE"""),"SCOPUS-000600-3")</f>
        <v>SCOPUS-000600-3</v>
      </c>
      <c r="C506" s="5" t="str">
        <f>IFERROR(__xludf.DUMMYFUNCTION("""COMPUTED_VALUE"""),"TECHNICAL")</f>
        <v>TECHNICAL</v>
      </c>
      <c r="D506" s="6" t="str">
        <f>IFERROR(__xludf.DUMMYFUNCTION("""COMPUTED_VALUE"""),"ViT_l_16")</f>
        <v>ViT_l_16</v>
      </c>
      <c r="E506" s="6" t="str">
        <f>IFERROR(__xludf.DUMMYFUNCTION("""COMPUTED_VALUE"""),"Computational Resource")</f>
        <v>Computational Resource</v>
      </c>
    </row>
    <row r="507" ht="15.75" customHeight="1">
      <c r="A507" s="5" t="str">
        <f>IFERROR(__xludf.DUMMYFUNCTION("""COMPUTED_VALUE"""),"SCOPUS-000620")</f>
        <v>SCOPUS-000620</v>
      </c>
      <c r="B507" s="5" t="str">
        <f>IFERROR(__xludf.DUMMYFUNCTION("""COMPUTED_VALUE"""),"SCOPUS-000620-1")</f>
        <v>SCOPUS-000620-1</v>
      </c>
      <c r="C507" s="5" t="str">
        <f>IFERROR(__xludf.DUMMYFUNCTION("""COMPUTED_VALUE"""),"DATA")</f>
        <v>DATA</v>
      </c>
      <c r="D507" s="6" t="str">
        <f>IFERROR(__xludf.DUMMYFUNCTION("""COMPUTED_VALUE"""),"ResNet50")</f>
        <v>ResNet50</v>
      </c>
      <c r="E507" s="6" t="str">
        <f>IFERROR(__xludf.DUMMYFUNCTION("""COMPUTED_VALUE"""),"Data Scarcity")</f>
        <v>Data Scarcity</v>
      </c>
    </row>
    <row r="508" ht="15.75" customHeight="1">
      <c r="A508" s="5" t="str">
        <f>IFERROR(__xludf.DUMMYFUNCTION("""COMPUTED_VALUE"""),"SCOPUS-000620")</f>
        <v>SCOPUS-000620</v>
      </c>
      <c r="B508" s="5" t="str">
        <f>IFERROR(__xludf.DUMMYFUNCTION("""COMPUTED_VALUE"""),"SCOPUS-000620-2")</f>
        <v>SCOPUS-000620-2</v>
      </c>
      <c r="C508" s="5" t="str">
        <f>IFERROR(__xludf.DUMMYFUNCTION("""COMPUTED_VALUE"""),"DATA")</f>
        <v>DATA</v>
      </c>
      <c r="D508" s="6" t="str">
        <f>IFERROR(__xludf.DUMMYFUNCTION("""COMPUTED_VALUE"""),"ResNet50")</f>
        <v>ResNet50</v>
      </c>
      <c r="E508" s="6" t="str">
        <f>IFERROR(__xludf.DUMMYFUNCTION("""COMPUTED_VALUE"""),"Class Imbalance")</f>
        <v>Class Imbalance</v>
      </c>
    </row>
    <row r="509" ht="15.75" customHeight="1">
      <c r="A509" s="5" t="str">
        <f>IFERROR(__xludf.DUMMYFUNCTION("""COMPUTED_VALUE"""),"SCOPUS-000620")</f>
        <v>SCOPUS-000620</v>
      </c>
      <c r="B509" s="5" t="str">
        <f>IFERROR(__xludf.DUMMYFUNCTION("""COMPUTED_VALUE"""),"SCOPUS-000620-3")</f>
        <v>SCOPUS-000620-3</v>
      </c>
      <c r="C509" s="5" t="str">
        <f>IFERROR(__xludf.DUMMYFUNCTION("""COMPUTED_VALUE"""),"DATA")</f>
        <v>DATA</v>
      </c>
      <c r="D509" s="6" t="str">
        <f>IFERROR(__xludf.DUMMYFUNCTION("""COMPUTED_VALUE"""),"ResNet50")</f>
        <v>ResNet50</v>
      </c>
      <c r="E509" s="6" t="str">
        <f>IFERROR(__xludf.DUMMYFUNCTION("""COMPUTED_VALUE"""),"Domain Shift")</f>
        <v>Domain Shift</v>
      </c>
    </row>
    <row r="510" ht="15.75" customHeight="1">
      <c r="A510" s="5" t="str">
        <f>IFERROR(__xludf.DUMMYFUNCTION("""COMPUTED_VALUE"""),"SCOPUS-000620")</f>
        <v>SCOPUS-000620</v>
      </c>
      <c r="B510" s="5" t="str">
        <f>IFERROR(__xludf.DUMMYFUNCTION("""COMPUTED_VALUE"""),"SCOPUS-000620-4")</f>
        <v>SCOPUS-000620-4</v>
      </c>
      <c r="C510" s="5" t="str">
        <f>IFERROR(__xludf.DUMMYFUNCTION("""COMPUTED_VALUE"""),"IMAGING")</f>
        <v>IMAGING</v>
      </c>
      <c r="D510" s="6" t="str">
        <f>IFERROR(__xludf.DUMMYFUNCTION("""COMPUTED_VALUE"""),"ResNet50")</f>
        <v>ResNet50</v>
      </c>
      <c r="E510" s="6" t="str">
        <f>IFERROR(__xludf.DUMMYFUNCTION("""COMPUTED_VALUE"""),"Visual Similarity")</f>
        <v>Visual Similarity</v>
      </c>
    </row>
    <row r="511" ht="15.75" customHeight="1">
      <c r="A511" s="5" t="str">
        <f>IFERROR(__xludf.DUMMYFUNCTION("""COMPUTED_VALUE"""),"SCOPUS-000620")</f>
        <v>SCOPUS-000620</v>
      </c>
      <c r="B511" s="5" t="str">
        <f>IFERROR(__xludf.DUMMYFUNCTION("""COMPUTED_VALUE"""),"SCOPUS-000620-5")</f>
        <v>SCOPUS-000620-5</v>
      </c>
      <c r="C511" s="5" t="str">
        <f>IFERROR(__xludf.DUMMYFUNCTION("""COMPUTED_VALUE"""),"ENVIRONMENTAL")</f>
        <v>ENVIRONMENTAL</v>
      </c>
      <c r="D511" s="6" t="str">
        <f>IFERROR(__xludf.DUMMYFUNCTION("""COMPUTED_VALUE"""),"ResNet50")</f>
        <v>ResNet50</v>
      </c>
      <c r="E511" s="6" t="str">
        <f>IFERROR(__xludf.DUMMYFUNCTION("""COMPUTED_VALUE"""),"Morphological Variation")</f>
        <v>Morphological Variation</v>
      </c>
    </row>
    <row r="512" ht="15.75" customHeight="1">
      <c r="A512" s="5" t="str">
        <f>IFERROR(__xludf.DUMMYFUNCTION("""COMPUTED_VALUE"""),"SCOPUS-000623")</f>
        <v>SCOPUS-000623</v>
      </c>
      <c r="B512" s="5" t="str">
        <f>IFERROR(__xludf.DUMMYFUNCTION("""COMPUTED_VALUE"""),"SCOPUS-000623-1")</f>
        <v>SCOPUS-000623-1</v>
      </c>
      <c r="C512" s="5" t="str">
        <f>IFERROR(__xludf.DUMMYFUNCTION("""COMPUTED_VALUE"""),"DATA")</f>
        <v>DATA</v>
      </c>
      <c r="D512" s="6" t="str">
        <f>IFERROR(__xludf.DUMMYFUNCTION("""COMPUTED_VALUE"""),"Simple CNN")</f>
        <v>Simple CNN</v>
      </c>
      <c r="E512" s="6" t="str">
        <f>IFERROR(__xludf.DUMMYFUNCTION("""COMPUTED_VALUE"""),"Class Imbalance")</f>
        <v>Class Imbalance</v>
      </c>
    </row>
    <row r="513" ht="15.75" customHeight="1">
      <c r="A513" s="5" t="str">
        <f>IFERROR(__xludf.DUMMYFUNCTION("""COMPUTED_VALUE"""),"SCOPUS-000623")</f>
        <v>SCOPUS-000623</v>
      </c>
      <c r="B513" s="5" t="str">
        <f>IFERROR(__xludf.DUMMYFUNCTION("""COMPUTED_VALUE"""),"SCOPUS-000623-2")</f>
        <v>SCOPUS-000623-2</v>
      </c>
      <c r="C513" s="5" t="str">
        <f>IFERROR(__xludf.DUMMYFUNCTION("""COMPUTED_VALUE"""),"IMAGING")</f>
        <v>IMAGING</v>
      </c>
      <c r="D513" s="6" t="str">
        <f>IFERROR(__xludf.DUMMYFUNCTION("""COMPUTED_VALUE"""),"Simple CNN")</f>
        <v>Simple CNN</v>
      </c>
      <c r="E513" s="6" t="str">
        <f>IFERROR(__xludf.DUMMYFUNCTION("""COMPUTED_VALUE"""),"Visual Similarity")</f>
        <v>Visual Similarity</v>
      </c>
    </row>
    <row r="514" ht="15.75" customHeight="1">
      <c r="A514" s="5" t="str">
        <f>IFERROR(__xludf.DUMMYFUNCTION("""COMPUTED_VALUE"""),"SCOPUS-000623")</f>
        <v>SCOPUS-000623</v>
      </c>
      <c r="B514" s="5" t="str">
        <f>IFERROR(__xludf.DUMMYFUNCTION("""COMPUTED_VALUE"""),"SCOPUS-000623-3")</f>
        <v>SCOPUS-000623-3</v>
      </c>
      <c r="C514" s="5" t="str">
        <f>IFERROR(__xludf.DUMMYFUNCTION("""COMPUTED_VALUE"""),"ENVIRONMENTAL")</f>
        <v>ENVIRONMENTAL</v>
      </c>
      <c r="D514" s="6" t="str">
        <f>IFERROR(__xludf.DUMMYFUNCTION("""COMPUTED_VALUE"""),"Simple CNN")</f>
        <v>Simple CNN</v>
      </c>
      <c r="E514" s="6" t="str">
        <f>IFERROR(__xludf.DUMMYFUNCTION("""COMPUTED_VALUE"""),"Background Complexity")</f>
        <v>Background Complexity</v>
      </c>
    </row>
    <row r="515" ht="15.75" customHeight="1">
      <c r="A515" s="5" t="str">
        <f>IFERROR(__xludf.DUMMYFUNCTION("""COMPUTED_VALUE"""),"SCOPUS-000623")</f>
        <v>SCOPUS-000623</v>
      </c>
      <c r="B515" s="5" t="str">
        <f>IFERROR(__xludf.DUMMYFUNCTION("""COMPUTED_VALUE"""),"SCOPUS-000623-4")</f>
        <v>SCOPUS-000623-4</v>
      </c>
      <c r="C515" s="5" t="str">
        <f>IFERROR(__xludf.DUMMYFUNCTION("""COMPUTED_VALUE"""),"ENVIRONMENTAL")</f>
        <v>ENVIRONMENTAL</v>
      </c>
      <c r="D515" s="6" t="str">
        <f>IFERROR(__xludf.DUMMYFUNCTION("""COMPUTED_VALUE"""),"Simple CNN")</f>
        <v>Simple CNN</v>
      </c>
      <c r="E515" s="6" t="str">
        <f>IFERROR(__xludf.DUMMYFUNCTION("""COMPUTED_VALUE"""),"Environmental Variation")</f>
        <v>Environmental Variation</v>
      </c>
    </row>
    <row r="516" ht="15.75" customHeight="1">
      <c r="A516" s="5" t="str">
        <f>IFERROR(__xludf.DUMMYFUNCTION("""COMPUTED_VALUE"""),"SCOPUS-000623")</f>
        <v>SCOPUS-000623</v>
      </c>
      <c r="B516" s="5" t="str">
        <f>IFERROR(__xludf.DUMMYFUNCTION("""COMPUTED_VALUE"""),"SCOPUS-000623-5")</f>
        <v>SCOPUS-000623-5</v>
      </c>
      <c r="C516" s="5" t="str">
        <f>IFERROR(__xludf.DUMMYFUNCTION("""COMPUTED_VALUE"""),"DATA")</f>
        <v>DATA</v>
      </c>
      <c r="D516" s="6" t="str">
        <f>IFERROR(__xludf.DUMMYFUNCTION("""COMPUTED_VALUE"""),"Simple CNN")</f>
        <v>Simple CNN</v>
      </c>
      <c r="E516" s="6" t="str">
        <f>IFERROR(__xludf.DUMMYFUNCTION("""COMPUTED_VALUE"""),"Data Scarcity")</f>
        <v>Data Scarcity</v>
      </c>
    </row>
    <row r="517" ht="15.75" customHeight="1">
      <c r="A517" s="5" t="str">
        <f>IFERROR(__xludf.DUMMYFUNCTION("""COMPUTED_VALUE"""),"SCOPUS-000626")</f>
        <v>SCOPUS-000626</v>
      </c>
      <c r="B517" s="5" t="str">
        <f>IFERROR(__xludf.DUMMYFUNCTION("""COMPUTED_VALUE"""),"SCOPUS-000626-1")</f>
        <v>SCOPUS-000626-1</v>
      </c>
      <c r="C517" s="5" t="str">
        <f>IFERROR(__xludf.DUMMYFUNCTION("""COMPUTED_VALUE"""),"IMAGING")</f>
        <v>IMAGING</v>
      </c>
      <c r="D517" s="6" t="str">
        <f>IFERROR(__xludf.DUMMYFUNCTION("""COMPUTED_VALUE"""),"ResNet-50")</f>
        <v>ResNet-50</v>
      </c>
      <c r="E517" s="6" t="str">
        <f>IFERROR(__xludf.DUMMYFUNCTION("""COMPUTED_VALUE"""),"Visual Similarity")</f>
        <v>Visual Similarity</v>
      </c>
    </row>
    <row r="518" ht="15.75" customHeight="1">
      <c r="A518" s="5" t="str">
        <f>IFERROR(__xludf.DUMMYFUNCTION("""COMPUTED_VALUE"""),"SCOPUS-000626")</f>
        <v>SCOPUS-000626</v>
      </c>
      <c r="B518" s="5" t="str">
        <f>IFERROR(__xludf.DUMMYFUNCTION("""COMPUTED_VALUE"""),"SCOPUS-000626-2")</f>
        <v>SCOPUS-000626-2</v>
      </c>
      <c r="C518" s="5" t="str">
        <f>IFERROR(__xludf.DUMMYFUNCTION("""COMPUTED_VALUE"""),"ENVIRONMENTAL")</f>
        <v>ENVIRONMENTAL</v>
      </c>
      <c r="D518" s="6" t="str">
        <f>IFERROR(__xludf.DUMMYFUNCTION("""COMPUTED_VALUE"""),"ResNet-50")</f>
        <v>ResNet-50</v>
      </c>
      <c r="E518" s="6" t="str">
        <f>IFERROR(__xludf.DUMMYFUNCTION("""COMPUTED_VALUE"""),"Background Complexity")</f>
        <v>Background Complexity</v>
      </c>
    </row>
    <row r="519" ht="15.75" customHeight="1">
      <c r="A519" s="5" t="str">
        <f>IFERROR(__xludf.DUMMYFUNCTION("""COMPUTED_VALUE"""),"SCOPUS-000626")</f>
        <v>SCOPUS-000626</v>
      </c>
      <c r="B519" s="5" t="str">
        <f>IFERROR(__xludf.DUMMYFUNCTION("""COMPUTED_VALUE"""),"SCOPUS-000626-3")</f>
        <v>SCOPUS-000626-3</v>
      </c>
      <c r="C519" s="5" t="str">
        <f>IFERROR(__xludf.DUMMYFUNCTION("""COMPUTED_VALUE"""),"ENVIRONMENTAL")</f>
        <v>ENVIRONMENTAL</v>
      </c>
      <c r="D519" s="6" t="str">
        <f>IFERROR(__xludf.DUMMYFUNCTION("""COMPUTED_VALUE"""),"ResNet-50")</f>
        <v>ResNet-50</v>
      </c>
      <c r="E519" s="6" t="str">
        <f>IFERROR(__xludf.DUMMYFUNCTION("""COMPUTED_VALUE"""),"Environmental Variation")</f>
        <v>Environmental Variation</v>
      </c>
    </row>
    <row r="520" ht="15.75" customHeight="1">
      <c r="A520" s="5" t="str">
        <f>IFERROR(__xludf.DUMMYFUNCTION("""COMPUTED_VALUE"""),"SCOPUS-000626")</f>
        <v>SCOPUS-000626</v>
      </c>
      <c r="B520" s="5" t="str">
        <f>IFERROR(__xludf.DUMMYFUNCTION("""COMPUTED_VALUE"""),"SCOPUS-000626-4")</f>
        <v>SCOPUS-000626-4</v>
      </c>
      <c r="C520" s="5" t="str">
        <f>IFERROR(__xludf.DUMMYFUNCTION("""COMPUTED_VALUE"""),"TECHNICAL")</f>
        <v>TECHNICAL</v>
      </c>
      <c r="D520" s="6" t="str">
        <f>IFERROR(__xludf.DUMMYFUNCTION("""COMPUTED_VALUE"""),"ResNet-50")</f>
        <v>ResNet-50</v>
      </c>
      <c r="E520" s="6" t="str">
        <f>IFERROR(__xludf.DUMMYFUNCTION("""COMPUTED_VALUE"""),"Feature Representation")</f>
        <v>Feature Representation</v>
      </c>
    </row>
    <row r="521" ht="15.75" customHeight="1">
      <c r="A521" s="5" t="str">
        <f>IFERROR(__xludf.DUMMYFUNCTION("""COMPUTED_VALUE"""),"SCOPUS-000626")</f>
        <v>SCOPUS-000626</v>
      </c>
      <c r="B521" s="5" t="str">
        <f>IFERROR(__xludf.DUMMYFUNCTION("""COMPUTED_VALUE"""),"SCOPUS-000626-5")</f>
        <v>SCOPUS-000626-5</v>
      </c>
      <c r="C521" s="5" t="str">
        <f>IFERROR(__xludf.DUMMYFUNCTION("""COMPUTED_VALUE"""),"DATA")</f>
        <v>DATA</v>
      </c>
      <c r="D521" s="6" t="str">
        <f>IFERROR(__xludf.DUMMYFUNCTION("""COMPUTED_VALUE"""),"ResNet-50")</f>
        <v>ResNet-50</v>
      </c>
      <c r="E521" s="6" t="str">
        <f>IFERROR(__xludf.DUMMYFUNCTION("""COMPUTED_VALUE"""),"Data Scarcity")</f>
        <v>Data Scarcity</v>
      </c>
    </row>
    <row r="522" ht="15.75" customHeight="1">
      <c r="A522" s="5" t="str">
        <f>IFERROR(__xludf.DUMMYFUNCTION("""COMPUTED_VALUE"""),"SCOPUS-000628")</f>
        <v>SCOPUS-000628</v>
      </c>
      <c r="B522" s="5" t="str">
        <f>IFERROR(__xludf.DUMMYFUNCTION("""COMPUTED_VALUE"""),"SCOPUS-000628-1")</f>
        <v>SCOPUS-000628-1</v>
      </c>
      <c r="C522" s="5" t="str">
        <f>IFERROR(__xludf.DUMMYFUNCTION("""COMPUTED_VALUE"""),"TECHNICAL")</f>
        <v>TECHNICAL</v>
      </c>
      <c r="D522" s="6" t="str">
        <f>IFERROR(__xludf.DUMMYFUNCTION("""COMPUTED_VALUE"""),"WeedVision C1")</f>
        <v>WeedVision C1</v>
      </c>
      <c r="E522" s="6" t="str">
        <f>IFERROR(__xludf.DUMMYFUNCTION("""COMPUTED_VALUE"""),"Computational Resource")</f>
        <v>Computational Resource</v>
      </c>
    </row>
    <row r="523" ht="15.75" customHeight="1">
      <c r="A523" s="5" t="str">
        <f>IFERROR(__xludf.DUMMYFUNCTION("""COMPUTED_VALUE"""),"SCOPUS-000628")</f>
        <v>SCOPUS-000628</v>
      </c>
      <c r="B523" s="5" t="str">
        <f>IFERROR(__xludf.DUMMYFUNCTION("""COMPUTED_VALUE"""),"SCOPUS-000628-2")</f>
        <v>SCOPUS-000628-2</v>
      </c>
      <c r="C523" s="5" t="str">
        <f>IFERROR(__xludf.DUMMYFUNCTION("""COMPUTED_VALUE"""),"DATA")</f>
        <v>DATA</v>
      </c>
      <c r="D523" s="6" t="str">
        <f>IFERROR(__xludf.DUMMYFUNCTION("""COMPUTED_VALUE"""),"WeedVision C1")</f>
        <v>WeedVision C1</v>
      </c>
      <c r="E523" s="6" t="str">
        <f>IFERROR(__xludf.DUMMYFUNCTION("""COMPUTED_VALUE"""),"Annotation")</f>
        <v>Annotation</v>
      </c>
    </row>
    <row r="524" ht="15.75" customHeight="1">
      <c r="A524" s="5" t="str">
        <f>IFERROR(__xludf.DUMMYFUNCTION("""COMPUTED_VALUE"""),"SCOPUS-000628")</f>
        <v>SCOPUS-000628</v>
      </c>
      <c r="B524" s="5" t="str">
        <f>IFERROR(__xludf.DUMMYFUNCTION("""COMPUTED_VALUE"""),"SCOPUS-000628-3")</f>
        <v>SCOPUS-000628-3</v>
      </c>
      <c r="C524" s="5" t="str">
        <f>IFERROR(__xludf.DUMMYFUNCTION("""COMPUTED_VALUE"""),"DATA")</f>
        <v>DATA</v>
      </c>
      <c r="D524" s="6" t="str">
        <f>IFERROR(__xludf.DUMMYFUNCTION("""COMPUTED_VALUE"""),"WeedVision C1")</f>
        <v>WeedVision C1</v>
      </c>
      <c r="E524" s="6" t="str">
        <f>IFERROR(__xludf.DUMMYFUNCTION("""COMPUTED_VALUE"""),"Data Scarcity")</f>
        <v>Data Scarcity</v>
      </c>
    </row>
    <row r="525" ht="15.75" customHeight="1">
      <c r="A525" s="5" t="str">
        <f>IFERROR(__xludf.DUMMYFUNCTION("""COMPUTED_VALUE"""),"SCOPUS-000628")</f>
        <v>SCOPUS-000628</v>
      </c>
      <c r="B525" s="5" t="str">
        <f>IFERROR(__xludf.DUMMYFUNCTION("""COMPUTED_VALUE"""),"SCOPUS-000628-4")</f>
        <v>SCOPUS-000628-4</v>
      </c>
      <c r="C525" s="5" t="str">
        <f>IFERROR(__xludf.DUMMYFUNCTION("""COMPUTED_VALUE"""),"IMAGING")</f>
        <v>IMAGING</v>
      </c>
      <c r="D525" s="6" t="str">
        <f>IFERROR(__xludf.DUMMYFUNCTION("""COMPUTED_VALUE"""),"WeedVision C1")</f>
        <v>WeedVision C1</v>
      </c>
      <c r="E525" s="6" t="str">
        <f>IFERROR(__xludf.DUMMYFUNCTION("""COMPUTED_VALUE"""),"Scale Variation")</f>
        <v>Scale Variation</v>
      </c>
    </row>
    <row r="526" ht="15.75" customHeight="1">
      <c r="A526" s="5" t="str">
        <f>IFERROR(__xludf.DUMMYFUNCTION("""COMPUTED_VALUE"""),"SCOPUS-000628")</f>
        <v>SCOPUS-000628</v>
      </c>
      <c r="B526" s="5" t="str">
        <f>IFERROR(__xludf.DUMMYFUNCTION("""COMPUTED_VALUE"""),"SCOPUS-000628-5")</f>
        <v>SCOPUS-000628-5</v>
      </c>
      <c r="C526" s="5" t="str">
        <f>IFERROR(__xludf.DUMMYFUNCTION("""COMPUTED_VALUE"""),"TECHNICAL")</f>
        <v>TECHNICAL</v>
      </c>
      <c r="D526" s="6" t="str">
        <f>IFERROR(__xludf.DUMMYFUNCTION("""COMPUTED_VALUE"""),"WeedVision C1")</f>
        <v>WeedVision C1</v>
      </c>
      <c r="E526" s="6" t="str">
        <f>IFERROR(__xludf.DUMMYFUNCTION("""COMPUTED_VALUE"""),"Inference Efficiency")</f>
        <v>Inference Efficiency</v>
      </c>
    </row>
    <row r="527" ht="15.75" customHeight="1">
      <c r="A527" s="5" t="str">
        <f>IFERROR(__xludf.DUMMYFUNCTION("""COMPUTED_VALUE"""),"SCOPUS-000676")</f>
        <v>SCOPUS-000676</v>
      </c>
      <c r="B527" s="5" t="str">
        <f>IFERROR(__xludf.DUMMYFUNCTION("""COMPUTED_VALUE"""),"SCOPUS-000676-1")</f>
        <v>SCOPUS-000676-1</v>
      </c>
      <c r="C527" s="5" t="str">
        <f>IFERROR(__xludf.DUMMYFUNCTION("""COMPUTED_VALUE"""),"IMAGING")</f>
        <v>IMAGING</v>
      </c>
      <c r="D527" s="6" t="str">
        <f>IFERROR(__xludf.DUMMYFUNCTION("""COMPUTED_VALUE"""),"KNN")</f>
        <v>KNN</v>
      </c>
      <c r="E527" s="6" t="str">
        <f>IFERROR(__xludf.DUMMYFUNCTION("""COMPUTED_VALUE"""),"Image Quality")</f>
        <v>Image Quality</v>
      </c>
    </row>
    <row r="528" ht="15.75" customHeight="1">
      <c r="A528" s="5" t="str">
        <f>IFERROR(__xludf.DUMMYFUNCTION("""COMPUTED_VALUE"""),"SCOPUS-000676")</f>
        <v>SCOPUS-000676</v>
      </c>
      <c r="B528" s="5" t="str">
        <f>IFERROR(__xludf.DUMMYFUNCTION("""COMPUTED_VALUE"""),"SCOPUS-000676-2")</f>
        <v>SCOPUS-000676-2</v>
      </c>
      <c r="C528" s="5" t="str">
        <f>IFERROR(__xludf.DUMMYFUNCTION("""COMPUTED_VALUE"""),"ENVIRONMENTAL")</f>
        <v>ENVIRONMENTAL</v>
      </c>
      <c r="D528" s="6" t="str">
        <f>IFERROR(__xludf.DUMMYFUNCTION("""COMPUTED_VALUE"""),"KNN")</f>
        <v>KNN</v>
      </c>
      <c r="E528" s="6" t="str">
        <f>IFERROR(__xludf.DUMMYFUNCTION("""COMPUTED_VALUE"""),"Morphological Variation")</f>
        <v>Morphological Variation</v>
      </c>
    </row>
    <row r="529" ht="15.75" customHeight="1">
      <c r="A529" s="5" t="str">
        <f>IFERROR(__xludf.DUMMYFUNCTION("""COMPUTED_VALUE"""),"SCOPUS-000676")</f>
        <v>SCOPUS-000676</v>
      </c>
      <c r="B529" s="5" t="str">
        <f>IFERROR(__xludf.DUMMYFUNCTION("""COMPUTED_VALUE"""),"SCOPUS-000676-3")</f>
        <v>SCOPUS-000676-3</v>
      </c>
      <c r="C529" s="5" t="str">
        <f>IFERROR(__xludf.DUMMYFUNCTION("""COMPUTED_VALUE"""),"IMAGING")</f>
        <v>IMAGING</v>
      </c>
      <c r="D529" s="6" t="str">
        <f>IFERROR(__xludf.DUMMYFUNCTION("""COMPUTED_VALUE"""),"KNN")</f>
        <v>KNN</v>
      </c>
      <c r="E529" s="6" t="str">
        <f>IFERROR(__xludf.DUMMYFUNCTION("""COMPUTED_VALUE"""),"Visual Similarity")</f>
        <v>Visual Similarity</v>
      </c>
    </row>
    <row r="530" ht="15.75" customHeight="1">
      <c r="A530" s="5" t="str">
        <f>IFERROR(__xludf.DUMMYFUNCTION("""COMPUTED_VALUE"""),"SCOPUS-000676")</f>
        <v>SCOPUS-000676</v>
      </c>
      <c r="B530" s="5" t="str">
        <f>IFERROR(__xludf.DUMMYFUNCTION("""COMPUTED_VALUE"""),"SCOPUS-000676-4")</f>
        <v>SCOPUS-000676-4</v>
      </c>
      <c r="C530" s="5" t="str">
        <f>IFERROR(__xludf.DUMMYFUNCTION("""COMPUTED_VALUE"""),"TECHNICAL")</f>
        <v>TECHNICAL</v>
      </c>
      <c r="D530" s="6" t="str">
        <f>IFERROR(__xludf.DUMMYFUNCTION("""COMPUTED_VALUE"""),"YOLOv5")</f>
        <v>YOLOv5</v>
      </c>
      <c r="E530" s="6" t="str">
        <f>IFERROR(__xludf.DUMMYFUNCTION("""COMPUTED_VALUE"""),"Computational Resource")</f>
        <v>Computational Resource</v>
      </c>
    </row>
    <row r="531" ht="15.75" customHeight="1">
      <c r="A531" s="5" t="str">
        <f>IFERROR(__xludf.DUMMYFUNCTION("""COMPUTED_VALUE"""),"SCOPUS-000753")</f>
        <v>SCOPUS-000753</v>
      </c>
      <c r="B531" s="5" t="str">
        <f>IFERROR(__xludf.DUMMYFUNCTION("""COMPUTED_VALUE"""),"SCOPUS-000753-1")</f>
        <v>SCOPUS-000753-1</v>
      </c>
      <c r="C531" s="5" t="str">
        <f>IFERROR(__xludf.DUMMYFUNCTION("""COMPUTED_VALUE"""),"DATA")</f>
        <v>DATA</v>
      </c>
      <c r="D531" s="6" t="str">
        <f>IFERROR(__xludf.DUMMYFUNCTION("""COMPUTED_VALUE"""),"UNET_VGG16")</f>
        <v>UNET_VGG16</v>
      </c>
      <c r="E531" s="6" t="str">
        <f>IFERROR(__xludf.DUMMYFUNCTION("""COMPUTED_VALUE"""),"Annotation")</f>
        <v>Annotation</v>
      </c>
    </row>
    <row r="532" ht="15.75" customHeight="1">
      <c r="A532" s="5" t="str">
        <f>IFERROR(__xludf.DUMMYFUNCTION("""COMPUTED_VALUE"""),"SCOPUS-000753")</f>
        <v>SCOPUS-000753</v>
      </c>
      <c r="B532" s="5" t="str">
        <f>IFERROR(__xludf.DUMMYFUNCTION("""COMPUTED_VALUE"""),"SCOPUS-000753-2")</f>
        <v>SCOPUS-000753-2</v>
      </c>
      <c r="C532" s="5" t="str">
        <f>IFERROR(__xludf.DUMMYFUNCTION("""COMPUTED_VALUE"""),"DATA")</f>
        <v>DATA</v>
      </c>
      <c r="D532" s="6" t="str">
        <f>IFERROR(__xludf.DUMMYFUNCTION("""COMPUTED_VALUE"""),"UNET_VGG16")</f>
        <v>UNET_VGG16</v>
      </c>
      <c r="E532" s="6" t="str">
        <f>IFERROR(__xludf.DUMMYFUNCTION("""COMPUTED_VALUE"""),"Class Imbalance")</f>
        <v>Class Imbalance</v>
      </c>
    </row>
    <row r="533" ht="15.75" customHeight="1">
      <c r="A533" s="5" t="str">
        <f>IFERROR(__xludf.DUMMYFUNCTION("""COMPUTED_VALUE"""),"SCOPUS-000753")</f>
        <v>SCOPUS-000753</v>
      </c>
      <c r="B533" s="5" t="str">
        <f>IFERROR(__xludf.DUMMYFUNCTION("""COMPUTED_VALUE"""),"SCOPUS-000753-3")</f>
        <v>SCOPUS-000753-3</v>
      </c>
      <c r="C533" s="5" t="str">
        <f>IFERROR(__xludf.DUMMYFUNCTION("""COMPUTED_VALUE"""),"IMAGING")</f>
        <v>IMAGING</v>
      </c>
      <c r="D533" s="6" t="str">
        <f>IFERROR(__xludf.DUMMYFUNCTION("""COMPUTED_VALUE"""),"SegNet_ResNet-50")</f>
        <v>SegNet_ResNet-50</v>
      </c>
      <c r="E533" s="6" t="str">
        <f>IFERROR(__xludf.DUMMYFUNCTION("""COMPUTED_VALUE"""),"Visual Similarity")</f>
        <v>Visual Similarity</v>
      </c>
    </row>
    <row r="534" ht="15.75" customHeight="1">
      <c r="A534" s="5" t="str">
        <f>IFERROR(__xludf.DUMMYFUNCTION("""COMPUTED_VALUE"""),"SCOPUS-000753")</f>
        <v>SCOPUS-000753</v>
      </c>
      <c r="B534" s="5" t="str">
        <f>IFERROR(__xludf.DUMMYFUNCTION("""COMPUTED_VALUE"""),"SCOPUS-000753-4")</f>
        <v>SCOPUS-000753-4</v>
      </c>
      <c r="C534" s="5" t="str">
        <f>IFERROR(__xludf.DUMMYFUNCTION("""COMPUTED_VALUE"""),"ENVIRONMENTAL")</f>
        <v>ENVIRONMENTAL</v>
      </c>
      <c r="D534" s="6" t="str">
        <f>IFERROR(__xludf.DUMMYFUNCTION("""COMPUTED_VALUE"""),"SegNet_ResNet-50")</f>
        <v>SegNet_ResNet-50</v>
      </c>
      <c r="E534" s="6" t="str">
        <f>IFERROR(__xludf.DUMMYFUNCTION("""COMPUTED_VALUE"""),"Occlusion")</f>
        <v>Occlusion</v>
      </c>
    </row>
    <row r="535" ht="15.75" customHeight="1">
      <c r="A535" s="5" t="str">
        <f>IFERROR(__xludf.DUMMYFUNCTION("""COMPUTED_VALUE"""),"SCOPUS-000753")</f>
        <v>SCOPUS-000753</v>
      </c>
      <c r="B535" s="5" t="str">
        <f>IFERROR(__xludf.DUMMYFUNCTION("""COMPUTED_VALUE"""),"SCOPUS-000753-5")</f>
        <v>SCOPUS-000753-5</v>
      </c>
      <c r="C535" s="5" t="str">
        <f>IFERROR(__xludf.DUMMYFUNCTION("""COMPUTED_VALUE"""),"ENVIRONMENTAL")</f>
        <v>ENVIRONMENTAL</v>
      </c>
      <c r="D535" s="6" t="str">
        <f>IFERROR(__xludf.DUMMYFUNCTION("""COMPUTED_VALUE"""),"SegNet_ResNet-50")</f>
        <v>SegNet_ResNet-50</v>
      </c>
      <c r="E535" s="6" t="str">
        <f>IFERROR(__xludf.DUMMYFUNCTION("""COMPUTED_VALUE"""),"Environmental Variation")</f>
        <v>Environmental Variation</v>
      </c>
    </row>
    <row r="536" ht="15.75" customHeight="1">
      <c r="A536" s="5" t="str">
        <f>IFERROR(__xludf.DUMMYFUNCTION("""COMPUTED_VALUE"""),"WEBSCI-000421")</f>
        <v>WEBSCI-000421</v>
      </c>
      <c r="B536" s="5" t="str">
        <f>IFERROR(__xludf.DUMMYFUNCTION("""COMPUTED_VALUE"""),"WEBSCI-000421-1")</f>
        <v>WEBSCI-000421-1</v>
      </c>
      <c r="C536" s="5" t="str">
        <f>IFERROR(__xludf.DUMMYFUNCTION("""COMPUTED_VALUE"""),"DATA")</f>
        <v>DATA</v>
      </c>
      <c r="D536" s="6" t="str">
        <f>IFERROR(__xludf.DUMMYFUNCTION("""COMPUTED_VALUE"""),"AlexNet")</f>
        <v>AlexNet</v>
      </c>
      <c r="E536" s="6" t="str">
        <f>IFERROR(__xludf.DUMMYFUNCTION("""COMPUTED_VALUE"""),"Data Scarcity")</f>
        <v>Data Scarcity</v>
      </c>
    </row>
    <row r="537" ht="15.75" customHeight="1">
      <c r="A537" s="5" t="str">
        <f>IFERROR(__xludf.DUMMYFUNCTION("""COMPUTED_VALUE"""),"WEBSCI-000421")</f>
        <v>WEBSCI-000421</v>
      </c>
      <c r="B537" s="5" t="str">
        <f>IFERROR(__xludf.DUMMYFUNCTION("""COMPUTED_VALUE"""),"WEBSCI-000421-2")</f>
        <v>WEBSCI-000421-2</v>
      </c>
      <c r="C537" s="5" t="str">
        <f>IFERROR(__xludf.DUMMYFUNCTION("""COMPUTED_VALUE"""),"ENVIRONMENTAL")</f>
        <v>ENVIRONMENTAL</v>
      </c>
      <c r="D537" s="6" t="str">
        <f>IFERROR(__xludf.DUMMYFUNCTION("""COMPUTED_VALUE"""),"AlexNet")</f>
        <v>AlexNet</v>
      </c>
      <c r="E537" s="6" t="str">
        <f>IFERROR(__xludf.DUMMYFUNCTION("""COMPUTED_VALUE"""),"Environmental Variation")</f>
        <v>Environmental Variation</v>
      </c>
    </row>
    <row r="538" ht="15.75" customHeight="1">
      <c r="A538" s="5" t="str">
        <f>IFERROR(__xludf.DUMMYFUNCTION("""COMPUTED_VALUE"""),"WEBSCI-000421")</f>
        <v>WEBSCI-000421</v>
      </c>
      <c r="B538" s="5" t="str">
        <f>IFERROR(__xludf.DUMMYFUNCTION("""COMPUTED_VALUE"""),"WEBSCI-000421-3")</f>
        <v>WEBSCI-000421-3</v>
      </c>
      <c r="C538" s="5" t="str">
        <f>IFERROR(__xludf.DUMMYFUNCTION("""COMPUTED_VALUE"""),"IMAGING")</f>
        <v>IMAGING</v>
      </c>
      <c r="D538" s="6" t="str">
        <f>IFERROR(__xludf.DUMMYFUNCTION("""COMPUTED_VALUE"""),"AlexNet")</f>
        <v>AlexNet</v>
      </c>
      <c r="E538" s="6" t="str">
        <f>IFERROR(__xludf.DUMMYFUNCTION("""COMPUTED_VALUE"""),"Visual Similarity")</f>
        <v>Visual Similarity</v>
      </c>
    </row>
    <row r="539" ht="15.75" customHeight="1">
      <c r="A539" s="5" t="str">
        <f>IFERROR(__xludf.DUMMYFUNCTION("""COMPUTED_VALUE"""),"WEBSCI-000559")</f>
        <v>WEBSCI-000559</v>
      </c>
      <c r="B539" s="5" t="str">
        <f>IFERROR(__xludf.DUMMYFUNCTION("""COMPUTED_VALUE"""),"WEBSCI-000559-1")</f>
        <v>WEBSCI-000559-1</v>
      </c>
      <c r="C539" s="5" t="str">
        <f>IFERROR(__xludf.DUMMYFUNCTION("""COMPUTED_VALUE"""),"IMAGING")</f>
        <v>IMAGING</v>
      </c>
      <c r="D539" s="6" t="str">
        <f>IFERROR(__xludf.DUMMYFUNCTION("""COMPUTED_VALUE"""),"Swin Transformer")</f>
        <v>Swin Transformer</v>
      </c>
      <c r="E539" s="6" t="str">
        <f>IFERROR(__xludf.DUMMYFUNCTION("""COMPUTED_VALUE"""),"Visual Similarity")</f>
        <v>Visual Similarity</v>
      </c>
    </row>
    <row r="540">
      <c r="A540" s="6" t="str">
        <f>IFERROR(__xludf.DUMMYFUNCTION("""COMPUTED_VALUE"""),"WEBSCI-000559")</f>
        <v>WEBSCI-000559</v>
      </c>
      <c r="B540" s="6" t="str">
        <f>IFERROR(__xludf.DUMMYFUNCTION("""COMPUTED_VALUE"""),"WEBSCI-000559-2")</f>
        <v>WEBSCI-000559-2</v>
      </c>
      <c r="C540" s="6" t="str">
        <f>IFERROR(__xludf.DUMMYFUNCTION("""COMPUTED_VALUE"""),"DATA")</f>
        <v>DATA</v>
      </c>
      <c r="D540" s="6" t="str">
        <f>IFERROR(__xludf.DUMMYFUNCTION("""COMPUTED_VALUE"""),"Swin Transformer")</f>
        <v>Swin Transformer</v>
      </c>
      <c r="E540" s="6" t="str">
        <f>IFERROR(__xludf.DUMMYFUNCTION("""COMPUTED_VALUE"""),"Data Scarcity")</f>
        <v>Data Scarcity</v>
      </c>
    </row>
    <row r="541">
      <c r="A541" s="6" t="str">
        <f>IFERROR(__xludf.DUMMYFUNCTION("""COMPUTED_VALUE"""),"WEBSCI-000559")</f>
        <v>WEBSCI-000559</v>
      </c>
      <c r="B541" s="6" t="str">
        <f>IFERROR(__xludf.DUMMYFUNCTION("""COMPUTED_VALUE"""),"WEBSCI-000559-3")</f>
        <v>WEBSCI-000559-3</v>
      </c>
      <c r="C541" s="6" t="str">
        <f>IFERROR(__xludf.DUMMYFUNCTION("""COMPUTED_VALUE"""),"DATA")</f>
        <v>DATA</v>
      </c>
      <c r="D541" s="6" t="str">
        <f>IFERROR(__xludf.DUMMYFUNCTION("""COMPUTED_VALUE"""),"Swin Transformer")</f>
        <v>Swin Transformer</v>
      </c>
      <c r="E541" s="6" t="str">
        <f>IFERROR(__xludf.DUMMYFUNCTION("""COMPUTED_VALUE"""),"Class Imbalance")</f>
        <v>Class Imbalance</v>
      </c>
    </row>
    <row r="542">
      <c r="A542" s="6" t="str">
        <f>IFERROR(__xludf.DUMMYFUNCTION("""COMPUTED_VALUE"""),"WEBSCI-000559")</f>
        <v>WEBSCI-000559</v>
      </c>
      <c r="B542" s="6" t="str">
        <f>IFERROR(__xludf.DUMMYFUNCTION("""COMPUTED_VALUE"""),"WEBSCI-000559-4")</f>
        <v>WEBSCI-000559-4</v>
      </c>
      <c r="C542" s="6" t="str">
        <f>IFERROR(__xludf.DUMMYFUNCTION("""COMPUTED_VALUE"""),"ENVIRONMENTAL")</f>
        <v>ENVIRONMENTAL</v>
      </c>
      <c r="D542" s="6" t="str">
        <f>IFERROR(__xludf.DUMMYFUNCTION("""COMPUTED_VALUE"""),"Swin Transformer")</f>
        <v>Swin Transformer</v>
      </c>
      <c r="E542" s="6" t="str">
        <f>IFERROR(__xludf.DUMMYFUNCTION("""COMPUTED_VALUE"""),"Morphological Variation")</f>
        <v>Morphological Variation</v>
      </c>
    </row>
  </sheetData>
  <conditionalFormatting sqref="A4:E542">
    <cfRule type="expression" dxfId="7" priority="1" stopIfTrue="1">
      <formula>ISEVEN(ROW())</formula>
    </cfRule>
  </conditionalFormatting>
  <conditionalFormatting sqref="A4:E542">
    <cfRule type="expression" dxfId="8" priority="2" stopIfTrue="1">
      <formula>ISODD(ROW())</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4.5"/>
    <col customWidth="1" min="2" max="2" width="18.25"/>
    <col customWidth="1" min="3" max="3" width="17.0"/>
    <col customWidth="1" min="4" max="4" width="28.25"/>
  </cols>
  <sheetData>
    <row r="1" ht="22.5" customHeight="1">
      <c r="A1" s="8" t="str">
        <f>IFERROR(__xludf.DUMMYFUNCTION("VSTACK(IMPORTRANGE(""https://docs.google.com/spreadsheets/d/1IG-NLlNbWxgmur-Ok920jusl5qwxm6_N-HtBuRIcbS0/edit"",""'6-Mitigation Strategy Coding'!A1:D258""),QUERY(IMPORTRANGE(""https://docs.google.com/spreadsheets/d/1o-YvsM1EXkN6ZzOgu4zM9Uz7mmya31G7zJCOonM"&amp;"GAME/edit"",""'6-Mitigation Strategy Coding'!A1:D207""),""select * offset 3"",0))"),"Mitigation Strategies")</f>
        <v>Mitigation Strategies</v>
      </c>
      <c r="B1" s="8"/>
      <c r="C1" s="8"/>
      <c r="D1" s="8"/>
    </row>
    <row r="2" ht="19.5" customHeight="1">
      <c r="A2" s="8" t="str">
        <f>IFERROR(__xludf.DUMMYFUNCTION("""COMPUTED_VALUE"""),"Mitigation used for each barrier")</f>
        <v>Mitigation used for each barrier</v>
      </c>
      <c r="B2" s="8"/>
      <c r="C2" s="8"/>
      <c r="D2" s="8"/>
    </row>
    <row r="3" ht="19.5" customHeight="1">
      <c r="A3" s="8" t="str">
        <f>IFERROR(__xludf.DUMMYFUNCTION("""COMPUTED_VALUE"""),"Study ID")</f>
        <v>Study ID</v>
      </c>
      <c r="B3" s="8" t="str">
        <f>IFERROR(__xludf.DUMMYFUNCTION("""COMPUTED_VALUE"""),"Study Instance ID")</f>
        <v>Study Instance ID</v>
      </c>
      <c r="C3" s="8" t="str">
        <f>IFERROR(__xludf.DUMMYFUNCTION("""COMPUTED_VALUE"""),"Mitigation Category")</f>
        <v>Mitigation Category</v>
      </c>
      <c r="D3" s="8" t="str">
        <f>IFERROR(__xludf.DUMMYFUNCTION("""COMPUTED_VALUE"""),"Mitigations")</f>
        <v>Mitigations</v>
      </c>
    </row>
    <row r="4" ht="15.75" customHeight="1">
      <c r="A4" s="5" t="str">
        <f>IFERROR(__xludf.DUMMYFUNCTION("""COMPUTED_VALUE"""),"SCOPUS-000349")</f>
        <v>SCOPUS-000349</v>
      </c>
      <c r="B4" s="5" t="str">
        <f>IFERROR(__xludf.DUMMYFUNCTION("""COMPUTED_VALUE"""),"SCOPUS-000349-1")</f>
        <v>SCOPUS-000349-1</v>
      </c>
      <c r="C4" s="5" t="str">
        <f>IFERROR(__xludf.DUMMYFUNCTION("""COMPUTED_VALUE"""),"Data-Centric")</f>
        <v>Data-Centric</v>
      </c>
      <c r="D4" s="6" t="str">
        <f>IFERROR(__xludf.DUMMYFUNCTION("""COMPUTED_VALUE"""),"Transfer Learning")</f>
        <v>Transfer Learning</v>
      </c>
    </row>
    <row r="5" ht="15.75" customHeight="1">
      <c r="A5" s="5" t="str">
        <f>IFERROR(__xludf.DUMMYFUNCTION("""COMPUTED_VALUE"""),"SCOPUS-000349")</f>
        <v>SCOPUS-000349</v>
      </c>
      <c r="B5" s="5" t="str">
        <f>IFERROR(__xludf.DUMMYFUNCTION("""COMPUTED_VALUE"""),"SCOPUS-000349-2")</f>
        <v>SCOPUS-000349-2</v>
      </c>
      <c r="C5" s="5" t="str">
        <f>IFERROR(__xludf.DUMMYFUNCTION("""COMPUTED_VALUE"""),"Architectural")</f>
        <v>Architectural</v>
      </c>
      <c r="D5" s="6" t="str">
        <f>IFERROR(__xludf.DUMMYFUNCTION("""COMPUTED_VALUE"""),"Architecture Modification")</f>
        <v>Architecture Modification</v>
      </c>
    </row>
    <row r="6" ht="15.75" customHeight="1">
      <c r="A6" s="5" t="str">
        <f>IFERROR(__xludf.DUMMYFUNCTION("""COMPUTED_VALUE"""),"SCOPUS-000473")</f>
        <v>SCOPUS-000473</v>
      </c>
      <c r="B6" s="5" t="str">
        <f>IFERROR(__xludf.DUMMYFUNCTION("""COMPUTED_VALUE"""),"SCOPUS-000473-1")</f>
        <v>SCOPUS-000473-1</v>
      </c>
      <c r="C6" s="5" t="str">
        <f>IFERROR(__xludf.DUMMYFUNCTION("""COMPUTED_VALUE"""),"Architectural")</f>
        <v>Architectural</v>
      </c>
      <c r="D6" s="6" t="str">
        <f>IFERROR(__xludf.DUMMYFUNCTION("""COMPUTED_VALUE"""),"Architecture Modification")</f>
        <v>Architecture Modification</v>
      </c>
    </row>
    <row r="7" ht="15.75" customHeight="1">
      <c r="A7" s="5" t="str">
        <f>IFERROR(__xludf.DUMMYFUNCTION("""COMPUTED_VALUE"""),"SCOPUS-000473")</f>
        <v>SCOPUS-000473</v>
      </c>
      <c r="B7" s="5" t="str">
        <f>IFERROR(__xludf.DUMMYFUNCTION("""COMPUTED_VALUE"""),"SCOPUS-000473-2")</f>
        <v>SCOPUS-000473-2</v>
      </c>
      <c r="C7" s="5" t="str">
        <f>IFERROR(__xludf.DUMMYFUNCTION("""COMPUTED_VALUE"""),"Architectural")</f>
        <v>Architectural</v>
      </c>
      <c r="D7" s="6" t="str">
        <f>IFERROR(__xludf.DUMMYFUNCTION("""COMPUTED_VALUE"""),"Loss Function Modification")</f>
        <v>Loss Function Modification</v>
      </c>
    </row>
    <row r="8" ht="15.75" customHeight="1">
      <c r="A8" s="5" t="str">
        <f>IFERROR(__xludf.DUMMYFUNCTION("""COMPUTED_VALUE"""),"SCOPUS-000722")</f>
        <v>SCOPUS-000722</v>
      </c>
      <c r="B8" s="5" t="str">
        <f>IFERROR(__xludf.DUMMYFUNCTION("""COMPUTED_VALUE"""),"SCOPUS-000722-1")</f>
        <v>SCOPUS-000722-1</v>
      </c>
      <c r="C8" s="5" t="str">
        <f>IFERROR(__xludf.DUMMYFUNCTION("""COMPUTED_VALUE"""),"Architectural")</f>
        <v>Architectural</v>
      </c>
      <c r="D8" s="6" t="str">
        <f>IFERROR(__xludf.DUMMYFUNCTION("""COMPUTED_VALUE"""),"Loss Function Modification")</f>
        <v>Loss Function Modification</v>
      </c>
    </row>
    <row r="9" ht="15.75" customHeight="1">
      <c r="A9" s="5" t="str">
        <f>IFERROR(__xludf.DUMMYFUNCTION("""COMPUTED_VALUE"""),"SCOPUS-000153")</f>
        <v>SCOPUS-000153</v>
      </c>
      <c r="B9" s="5" t="str">
        <f>IFERROR(__xludf.DUMMYFUNCTION("""COMPUTED_VALUE"""),"SCOPUS-000153-1")</f>
        <v>SCOPUS-000153-1</v>
      </c>
      <c r="C9" s="5" t="str">
        <f>IFERROR(__xludf.DUMMYFUNCTION("""COMPUTED_VALUE"""),"Data-Centric")</f>
        <v>Data-Centric</v>
      </c>
      <c r="D9" s="6" t="str">
        <f>IFERROR(__xludf.DUMMYFUNCTION("""COMPUTED_VALUE"""),"Data Processing")</f>
        <v>Data Processing</v>
      </c>
    </row>
    <row r="10" ht="15.75" customHeight="1">
      <c r="A10" s="5" t="str">
        <f>IFERROR(__xludf.DUMMYFUNCTION("""COMPUTED_VALUE"""),"SCOPUS-000153")</f>
        <v>SCOPUS-000153</v>
      </c>
      <c r="B10" s="5" t="str">
        <f>IFERROR(__xludf.DUMMYFUNCTION("""COMPUTED_VALUE"""),"SCOPUS-000153-2")</f>
        <v>SCOPUS-000153-2</v>
      </c>
      <c r="C10" s="5" t="str">
        <f>IFERROR(__xludf.DUMMYFUNCTION("""COMPUTED_VALUE"""),"Architectural")</f>
        <v>Architectural</v>
      </c>
      <c r="D10" s="6" t="str">
        <f>IFERROR(__xludf.DUMMYFUNCTION("""COMPUTED_VALUE"""),"Attention Mechanism")</f>
        <v>Attention Mechanism</v>
      </c>
    </row>
    <row r="11" ht="15.75" customHeight="1">
      <c r="A11" s="5" t="str">
        <f>IFERROR(__xludf.DUMMYFUNCTION("""COMPUTED_VALUE"""),"SCOPUS-000522")</f>
        <v>SCOPUS-000522</v>
      </c>
      <c r="B11" s="5" t="str">
        <f>IFERROR(__xludf.DUMMYFUNCTION("""COMPUTED_VALUE"""),"SCOPUS-000522-1")</f>
        <v>SCOPUS-000522-1</v>
      </c>
      <c r="C11" s="5" t="str">
        <f>IFERROR(__xludf.DUMMYFUNCTION("""COMPUTED_VALUE"""),"Architectural")</f>
        <v>Architectural</v>
      </c>
      <c r="D11" s="6" t="str">
        <f>IFERROR(__xludf.DUMMYFUNCTION("""COMPUTED_VALUE"""),"Architecture Modification")</f>
        <v>Architecture Modification</v>
      </c>
    </row>
    <row r="12" ht="15.75" customHeight="1">
      <c r="A12" s="5" t="str">
        <f>IFERROR(__xludf.DUMMYFUNCTION("""COMPUTED_VALUE"""),"SCOPUS-000522")</f>
        <v>SCOPUS-000522</v>
      </c>
      <c r="B12" s="5" t="str">
        <f>IFERROR(__xludf.DUMMYFUNCTION("""COMPUTED_VALUE"""),"SCOPUS-000522-2")</f>
        <v>SCOPUS-000522-2</v>
      </c>
      <c r="C12" s="5" t="str">
        <f>IFERROR(__xludf.DUMMYFUNCTION("""COMPUTED_VALUE"""),"Data-Centric")</f>
        <v>Data-Centric</v>
      </c>
      <c r="D12" s="6" t="str">
        <f>IFERROR(__xludf.DUMMYFUNCTION("""COMPUTED_VALUE"""),"Data Augmentation")</f>
        <v>Data Augmentation</v>
      </c>
    </row>
    <row r="13" ht="15.75" customHeight="1">
      <c r="A13" s="5" t="str">
        <f>IFERROR(__xludf.DUMMYFUNCTION("""COMPUTED_VALUE"""),"SCOPUS-000487")</f>
        <v>SCOPUS-000487</v>
      </c>
      <c r="B13" s="5" t="str">
        <f>IFERROR(__xludf.DUMMYFUNCTION("""COMPUTED_VALUE"""),"SCOPUS-000487-1")</f>
        <v>SCOPUS-000487-1</v>
      </c>
      <c r="C13" s="5" t="str">
        <f>IFERROR(__xludf.DUMMYFUNCTION("""COMPUTED_VALUE"""),"Data-Centric")</f>
        <v>Data-Centric</v>
      </c>
      <c r="D13" s="6" t="str">
        <f>IFERROR(__xludf.DUMMYFUNCTION("""COMPUTED_VALUE"""),"Synthetic Data Generation")</f>
        <v>Synthetic Data Generation</v>
      </c>
    </row>
    <row r="14" ht="15.75" customHeight="1">
      <c r="A14" s="5" t="str">
        <f>IFERROR(__xludf.DUMMYFUNCTION("""COMPUTED_VALUE"""),"SCOPUS-000328")</f>
        <v>SCOPUS-000328</v>
      </c>
      <c r="B14" s="5" t="str">
        <f>IFERROR(__xludf.DUMMYFUNCTION("""COMPUTED_VALUE"""),"SCOPUS-000328-1")</f>
        <v>SCOPUS-000328-1</v>
      </c>
      <c r="C14" s="5" t="str">
        <f>IFERROR(__xludf.DUMMYFUNCTION("""COMPUTED_VALUE"""),"Architectural")</f>
        <v>Architectural</v>
      </c>
      <c r="D14" s="6" t="str">
        <f>IFERROR(__xludf.DUMMYFUNCTION("""COMPUTED_VALUE"""),"Attention Mechanism")</f>
        <v>Attention Mechanism</v>
      </c>
    </row>
    <row r="15" ht="15.75" customHeight="1">
      <c r="A15" s="5" t="str">
        <f>IFERROR(__xludf.DUMMYFUNCTION("""COMPUTED_VALUE"""),"SCOPUS-000256")</f>
        <v>SCOPUS-000256</v>
      </c>
      <c r="B15" s="5" t="str">
        <f>IFERROR(__xludf.DUMMYFUNCTION("""COMPUTED_VALUE"""),"SCOPUS-000256-1")</f>
        <v>SCOPUS-000256-1</v>
      </c>
      <c r="C15" s="5" t="str">
        <f>IFERROR(__xludf.DUMMYFUNCTION("""COMPUTED_VALUE"""),"Architectural")</f>
        <v>Architectural</v>
      </c>
      <c r="D15" s="6" t="str">
        <f>IFERROR(__xludf.DUMMYFUNCTION("""COMPUTED_VALUE"""),"Architecture Modification")</f>
        <v>Architecture Modification</v>
      </c>
    </row>
    <row r="16" ht="15.75" customHeight="1">
      <c r="A16" s="5" t="str">
        <f>IFERROR(__xludf.DUMMYFUNCTION("""COMPUTED_VALUE"""),"SCOPUS-000256")</f>
        <v>SCOPUS-000256</v>
      </c>
      <c r="B16" s="5" t="str">
        <f>IFERROR(__xludf.DUMMYFUNCTION("""COMPUTED_VALUE"""),"SCOPUS-000256-2")</f>
        <v>SCOPUS-000256-2</v>
      </c>
      <c r="C16" s="5" t="str">
        <f>IFERROR(__xludf.DUMMYFUNCTION("""COMPUTED_VALUE"""),"Data-Centric")</f>
        <v>Data-Centric</v>
      </c>
      <c r="D16" s="6" t="str">
        <f>IFERROR(__xludf.DUMMYFUNCTION("""COMPUTED_VALUE"""),"Data Augmentation")</f>
        <v>Data Augmentation</v>
      </c>
    </row>
    <row r="17" ht="15.75" customHeight="1">
      <c r="A17" s="5" t="str">
        <f>IFERROR(__xludf.DUMMYFUNCTION("""COMPUTED_VALUE"""),"SCOPUS-000234")</f>
        <v>SCOPUS-000234</v>
      </c>
      <c r="B17" s="5" t="str">
        <f>IFERROR(__xludf.DUMMYFUNCTION("""COMPUTED_VALUE"""),"SCOPUS-000234-1")</f>
        <v>SCOPUS-000234-1</v>
      </c>
      <c r="C17" s="5" t="str">
        <f>IFERROR(__xludf.DUMMYFUNCTION("""COMPUTED_VALUE"""),"Architectural")</f>
        <v>Architectural</v>
      </c>
      <c r="D17" s="6" t="str">
        <f>IFERROR(__xludf.DUMMYFUNCTION("""COMPUTED_VALUE"""),"Architecture Modification")</f>
        <v>Architecture Modification</v>
      </c>
    </row>
    <row r="18" ht="15.75" customHeight="1">
      <c r="A18" s="5" t="str">
        <f>IFERROR(__xludf.DUMMYFUNCTION("""COMPUTED_VALUE"""),"SCOPUS-000220")</f>
        <v>SCOPUS-000220</v>
      </c>
      <c r="B18" s="5" t="str">
        <f>IFERROR(__xludf.DUMMYFUNCTION("""COMPUTED_VALUE"""),"SCOPUS-000220-1")</f>
        <v>SCOPUS-000220-1</v>
      </c>
      <c r="C18" s="5" t="str">
        <f>IFERROR(__xludf.DUMMYFUNCTION("""COMPUTED_VALUE"""),"Architectural")</f>
        <v>Architectural</v>
      </c>
      <c r="D18" s="6" t="str">
        <f>IFERROR(__xludf.DUMMYFUNCTION("""COMPUTED_VALUE"""),"Attention Mechanism")</f>
        <v>Attention Mechanism</v>
      </c>
    </row>
    <row r="19" ht="15.75" customHeight="1">
      <c r="A19" s="5" t="str">
        <f>IFERROR(__xludf.DUMMYFUNCTION("""COMPUTED_VALUE"""),"SCOPUS-000220")</f>
        <v>SCOPUS-000220</v>
      </c>
      <c r="B19" s="5" t="str">
        <f>IFERROR(__xludf.DUMMYFUNCTION("""COMPUTED_VALUE"""),"SCOPUS-000220-2")</f>
        <v>SCOPUS-000220-2</v>
      </c>
      <c r="C19" s="5" t="str">
        <f>IFERROR(__xludf.DUMMYFUNCTION("""COMPUTED_VALUE"""),"Architectural")</f>
        <v>Architectural</v>
      </c>
      <c r="D19" s="6" t="str">
        <f>IFERROR(__xludf.DUMMYFUNCTION("""COMPUTED_VALUE"""),"Architecture Modification")</f>
        <v>Architecture Modification</v>
      </c>
    </row>
    <row r="20" ht="15.75" customHeight="1">
      <c r="A20" s="5" t="str">
        <f>IFERROR(__xludf.DUMMYFUNCTION("""COMPUTED_VALUE"""),"SCOPUS-000211")</f>
        <v>SCOPUS-000211</v>
      </c>
      <c r="B20" s="5" t="str">
        <f>IFERROR(__xludf.DUMMYFUNCTION("""COMPUTED_VALUE"""),"SCOPUS-000211-1")</f>
        <v>SCOPUS-000211-1</v>
      </c>
      <c r="C20" s="5" t="str">
        <f>IFERROR(__xludf.DUMMYFUNCTION("""COMPUTED_VALUE"""),"Architectural")</f>
        <v>Architectural</v>
      </c>
      <c r="D20" s="6" t="str">
        <f>IFERROR(__xludf.DUMMYFUNCTION("""COMPUTED_VALUE"""),"Architecture Modification")</f>
        <v>Architecture Modification</v>
      </c>
    </row>
    <row r="21" ht="15.75" customHeight="1">
      <c r="A21" s="5" t="str">
        <f>IFERROR(__xludf.DUMMYFUNCTION("""COMPUTED_VALUE"""),"SCOPUS-000195")</f>
        <v>SCOPUS-000195</v>
      </c>
      <c r="B21" s="5" t="str">
        <f>IFERROR(__xludf.DUMMYFUNCTION("""COMPUTED_VALUE"""),"SCOPUS-000195-1")</f>
        <v>SCOPUS-000195-1</v>
      </c>
      <c r="C21" s="5" t="str">
        <f>IFERROR(__xludf.DUMMYFUNCTION("""COMPUTED_VALUE"""),"Architectural")</f>
        <v>Architectural</v>
      </c>
      <c r="D21" s="6" t="str">
        <f>IFERROR(__xludf.DUMMYFUNCTION("""COMPUTED_VALUE"""),"Architecture Modification")</f>
        <v>Architecture Modification</v>
      </c>
    </row>
    <row r="22" ht="15.75" customHeight="1">
      <c r="A22" s="5" t="str">
        <f>IFERROR(__xludf.DUMMYFUNCTION("""COMPUTED_VALUE"""),"SCOPUS-000139")</f>
        <v>SCOPUS-000139</v>
      </c>
      <c r="B22" s="5" t="str">
        <f>IFERROR(__xludf.DUMMYFUNCTION("""COMPUTED_VALUE"""),"SCOPUS-000139-1")</f>
        <v>SCOPUS-000139-1</v>
      </c>
      <c r="C22" s="5" t="str">
        <f>IFERROR(__xludf.DUMMYFUNCTION("""COMPUTED_VALUE"""),"Data-Centric")</f>
        <v>Data-Centric</v>
      </c>
      <c r="D22" s="6" t="str">
        <f>IFERROR(__xludf.DUMMYFUNCTION("""COMPUTED_VALUE"""),"Synthetic Data Generation")</f>
        <v>Synthetic Data Generation</v>
      </c>
    </row>
    <row r="23" ht="15.75" customHeight="1">
      <c r="A23" s="5" t="str">
        <f>IFERROR(__xludf.DUMMYFUNCTION("""COMPUTED_VALUE"""),"SCOPUS-000139")</f>
        <v>SCOPUS-000139</v>
      </c>
      <c r="B23" s="5" t="str">
        <f>IFERROR(__xludf.DUMMYFUNCTION("""COMPUTED_VALUE"""),"SCOPUS-000139-2")</f>
        <v>SCOPUS-000139-2</v>
      </c>
      <c r="C23" s="5" t="str">
        <f>IFERROR(__xludf.DUMMYFUNCTION("""COMPUTED_VALUE"""),"Architectural")</f>
        <v>Architectural</v>
      </c>
      <c r="D23" s="6" t="str">
        <f>IFERROR(__xludf.DUMMYFUNCTION("""COMPUTED_VALUE"""),"Instance Segmentation")</f>
        <v>Instance Segmentation</v>
      </c>
    </row>
    <row r="24" ht="15.75" customHeight="1">
      <c r="A24" s="5" t="str">
        <f>IFERROR(__xludf.DUMMYFUNCTION("""COMPUTED_VALUE"""),"SCOPUS-000045")</f>
        <v>SCOPUS-000045</v>
      </c>
      <c r="B24" s="5" t="str">
        <f>IFERROR(__xludf.DUMMYFUNCTION("""COMPUTED_VALUE"""),"SCOPUS-000045-1")</f>
        <v>SCOPUS-000045-1</v>
      </c>
      <c r="C24" s="5" t="str">
        <f>IFERROR(__xludf.DUMMYFUNCTION("""COMPUTED_VALUE"""),"Data-Centric")</f>
        <v>Data-Centric</v>
      </c>
      <c r="D24" s="6" t="str">
        <f>IFERROR(__xludf.DUMMYFUNCTION("""COMPUTED_VALUE"""),"Synthetic Data Generation")</f>
        <v>Synthetic Data Generation</v>
      </c>
    </row>
    <row r="25" ht="15.75" customHeight="1">
      <c r="A25" s="5" t="str">
        <f>IFERROR(__xludf.DUMMYFUNCTION("""COMPUTED_VALUE"""),"SCOPUS-000031")</f>
        <v>SCOPUS-000031</v>
      </c>
      <c r="B25" s="5" t="str">
        <f>IFERROR(__xludf.DUMMYFUNCTION("""COMPUTED_VALUE"""),"SCOPUS-000031-1")</f>
        <v>SCOPUS-000031-1</v>
      </c>
      <c r="C25" s="5" t="str">
        <f>IFERROR(__xludf.DUMMYFUNCTION("""COMPUTED_VALUE"""),"Architectural")</f>
        <v>Architectural</v>
      </c>
      <c r="D25" s="6" t="str">
        <f>IFERROR(__xludf.DUMMYFUNCTION("""COMPUTED_VALUE"""),"Architecture Modification")</f>
        <v>Architecture Modification</v>
      </c>
    </row>
    <row r="26" ht="15.75" customHeight="1">
      <c r="A26" s="5" t="str">
        <f>IFERROR(__xludf.DUMMYFUNCTION("""COMPUTED_VALUE"""),"SCOPUS-000014")</f>
        <v>SCOPUS-000014</v>
      </c>
      <c r="B26" s="5" t="str">
        <f>IFERROR(__xludf.DUMMYFUNCTION("""COMPUTED_VALUE"""),"SCOPUS-000014-1")</f>
        <v>SCOPUS-000014-1</v>
      </c>
      <c r="C26" s="5" t="str">
        <f>IFERROR(__xludf.DUMMYFUNCTION("""COMPUTED_VALUE"""),"Architectural")</f>
        <v>Architectural</v>
      </c>
      <c r="D26" s="6" t="str">
        <f>IFERROR(__xludf.DUMMYFUNCTION("""COMPUTED_VALUE"""),"Architecture Modification")</f>
        <v>Architecture Modification</v>
      </c>
    </row>
    <row r="27" ht="15.75" customHeight="1">
      <c r="A27" s="5" t="str">
        <f>IFERROR(__xludf.DUMMYFUNCTION("""COMPUTED_VALUE"""),"SCOPUS-000544")</f>
        <v>SCOPUS-000544</v>
      </c>
      <c r="B27" s="5" t="str">
        <f>IFERROR(__xludf.DUMMYFUNCTION("""COMPUTED_VALUE"""),"SCOPUS-000544-1")</f>
        <v>SCOPUS-000544-1</v>
      </c>
      <c r="C27" s="5" t="str">
        <f>IFERROR(__xludf.DUMMYFUNCTION("""COMPUTED_VALUE"""),"Architectural")</f>
        <v>Architectural</v>
      </c>
      <c r="D27" s="6" t="str">
        <f>IFERROR(__xludf.DUMMYFUNCTION("""COMPUTED_VALUE"""),"Architecture Modification")</f>
        <v>Architecture Modification</v>
      </c>
    </row>
    <row r="28" ht="15.75" customHeight="1">
      <c r="A28" s="5" t="str">
        <f>IFERROR(__xludf.DUMMYFUNCTION("""COMPUTED_VALUE"""),"SCOPUS-000151")</f>
        <v>SCOPUS-000151</v>
      </c>
      <c r="B28" s="5" t="str">
        <f>IFERROR(__xludf.DUMMYFUNCTION("""COMPUTED_VALUE"""),"SCOPUS-000151-1")</f>
        <v>SCOPUS-000151-1</v>
      </c>
      <c r="C28" s="5" t="str">
        <f>IFERROR(__xludf.DUMMYFUNCTION("""COMPUTED_VALUE"""),"Architectural")</f>
        <v>Architectural</v>
      </c>
      <c r="D28" s="6" t="str">
        <f>IFERROR(__xludf.DUMMYFUNCTION("""COMPUTED_VALUE"""),"Architecture Modification")</f>
        <v>Architecture Modification</v>
      </c>
    </row>
    <row r="29" ht="15.75" customHeight="1">
      <c r="A29" s="5" t="str">
        <f>IFERROR(__xludf.DUMMYFUNCTION("""COMPUTED_VALUE"""),"SCOPUS-000151")</f>
        <v>SCOPUS-000151</v>
      </c>
      <c r="B29" s="5" t="str">
        <f>IFERROR(__xludf.DUMMYFUNCTION("""COMPUTED_VALUE"""),"SCOPUS-000151-2")</f>
        <v>SCOPUS-000151-2</v>
      </c>
      <c r="C29" s="5" t="str">
        <f>IFERROR(__xludf.DUMMYFUNCTION("""COMPUTED_VALUE"""),"Architectural")</f>
        <v>Architectural</v>
      </c>
      <c r="D29" s="6" t="str">
        <f>IFERROR(__xludf.DUMMYFUNCTION("""COMPUTED_VALUE"""),"Architecture Modification")</f>
        <v>Architecture Modification</v>
      </c>
    </row>
    <row r="30" ht="15.75" customHeight="1">
      <c r="A30" s="5" t="str">
        <f>IFERROR(__xludf.DUMMYFUNCTION("""COMPUTED_VALUE"""),"SCOPUS-000592")</f>
        <v>SCOPUS-000592</v>
      </c>
      <c r="B30" s="5" t="str">
        <f>IFERROR(__xludf.DUMMYFUNCTION("""COMPUTED_VALUE"""),"SCOPUS-000592-1")</f>
        <v>SCOPUS-000592-1</v>
      </c>
      <c r="C30" s="5" t="str">
        <f>IFERROR(__xludf.DUMMYFUNCTION("""COMPUTED_VALUE"""),"Data-Centric")</f>
        <v>Data-Centric</v>
      </c>
      <c r="D30" s="6" t="str">
        <f>IFERROR(__xludf.DUMMYFUNCTION("""COMPUTED_VALUE"""),"Weakly Supervised Learning")</f>
        <v>Weakly Supervised Learning</v>
      </c>
    </row>
    <row r="31" ht="15.75" customHeight="1">
      <c r="A31" s="5" t="str">
        <f>IFERROR(__xludf.DUMMYFUNCTION("""COMPUTED_VALUE"""),"SCOPUS-000592")</f>
        <v>SCOPUS-000592</v>
      </c>
      <c r="B31" s="5" t="str">
        <f>IFERROR(__xludf.DUMMYFUNCTION("""COMPUTED_VALUE"""),"SCOPUS-000592-2")</f>
        <v>SCOPUS-000592-2</v>
      </c>
      <c r="C31" s="5" t="str">
        <f>IFERROR(__xludf.DUMMYFUNCTION("""COMPUTED_VALUE"""),"Data-Centric")</f>
        <v>Data-Centric</v>
      </c>
      <c r="D31" s="6" t="str">
        <f>IFERROR(__xludf.DUMMYFUNCTION("""COMPUTED_VALUE"""),"Weakly Supervised Learning")</f>
        <v>Weakly Supervised Learning</v>
      </c>
    </row>
    <row r="32" ht="15.75" customHeight="1">
      <c r="A32" s="5" t="str">
        <f>IFERROR(__xludf.DUMMYFUNCTION("""COMPUTED_VALUE"""),"SCOPUS-000629")</f>
        <v>SCOPUS-000629</v>
      </c>
      <c r="B32" s="5" t="str">
        <f>IFERROR(__xludf.DUMMYFUNCTION("""COMPUTED_VALUE"""),"SCOPUS-000629-1")</f>
        <v>SCOPUS-000629-1</v>
      </c>
      <c r="C32" s="5" t="str">
        <f>IFERROR(__xludf.DUMMYFUNCTION("""COMPUTED_VALUE"""),"Data-Centric")</f>
        <v>Data-Centric</v>
      </c>
      <c r="D32" s="6" t="str">
        <f>IFERROR(__xludf.DUMMYFUNCTION("""COMPUTED_VALUE"""),"Synthetic Data Generation")</f>
        <v>Synthetic Data Generation</v>
      </c>
    </row>
    <row r="33" ht="15.75" customHeight="1">
      <c r="A33" s="5" t="str">
        <f>IFERROR(__xludf.DUMMYFUNCTION("""COMPUTED_VALUE"""),"SCOPUS-000475")</f>
        <v>SCOPUS-000475</v>
      </c>
      <c r="B33" s="5" t="str">
        <f>IFERROR(__xludf.DUMMYFUNCTION("""COMPUTED_VALUE"""),"SCOPUS-000475-1")</f>
        <v>SCOPUS-000475-1</v>
      </c>
      <c r="C33" s="5" t="str">
        <f>IFERROR(__xludf.DUMMYFUNCTION("""COMPUTED_VALUE"""),"Architectural")</f>
        <v>Architectural</v>
      </c>
      <c r="D33" s="6" t="str">
        <f>IFERROR(__xludf.DUMMYFUNCTION("""COMPUTED_VALUE"""),"Attention Mechanism")</f>
        <v>Attention Mechanism</v>
      </c>
    </row>
    <row r="34" ht="15.75" customHeight="1">
      <c r="A34" s="5" t="str">
        <f>IFERROR(__xludf.DUMMYFUNCTION("""COMPUTED_VALUE"""),"SCOPUS-000399")</f>
        <v>SCOPUS-000399</v>
      </c>
      <c r="B34" s="5" t="str">
        <f>IFERROR(__xludf.DUMMYFUNCTION("""COMPUTED_VALUE"""),"SCOPUS-000399-1")</f>
        <v>SCOPUS-000399-1</v>
      </c>
      <c r="C34" s="5" t="str">
        <f>IFERROR(__xludf.DUMMYFUNCTION("""COMPUTED_VALUE"""),"Data-Centric")</f>
        <v>Data-Centric</v>
      </c>
      <c r="D34" s="6" t="str">
        <f>IFERROR(__xludf.DUMMYFUNCTION("""COMPUTED_VALUE"""),"Synthetic Data Generation")</f>
        <v>Synthetic Data Generation</v>
      </c>
    </row>
    <row r="35" ht="15.75" customHeight="1">
      <c r="A35" s="5" t="str">
        <f>IFERROR(__xludf.DUMMYFUNCTION("""COMPUTED_VALUE"""),"SCOPUS-000323")</f>
        <v>SCOPUS-000323</v>
      </c>
      <c r="B35" s="5" t="str">
        <f>IFERROR(__xludf.DUMMYFUNCTION("""COMPUTED_VALUE"""),"SCOPUS-000323-1")</f>
        <v>SCOPUS-000323-1</v>
      </c>
      <c r="C35" s="5" t="str">
        <f>IFERROR(__xludf.DUMMYFUNCTION("""COMPUTED_VALUE"""),"Architectural")</f>
        <v>Architectural</v>
      </c>
      <c r="D35" s="6" t="str">
        <f>IFERROR(__xludf.DUMMYFUNCTION("""COMPUTED_VALUE"""),"Attention Mechanism")</f>
        <v>Attention Mechanism</v>
      </c>
    </row>
    <row r="36" ht="15.75" customHeight="1">
      <c r="A36" s="5" t="str">
        <f>IFERROR(__xludf.DUMMYFUNCTION("""COMPUTED_VALUE"""),"SCOPUS-000295")</f>
        <v>SCOPUS-000295</v>
      </c>
      <c r="B36" s="5" t="str">
        <f>IFERROR(__xludf.DUMMYFUNCTION("""COMPUTED_VALUE"""),"SCOPUS-000295-1")</f>
        <v>SCOPUS-000295-1</v>
      </c>
      <c r="C36" s="5" t="str">
        <f>IFERROR(__xludf.DUMMYFUNCTION("""COMPUTED_VALUE"""),"Architectural")</f>
        <v>Architectural</v>
      </c>
      <c r="D36" s="6" t="str">
        <f>IFERROR(__xludf.DUMMYFUNCTION("""COMPUTED_VALUE"""),"Architecture Modification")</f>
        <v>Architecture Modification</v>
      </c>
    </row>
    <row r="37" ht="15.75" customHeight="1">
      <c r="A37" s="5" t="str">
        <f>IFERROR(__xludf.DUMMYFUNCTION("""COMPUTED_VALUE"""),"SCOPUS-000611")</f>
        <v>SCOPUS-000611</v>
      </c>
      <c r="B37" s="5" t="str">
        <f>IFERROR(__xludf.DUMMYFUNCTION("""COMPUTED_VALUE"""),"SCOPUS-000611-1")</f>
        <v>SCOPUS-000611-1</v>
      </c>
      <c r="C37" s="5" t="str">
        <f>IFERROR(__xludf.DUMMYFUNCTION("""COMPUTED_VALUE"""),"Architectural")</f>
        <v>Architectural</v>
      </c>
      <c r="D37" s="6" t="str">
        <f>IFERROR(__xludf.DUMMYFUNCTION("""COMPUTED_VALUE"""),"Model Compression (Quantization)")</f>
        <v>Model Compression (Quantization)</v>
      </c>
    </row>
    <row r="38" ht="15.75" customHeight="1">
      <c r="A38" s="5" t="str">
        <f>IFERROR(__xludf.DUMMYFUNCTION("""COMPUTED_VALUE"""),"SCOPUS-000611")</f>
        <v>SCOPUS-000611</v>
      </c>
      <c r="B38" s="5" t="str">
        <f>IFERROR(__xludf.DUMMYFUNCTION("""COMPUTED_VALUE"""),"SCOPUS-000611-2")</f>
        <v>SCOPUS-000611-2</v>
      </c>
      <c r="C38" s="5" t="str">
        <f>IFERROR(__xludf.DUMMYFUNCTION("""COMPUTED_VALUE"""),"Data-Centric")</f>
        <v>Data-Centric</v>
      </c>
      <c r="D38" s="6" t="str">
        <f>IFERROR(__xludf.DUMMYFUNCTION("""COMPUTED_VALUE"""),"Data Augmentation")</f>
        <v>Data Augmentation</v>
      </c>
    </row>
    <row r="39" ht="15.75" customHeight="1">
      <c r="A39" s="5" t="str">
        <f>IFERROR(__xludf.DUMMYFUNCTION("""COMPUTED_VALUE"""),"SCOPUS-000738")</f>
        <v>SCOPUS-000738</v>
      </c>
      <c r="B39" s="5" t="str">
        <f>IFERROR(__xludf.DUMMYFUNCTION("""COMPUTED_VALUE"""),"SCOPUS-000738-1")</f>
        <v>SCOPUS-000738-1</v>
      </c>
      <c r="C39" s="5" t="str">
        <f>IFERROR(__xludf.DUMMYFUNCTION("""COMPUTED_VALUE"""),"Architectural")</f>
        <v>Architectural</v>
      </c>
      <c r="D39" s="6" t="str">
        <f>IFERROR(__xludf.DUMMYFUNCTION("""COMPUTED_VALUE"""),"Patch-Based Classification")</f>
        <v>Patch-Based Classification</v>
      </c>
    </row>
    <row r="40" ht="15.75" customHeight="1">
      <c r="A40" s="5" t="str">
        <f>IFERROR(__xludf.DUMMYFUNCTION("""COMPUTED_VALUE"""),"SCOPUS-000738")</f>
        <v>SCOPUS-000738</v>
      </c>
      <c r="B40" s="5" t="str">
        <f>IFERROR(__xludf.DUMMYFUNCTION("""COMPUTED_VALUE"""),"SCOPUS-000738-2")</f>
        <v>SCOPUS-000738-2</v>
      </c>
      <c r="C40" s="5" t="str">
        <f>IFERROR(__xludf.DUMMYFUNCTION("""COMPUTED_VALUE"""),"Data-Centric")</f>
        <v>Data-Centric</v>
      </c>
      <c r="D40" s="6" t="str">
        <f>IFERROR(__xludf.DUMMYFUNCTION("""COMPUTED_VALUE"""),"Data Processing")</f>
        <v>Data Processing</v>
      </c>
    </row>
    <row r="41" ht="15.75" customHeight="1">
      <c r="A41" s="5" t="str">
        <f>IFERROR(__xludf.DUMMYFUNCTION("""COMPUTED_VALUE"""),"SCOPUS-000114")</f>
        <v>SCOPUS-000114</v>
      </c>
      <c r="B41" s="5" t="str">
        <f>IFERROR(__xludf.DUMMYFUNCTION("""COMPUTED_VALUE"""),"SCOPUS-000114-1")</f>
        <v>SCOPUS-000114-1</v>
      </c>
      <c r="C41" s="5" t="str">
        <f>IFERROR(__xludf.DUMMYFUNCTION("""COMPUTED_VALUE"""),"Architectural")</f>
        <v>Architectural</v>
      </c>
      <c r="D41" s="6" t="str">
        <f>IFERROR(__xludf.DUMMYFUNCTION("""COMPUTED_VALUE"""),"Architecture Modification")</f>
        <v>Architecture Modification</v>
      </c>
    </row>
    <row r="42" ht="15.75" customHeight="1">
      <c r="A42" s="5" t="str">
        <f>IFERROR(__xludf.DUMMYFUNCTION("""COMPUTED_VALUE"""),"SCOPUS-000366")</f>
        <v>SCOPUS-000366</v>
      </c>
      <c r="B42" s="5" t="str">
        <f>IFERROR(__xludf.DUMMYFUNCTION("""COMPUTED_VALUE"""),"SCOPUS-000366-1")</f>
        <v>SCOPUS-000366-1</v>
      </c>
      <c r="C42" s="5" t="str">
        <f>IFERROR(__xludf.DUMMYFUNCTION("""COMPUTED_VALUE"""),"Data-Centric")</f>
        <v>Data-Centric</v>
      </c>
      <c r="D42" s="6" t="str">
        <f>IFERROR(__xludf.DUMMYFUNCTION("""COMPUTED_VALUE"""),"Transfer Learning")</f>
        <v>Transfer Learning</v>
      </c>
    </row>
    <row r="43" ht="15.75" customHeight="1">
      <c r="A43" s="5" t="str">
        <f>IFERROR(__xludf.DUMMYFUNCTION("""COMPUTED_VALUE"""),"SCOPUS-000286")</f>
        <v>SCOPUS-000286</v>
      </c>
      <c r="B43" s="5" t="str">
        <f>IFERROR(__xludf.DUMMYFUNCTION("""COMPUTED_VALUE"""),"SCOPUS-000286-1")</f>
        <v>SCOPUS-000286-1</v>
      </c>
      <c r="C43" s="5" t="str">
        <f>IFERROR(__xludf.DUMMYFUNCTION("""COMPUTED_VALUE"""),"Architectural")</f>
        <v>Architectural</v>
      </c>
      <c r="D43" s="6" t="str">
        <f>IFERROR(__xludf.DUMMYFUNCTION("""COMPUTED_VALUE"""),"Architecture Modification")</f>
        <v>Architecture Modification</v>
      </c>
    </row>
    <row r="44" ht="15.75" customHeight="1">
      <c r="A44" s="5" t="str">
        <f>IFERROR(__xludf.DUMMYFUNCTION("""COMPUTED_VALUE"""),"SCOPUS-000283")</f>
        <v>SCOPUS-000283</v>
      </c>
      <c r="B44" s="5" t="str">
        <f>IFERROR(__xludf.DUMMYFUNCTION("""COMPUTED_VALUE"""),"SCOPUS-000283-1")</f>
        <v>SCOPUS-000283-1</v>
      </c>
      <c r="C44" s="5" t="str">
        <f>IFERROR(__xludf.DUMMYFUNCTION("""COMPUTED_VALUE"""),"Architectural")</f>
        <v>Architectural</v>
      </c>
      <c r="D44" s="6" t="str">
        <f>IFERROR(__xludf.DUMMYFUNCTION("""COMPUTED_VALUE"""),"Attention Mechanism")</f>
        <v>Attention Mechanism</v>
      </c>
    </row>
    <row r="45" ht="15.75" customHeight="1">
      <c r="A45" s="5" t="str">
        <f>IFERROR(__xludf.DUMMYFUNCTION("""COMPUTED_VALUE"""),"SCOPUS-000153")</f>
        <v>SCOPUS-000153</v>
      </c>
      <c r="B45" s="5" t="str">
        <f>IFERROR(__xludf.DUMMYFUNCTION("""COMPUTED_VALUE"""),"SCOPUS-000153-3")</f>
        <v>SCOPUS-000153-3</v>
      </c>
      <c r="C45" s="5" t="str">
        <f>IFERROR(__xludf.DUMMYFUNCTION("""COMPUTED_VALUE"""),"Data-Centric")</f>
        <v>Data-Centric</v>
      </c>
      <c r="D45" s="6" t="str">
        <f>IFERROR(__xludf.DUMMYFUNCTION("""COMPUTED_VALUE"""),"Color Space Transformation")</f>
        <v>Color Space Transformation</v>
      </c>
    </row>
    <row r="46" ht="15.75" customHeight="1">
      <c r="A46" s="5" t="str">
        <f>IFERROR(__xludf.DUMMYFUNCTION("""COMPUTED_VALUE"""),"SCOPUS-000276")</f>
        <v>SCOPUS-000276</v>
      </c>
      <c r="B46" s="5" t="str">
        <f>IFERROR(__xludf.DUMMYFUNCTION("""COMPUTED_VALUE"""),"SCOPUS-000276-1")</f>
        <v>SCOPUS-000276-1</v>
      </c>
      <c r="C46" s="5" t="str">
        <f>IFERROR(__xludf.DUMMYFUNCTION("""COMPUTED_VALUE"""),"Architectural")</f>
        <v>Architectural</v>
      </c>
      <c r="D46" s="6" t="str">
        <f>IFERROR(__xludf.DUMMYFUNCTION("""COMPUTED_VALUE"""),"Attention Mechanism")</f>
        <v>Attention Mechanism</v>
      </c>
    </row>
    <row r="47" ht="15.75" customHeight="1">
      <c r="A47" s="5" t="str">
        <f>IFERROR(__xludf.DUMMYFUNCTION("""COMPUTED_VALUE"""),"SCOPUS-000276")</f>
        <v>SCOPUS-000276</v>
      </c>
      <c r="B47" s="5" t="str">
        <f>IFERROR(__xludf.DUMMYFUNCTION("""COMPUTED_VALUE"""),"SCOPUS-000276-2")</f>
        <v>SCOPUS-000276-2</v>
      </c>
      <c r="C47" s="5" t="str">
        <f>IFERROR(__xludf.DUMMYFUNCTION("""COMPUTED_VALUE"""),"Architectural")</f>
        <v>Architectural</v>
      </c>
      <c r="D47" s="6" t="str">
        <f>IFERROR(__xludf.DUMMYFUNCTION("""COMPUTED_VALUE"""),"Architecture Modification")</f>
        <v>Architecture Modification</v>
      </c>
    </row>
    <row r="48" ht="15.75" customHeight="1">
      <c r="A48" s="5" t="str">
        <f>IFERROR(__xludf.DUMMYFUNCTION("""COMPUTED_VALUE"""),"SCOPUS-000246")</f>
        <v>SCOPUS-000246</v>
      </c>
      <c r="B48" s="5" t="str">
        <f>IFERROR(__xludf.DUMMYFUNCTION("""COMPUTED_VALUE"""),"SCOPUS-000246-1")</f>
        <v>SCOPUS-000246-1</v>
      </c>
      <c r="C48" s="5" t="str">
        <f>IFERROR(__xludf.DUMMYFUNCTION("""COMPUTED_VALUE"""),"Architectural")</f>
        <v>Architectural</v>
      </c>
      <c r="D48" s="6" t="str">
        <f>IFERROR(__xludf.DUMMYFUNCTION("""COMPUTED_VALUE"""),"Architecture Modification")</f>
        <v>Architecture Modification</v>
      </c>
    </row>
    <row r="49" ht="15.75" customHeight="1">
      <c r="A49" s="5" t="str">
        <f>IFERROR(__xludf.DUMMYFUNCTION("""COMPUTED_VALUE"""),"SCOPUS-000599")</f>
        <v>SCOPUS-000599</v>
      </c>
      <c r="B49" s="5" t="str">
        <f>IFERROR(__xludf.DUMMYFUNCTION("""COMPUTED_VALUE"""),"SCOPUS-000599-1")</f>
        <v>SCOPUS-000599-1</v>
      </c>
      <c r="C49" s="5" t="str">
        <f>IFERROR(__xludf.DUMMYFUNCTION("""COMPUTED_VALUE"""),"Data-Centric")</f>
        <v>Data-Centric</v>
      </c>
      <c r="D49" s="6" t="str">
        <f>IFERROR(__xludf.DUMMYFUNCTION("""COMPUTED_VALUE"""),"Transfer Learning")</f>
        <v>Transfer Learning</v>
      </c>
    </row>
    <row r="50" ht="15.75" customHeight="1">
      <c r="A50" s="5" t="str">
        <f>IFERROR(__xludf.DUMMYFUNCTION("""COMPUTED_VALUE"""),"SCOPUS-000280")</f>
        <v>SCOPUS-000280</v>
      </c>
      <c r="B50" s="5" t="str">
        <f>IFERROR(__xludf.DUMMYFUNCTION("""COMPUTED_VALUE"""),"SCOPUS-000280-1")</f>
        <v>SCOPUS-000280-1</v>
      </c>
      <c r="C50" s="5" t="str">
        <f>IFERROR(__xludf.DUMMYFUNCTION("""COMPUTED_VALUE"""),"Architectural")</f>
        <v>Architectural</v>
      </c>
      <c r="D50" s="6" t="str">
        <f>IFERROR(__xludf.DUMMYFUNCTION("""COMPUTED_VALUE"""),"Architecture Modification")</f>
        <v>Architecture Modification</v>
      </c>
    </row>
    <row r="51" ht="15.75" customHeight="1">
      <c r="A51" s="5" t="str">
        <f>IFERROR(__xludf.DUMMYFUNCTION("""COMPUTED_VALUE"""),"SCOPUS-000063")</f>
        <v>SCOPUS-000063</v>
      </c>
      <c r="B51" s="5" t="str">
        <f>IFERROR(__xludf.DUMMYFUNCTION("""COMPUTED_VALUE"""),"SCOPUS-000063-1")</f>
        <v>SCOPUS-000063-1</v>
      </c>
      <c r="C51" s="5" t="str">
        <f>IFERROR(__xludf.DUMMYFUNCTION("""COMPUTED_VALUE"""),"Data-Centric")</f>
        <v>Data-Centric</v>
      </c>
      <c r="D51" s="6" t="str">
        <f>IFERROR(__xludf.DUMMYFUNCTION("""COMPUTED_VALUE"""),"Synthetic Data Generation")</f>
        <v>Synthetic Data Generation</v>
      </c>
    </row>
    <row r="52" ht="15.75" customHeight="1">
      <c r="A52" s="5" t="str">
        <f>IFERROR(__xludf.DUMMYFUNCTION("""COMPUTED_VALUE"""),"SCOPUS-000063")</f>
        <v>SCOPUS-000063</v>
      </c>
      <c r="B52" s="5" t="str">
        <f>IFERROR(__xludf.DUMMYFUNCTION("""COMPUTED_VALUE"""),"SCOPUS-000063-2")</f>
        <v>SCOPUS-000063-2</v>
      </c>
      <c r="C52" s="5" t="str">
        <f>IFERROR(__xludf.DUMMYFUNCTION("""COMPUTED_VALUE"""),"Architectural")</f>
        <v>Architectural</v>
      </c>
      <c r="D52" s="6" t="str">
        <f>IFERROR(__xludf.DUMMYFUNCTION("""COMPUTED_VALUE"""),"Attention Mechanism")</f>
        <v>Attention Mechanism</v>
      </c>
    </row>
    <row r="53" ht="15.75" customHeight="1">
      <c r="A53" s="5" t="str">
        <f>IFERROR(__xludf.DUMMYFUNCTION("""COMPUTED_VALUE"""),"SCOPUS-000017")</f>
        <v>SCOPUS-000017</v>
      </c>
      <c r="B53" s="5" t="str">
        <f>IFERROR(__xludf.DUMMYFUNCTION("""COMPUTED_VALUE"""),"SCOPUS-000017-1")</f>
        <v>SCOPUS-000017-1</v>
      </c>
      <c r="C53" s="5" t="str">
        <f>IFERROR(__xludf.DUMMYFUNCTION("""COMPUTED_VALUE"""),"Architectural")</f>
        <v>Architectural</v>
      </c>
      <c r="D53" s="6" t="str">
        <f>IFERROR(__xludf.DUMMYFUNCTION("""COMPUTED_VALUE"""),"Attention Mechanism")</f>
        <v>Attention Mechanism</v>
      </c>
    </row>
    <row r="54" ht="15.75" customHeight="1">
      <c r="A54" s="5" t="str">
        <f>IFERROR(__xludf.DUMMYFUNCTION("""COMPUTED_VALUE"""),"SCOPUS-000017")</f>
        <v>SCOPUS-000017</v>
      </c>
      <c r="B54" s="5" t="str">
        <f>IFERROR(__xludf.DUMMYFUNCTION("""COMPUTED_VALUE"""),"SCOPUS-000017-2")</f>
        <v>SCOPUS-000017-2</v>
      </c>
      <c r="C54" s="5" t="str">
        <f>IFERROR(__xludf.DUMMYFUNCTION("""COMPUTED_VALUE"""),"Architectural")</f>
        <v>Architectural</v>
      </c>
      <c r="D54" s="6" t="str">
        <f>IFERROR(__xludf.DUMMYFUNCTION("""COMPUTED_VALUE"""),"Architecture Modification")</f>
        <v>Architecture Modification</v>
      </c>
    </row>
    <row r="55" ht="15.75" customHeight="1">
      <c r="A55" s="5" t="str">
        <f>IFERROR(__xludf.DUMMYFUNCTION("""COMPUTED_VALUE"""),"SCOPUS-000017")</f>
        <v>SCOPUS-000017</v>
      </c>
      <c r="B55" s="5" t="str">
        <f>IFERROR(__xludf.DUMMYFUNCTION("""COMPUTED_VALUE"""),"SCOPUS-000017-3")</f>
        <v>SCOPUS-000017-3</v>
      </c>
      <c r="C55" s="5" t="str">
        <f>IFERROR(__xludf.DUMMYFUNCTION("""COMPUTED_VALUE"""),"Architectural")</f>
        <v>Architectural</v>
      </c>
      <c r="D55" s="6" t="str">
        <f>IFERROR(__xludf.DUMMYFUNCTION("""COMPUTED_VALUE"""),"Loss Function Modification")</f>
        <v>Loss Function Modification</v>
      </c>
    </row>
    <row r="56" ht="15.75" customHeight="1">
      <c r="A56" s="5" t="str">
        <f>IFERROR(__xludf.DUMMYFUNCTION("""COMPUTED_VALUE"""),"SCOPUS-000244")</f>
        <v>SCOPUS-000244</v>
      </c>
      <c r="B56" s="5" t="str">
        <f>IFERROR(__xludf.DUMMYFUNCTION("""COMPUTED_VALUE"""),"SCOPUS-000244-1")</f>
        <v>SCOPUS-000244-1</v>
      </c>
      <c r="C56" s="5" t="str">
        <f>IFERROR(__xludf.DUMMYFUNCTION("""COMPUTED_VALUE"""),"Architectural")</f>
        <v>Architectural</v>
      </c>
      <c r="D56" s="6" t="str">
        <f>IFERROR(__xludf.DUMMYFUNCTION("""COMPUTED_VALUE"""),"Loss Function Modification")</f>
        <v>Loss Function Modification</v>
      </c>
    </row>
    <row r="57" ht="15.75" customHeight="1">
      <c r="A57" s="5" t="str">
        <f>IFERROR(__xludf.DUMMYFUNCTION("""COMPUTED_VALUE"""),"SCOPUS-000244")</f>
        <v>SCOPUS-000244</v>
      </c>
      <c r="B57" s="5" t="str">
        <f>IFERROR(__xludf.DUMMYFUNCTION("""COMPUTED_VALUE"""),"SCOPUS-000244-2")</f>
        <v>SCOPUS-000244-2</v>
      </c>
      <c r="C57" s="5" t="str">
        <f>IFERROR(__xludf.DUMMYFUNCTION("""COMPUTED_VALUE"""),"Architectural")</f>
        <v>Architectural</v>
      </c>
      <c r="D57" s="6" t="str">
        <f>IFERROR(__xludf.DUMMYFUNCTION("""COMPUTED_VALUE"""),"Architecture Modification")</f>
        <v>Architecture Modification</v>
      </c>
    </row>
    <row r="58" ht="15.75" customHeight="1">
      <c r="A58" s="5" t="str">
        <f>IFERROR(__xludf.DUMMYFUNCTION("""COMPUTED_VALUE"""),"SCOPUS-000064")</f>
        <v>SCOPUS-000064</v>
      </c>
      <c r="B58" s="5" t="str">
        <f>IFERROR(__xludf.DUMMYFUNCTION("""COMPUTED_VALUE"""),"SCOPUS-000064-1")</f>
        <v>SCOPUS-000064-1</v>
      </c>
      <c r="C58" s="5" t="str">
        <f>IFERROR(__xludf.DUMMYFUNCTION("""COMPUTED_VALUE"""),"Architectural")</f>
        <v>Architectural</v>
      </c>
      <c r="D58" s="6" t="str">
        <f>IFERROR(__xludf.DUMMYFUNCTION("""COMPUTED_VALUE"""),"Architecture Modification")</f>
        <v>Architecture Modification</v>
      </c>
    </row>
    <row r="59" ht="15.75" customHeight="1">
      <c r="A59" s="5" t="str">
        <f>IFERROR(__xludf.DUMMYFUNCTION("""COMPUTED_VALUE"""),"SCOPUS-000064")</f>
        <v>SCOPUS-000064</v>
      </c>
      <c r="B59" s="5" t="str">
        <f>IFERROR(__xludf.DUMMYFUNCTION("""COMPUTED_VALUE"""),"SCOPUS-000064-2")</f>
        <v>SCOPUS-000064-2</v>
      </c>
      <c r="C59" s="5" t="str">
        <f>IFERROR(__xludf.DUMMYFUNCTION("""COMPUTED_VALUE"""),"Data-Centric")</f>
        <v>Data-Centric</v>
      </c>
      <c r="D59" s="6" t="str">
        <f>IFERROR(__xludf.DUMMYFUNCTION("""COMPUTED_VALUE"""),"Data Processing")</f>
        <v>Data Processing</v>
      </c>
    </row>
    <row r="60" ht="15.75" customHeight="1">
      <c r="A60" s="5" t="str">
        <f>IFERROR(__xludf.DUMMYFUNCTION("""COMPUTED_VALUE"""),"SCOPUS-000320")</f>
        <v>SCOPUS-000320</v>
      </c>
      <c r="B60" s="5" t="str">
        <f>IFERROR(__xludf.DUMMYFUNCTION("""COMPUTED_VALUE"""),"SCOPUS-000320-1")</f>
        <v>SCOPUS-000320-1</v>
      </c>
      <c r="C60" s="5" t="str">
        <f>IFERROR(__xludf.DUMMYFUNCTION("""COMPUTED_VALUE"""),"Data-Centric")</f>
        <v>Data-Centric</v>
      </c>
      <c r="D60" s="6" t="str">
        <f>IFERROR(__xludf.DUMMYFUNCTION("""COMPUTED_VALUE"""),"Data Augmentation")</f>
        <v>Data Augmentation</v>
      </c>
    </row>
    <row r="61" ht="15.75" customHeight="1">
      <c r="A61" s="5" t="str">
        <f>IFERROR(__xludf.DUMMYFUNCTION("""COMPUTED_VALUE"""),"SCOPUS-000086")</f>
        <v>SCOPUS-000086</v>
      </c>
      <c r="B61" s="5" t="str">
        <f>IFERROR(__xludf.DUMMYFUNCTION("""COMPUTED_VALUE"""),"SCOPUS-000086-1")</f>
        <v>SCOPUS-000086-1</v>
      </c>
      <c r="C61" s="5" t="str">
        <f>IFERROR(__xludf.DUMMYFUNCTION("""COMPUTED_VALUE"""),"Data-Centric")</f>
        <v>Data-Centric</v>
      </c>
      <c r="D61" s="6" t="str">
        <f>IFERROR(__xludf.DUMMYFUNCTION("""COMPUTED_VALUE"""),"Pseudo Labeling")</f>
        <v>Pseudo Labeling</v>
      </c>
    </row>
    <row r="62" ht="15.75" customHeight="1">
      <c r="A62" s="5" t="str">
        <f>IFERROR(__xludf.DUMMYFUNCTION("""COMPUTED_VALUE"""),"SCOPUS-000652")</f>
        <v>SCOPUS-000652</v>
      </c>
      <c r="B62" s="5" t="str">
        <f>IFERROR(__xludf.DUMMYFUNCTION("""COMPUTED_VALUE"""),"SCOPUS-000652-1")</f>
        <v>SCOPUS-000652-1</v>
      </c>
      <c r="C62" s="5" t="str">
        <f>IFERROR(__xludf.DUMMYFUNCTION("""COMPUTED_VALUE"""),"Architectural")</f>
        <v>Architectural</v>
      </c>
      <c r="D62" s="6" t="str">
        <f>IFERROR(__xludf.DUMMYFUNCTION("""COMPUTED_VALUE"""),"Extreme Learning Machine (ELM)")</f>
        <v>Extreme Learning Machine (ELM)</v>
      </c>
    </row>
    <row r="63" ht="15.75" customHeight="1">
      <c r="A63" s="5" t="str">
        <f>IFERROR(__xludf.DUMMYFUNCTION("""COMPUTED_VALUE"""),"SCOPUS-000652")</f>
        <v>SCOPUS-000652</v>
      </c>
      <c r="B63" s="5" t="str">
        <f>IFERROR(__xludf.DUMMYFUNCTION("""COMPUTED_VALUE"""),"SCOPUS-000652-2")</f>
        <v>SCOPUS-000652-2</v>
      </c>
      <c r="C63" s="5" t="str">
        <f>IFERROR(__xludf.DUMMYFUNCTION("""COMPUTED_VALUE"""),"Data-Centric")</f>
        <v>Data-Centric</v>
      </c>
      <c r="D63" s="6" t="str">
        <f>IFERROR(__xludf.DUMMYFUNCTION("""COMPUTED_VALUE"""),"Feature Extraction")</f>
        <v>Feature Extraction</v>
      </c>
    </row>
    <row r="64" ht="15.75" customHeight="1">
      <c r="A64" s="5" t="str">
        <f>IFERROR(__xludf.DUMMYFUNCTION("""COMPUTED_VALUE"""),"SCOPUS-000146")</f>
        <v>SCOPUS-000146</v>
      </c>
      <c r="B64" s="5" t="str">
        <f>IFERROR(__xludf.DUMMYFUNCTION("""COMPUTED_VALUE"""),"SCOPUS-000146-1")</f>
        <v>SCOPUS-000146-1</v>
      </c>
      <c r="C64" s="5" t="str">
        <f>IFERROR(__xludf.DUMMYFUNCTION("""COMPUTED_VALUE"""),"Architectural")</f>
        <v>Architectural</v>
      </c>
      <c r="D64" s="6" t="str">
        <f>IFERROR(__xludf.DUMMYFUNCTION("""COMPUTED_VALUE"""),"Architecture Modification")</f>
        <v>Architecture Modification</v>
      </c>
    </row>
    <row r="65" ht="15.75" customHeight="1">
      <c r="A65" s="5" t="str">
        <f>IFERROR(__xludf.DUMMYFUNCTION("""COMPUTED_VALUE"""),"SCOPUS-000146")</f>
        <v>SCOPUS-000146</v>
      </c>
      <c r="B65" s="5" t="str">
        <f>IFERROR(__xludf.DUMMYFUNCTION("""COMPUTED_VALUE"""),"SCOPUS-000146-2")</f>
        <v>SCOPUS-000146-2</v>
      </c>
      <c r="C65" s="5" t="str">
        <f>IFERROR(__xludf.DUMMYFUNCTION("""COMPUTED_VALUE"""),"Data-Centric")</f>
        <v>Data-Centric</v>
      </c>
      <c r="D65" s="6" t="str">
        <f>IFERROR(__xludf.DUMMYFUNCTION("""COMPUTED_VALUE"""),"Dimensionality Reduction")</f>
        <v>Dimensionality Reduction</v>
      </c>
    </row>
    <row r="66" ht="15.75" customHeight="1">
      <c r="A66" s="5" t="str">
        <f>IFERROR(__xludf.DUMMYFUNCTION("""COMPUTED_VALUE"""),"SCOPUS-000407")</f>
        <v>SCOPUS-000407</v>
      </c>
      <c r="B66" s="5" t="str">
        <f>IFERROR(__xludf.DUMMYFUNCTION("""COMPUTED_VALUE"""),"SCOPUS-000407-1")</f>
        <v>SCOPUS-000407-1</v>
      </c>
      <c r="C66" s="5" t="str">
        <f>IFERROR(__xludf.DUMMYFUNCTION("""COMPUTED_VALUE"""),"Architectural")</f>
        <v>Architectural</v>
      </c>
      <c r="D66" s="6" t="str">
        <f>IFERROR(__xludf.DUMMYFUNCTION("""COMPUTED_VALUE"""),"Attention Mechanism")</f>
        <v>Attention Mechanism</v>
      </c>
    </row>
    <row r="67" ht="15.75" customHeight="1">
      <c r="A67" s="5" t="str">
        <f>IFERROR(__xludf.DUMMYFUNCTION("""COMPUTED_VALUE"""),"SCOPUS-000352")</f>
        <v>SCOPUS-000352</v>
      </c>
      <c r="B67" s="5" t="str">
        <f>IFERROR(__xludf.DUMMYFUNCTION("""COMPUTED_VALUE"""),"SCOPUS-000352-1")</f>
        <v>SCOPUS-000352-1</v>
      </c>
      <c r="C67" s="5" t="str">
        <f>IFERROR(__xludf.DUMMYFUNCTION("""COMPUTED_VALUE"""),"Architectural")</f>
        <v>Architectural</v>
      </c>
      <c r="D67" s="6" t="str">
        <f>IFERROR(__xludf.DUMMYFUNCTION("""COMPUTED_VALUE"""),"Architecture Modification")</f>
        <v>Architecture Modification</v>
      </c>
    </row>
    <row r="68" ht="15.75" customHeight="1">
      <c r="A68" s="5" t="str">
        <f>IFERROR(__xludf.DUMMYFUNCTION("""COMPUTED_VALUE"""),"SCOPUS-000352")</f>
        <v>SCOPUS-000352</v>
      </c>
      <c r="B68" s="5" t="str">
        <f>IFERROR(__xludf.DUMMYFUNCTION("""COMPUTED_VALUE"""),"SCOPUS-000352-2")</f>
        <v>SCOPUS-000352-2</v>
      </c>
      <c r="C68" s="5" t="str">
        <f>IFERROR(__xludf.DUMMYFUNCTION("""COMPUTED_VALUE"""),"Data-Centric")</f>
        <v>Data-Centric</v>
      </c>
      <c r="D68" s="6" t="str">
        <f>IFERROR(__xludf.DUMMYFUNCTION("""COMPUTED_VALUE"""),"Data Augmentation")</f>
        <v>Data Augmentation</v>
      </c>
    </row>
    <row r="69" ht="15.75" customHeight="1">
      <c r="A69" s="5" t="str">
        <f>IFERROR(__xludf.DUMMYFUNCTION("""COMPUTED_VALUE"""),"SCOPUS-000175")</f>
        <v>SCOPUS-000175</v>
      </c>
      <c r="B69" s="5" t="str">
        <f>IFERROR(__xludf.DUMMYFUNCTION("""COMPUTED_VALUE"""),"SCOPUS-000175-1")</f>
        <v>SCOPUS-000175-1</v>
      </c>
      <c r="C69" s="5" t="str">
        <f>IFERROR(__xludf.DUMMYFUNCTION("""COMPUTED_VALUE"""),"Architectural")</f>
        <v>Architectural</v>
      </c>
      <c r="D69" s="6" t="str">
        <f>IFERROR(__xludf.DUMMYFUNCTION("""COMPUTED_VALUE"""),"Architecture Modification")</f>
        <v>Architecture Modification</v>
      </c>
    </row>
    <row r="70" ht="15.75" customHeight="1">
      <c r="A70" s="5" t="str">
        <f>IFERROR(__xludf.DUMMYFUNCTION("""COMPUTED_VALUE"""),"SCOPUS-000175")</f>
        <v>SCOPUS-000175</v>
      </c>
      <c r="B70" s="5" t="str">
        <f>IFERROR(__xludf.DUMMYFUNCTION("""COMPUTED_VALUE"""),"SCOPUS-000175-2")</f>
        <v>SCOPUS-000175-2</v>
      </c>
      <c r="C70" s="5" t="str">
        <f>IFERROR(__xludf.DUMMYFUNCTION("""COMPUTED_VALUE"""),"Architectural")</f>
        <v>Architectural</v>
      </c>
      <c r="D70" s="6" t="str">
        <f>IFERROR(__xludf.DUMMYFUNCTION("""COMPUTED_VALUE"""),"Attention Mechanism")</f>
        <v>Attention Mechanism</v>
      </c>
    </row>
    <row r="71" ht="15.75" customHeight="1">
      <c r="A71" s="5" t="str">
        <f>IFERROR(__xludf.DUMMYFUNCTION("""COMPUTED_VALUE"""),"SCOPUS-000574")</f>
        <v>SCOPUS-000574</v>
      </c>
      <c r="B71" s="5" t="str">
        <f>IFERROR(__xludf.DUMMYFUNCTION("""COMPUTED_VALUE"""),"SCOPUS-000574-1")</f>
        <v>SCOPUS-000574-1</v>
      </c>
      <c r="C71" s="5" t="str">
        <f>IFERROR(__xludf.DUMMYFUNCTION("""COMPUTED_VALUE"""),"Data-Centric")</f>
        <v>Data-Centric</v>
      </c>
      <c r="D71" s="6" t="str">
        <f>IFERROR(__xludf.DUMMYFUNCTION("""COMPUTED_VALUE"""),"Domain Adaptation")</f>
        <v>Domain Adaptation</v>
      </c>
    </row>
    <row r="72" ht="15.75" customHeight="1">
      <c r="A72" s="5" t="str">
        <f>IFERROR(__xludf.DUMMYFUNCTION("""COMPUTED_VALUE"""),"SCOPUS-000358")</f>
        <v>SCOPUS-000358</v>
      </c>
      <c r="B72" s="5" t="str">
        <f>IFERROR(__xludf.DUMMYFUNCTION("""COMPUTED_VALUE"""),"SCOPUS-000358-1")</f>
        <v>SCOPUS-000358-1</v>
      </c>
      <c r="C72" s="5" t="str">
        <f>IFERROR(__xludf.DUMMYFUNCTION("""COMPUTED_VALUE"""),"Architectural")</f>
        <v>Architectural</v>
      </c>
      <c r="D72" s="6" t="str">
        <f>IFERROR(__xludf.DUMMYFUNCTION("""COMPUTED_VALUE"""),"Architecture Modification")</f>
        <v>Architecture Modification</v>
      </c>
    </row>
    <row r="73" ht="15.75" customHeight="1">
      <c r="A73" s="5" t="str">
        <f>IFERROR(__xludf.DUMMYFUNCTION("""COMPUTED_VALUE"""),"SCOPUS-000265")</f>
        <v>SCOPUS-000265</v>
      </c>
      <c r="B73" s="5" t="str">
        <f>IFERROR(__xludf.DUMMYFUNCTION("""COMPUTED_VALUE"""),"SCOPUS-000265-1")</f>
        <v>SCOPUS-000265-1</v>
      </c>
      <c r="C73" s="5" t="str">
        <f>IFERROR(__xludf.DUMMYFUNCTION("""COMPUTED_VALUE"""),"Data-Centric")</f>
        <v>Data-Centric</v>
      </c>
      <c r="D73" s="6" t="str">
        <f>IFERROR(__xludf.DUMMYFUNCTION("""COMPUTED_VALUE"""),"Data Augmentation")</f>
        <v>Data Augmentation</v>
      </c>
    </row>
    <row r="74" ht="15.75" customHeight="1">
      <c r="A74" s="5" t="str">
        <f>IFERROR(__xludf.DUMMYFUNCTION("""COMPUTED_VALUE"""),"SCOPUS-000265")</f>
        <v>SCOPUS-000265</v>
      </c>
      <c r="B74" s="5" t="str">
        <f>IFERROR(__xludf.DUMMYFUNCTION("""COMPUTED_VALUE"""),"SCOPUS-000265-2")</f>
        <v>SCOPUS-000265-2</v>
      </c>
      <c r="C74" s="5" t="str">
        <f>IFERROR(__xludf.DUMMYFUNCTION("""COMPUTED_VALUE"""),"Architectural")</f>
        <v>Architectural</v>
      </c>
      <c r="D74" s="6" t="str">
        <f>IFERROR(__xludf.DUMMYFUNCTION("""COMPUTED_VALUE"""),"Architecture Modification")</f>
        <v>Architecture Modification</v>
      </c>
    </row>
    <row r="75" ht="15.75" customHeight="1">
      <c r="A75" s="5" t="str">
        <f>IFERROR(__xludf.DUMMYFUNCTION("""COMPUTED_VALUE"""),"SCOPUS-000563")</f>
        <v>SCOPUS-000563</v>
      </c>
      <c r="B75" s="5" t="str">
        <f>IFERROR(__xludf.DUMMYFUNCTION("""COMPUTED_VALUE"""),"SCOPUS-000563-1")</f>
        <v>SCOPUS-000563-1</v>
      </c>
      <c r="C75" s="5" t="str">
        <f>IFERROR(__xludf.DUMMYFUNCTION("""COMPUTED_VALUE"""),"Architectural")</f>
        <v>Architectural</v>
      </c>
      <c r="D75" s="6" t="str">
        <f>IFERROR(__xludf.DUMMYFUNCTION("""COMPUTED_VALUE"""),"Architecture Modification")</f>
        <v>Architecture Modification</v>
      </c>
    </row>
    <row r="76" ht="15.75" customHeight="1">
      <c r="A76" s="5" t="str">
        <f>IFERROR(__xludf.DUMMYFUNCTION("""COMPUTED_VALUE"""),"SCOPUS-000563")</f>
        <v>SCOPUS-000563</v>
      </c>
      <c r="B76" s="5" t="str">
        <f>IFERROR(__xludf.DUMMYFUNCTION("""COMPUTED_VALUE"""),"SCOPUS-000563-2")</f>
        <v>SCOPUS-000563-2</v>
      </c>
      <c r="C76" s="5" t="str">
        <f>IFERROR(__xludf.DUMMYFUNCTION("""COMPUTED_VALUE"""),"Architectural")</f>
        <v>Architectural</v>
      </c>
      <c r="D76" s="6" t="str">
        <f>IFERROR(__xludf.DUMMYFUNCTION("""COMPUTED_VALUE"""),"Architecture Modification")</f>
        <v>Architecture Modification</v>
      </c>
    </row>
    <row r="77" ht="15.75" customHeight="1">
      <c r="A77" s="5" t="str">
        <f>IFERROR(__xludf.DUMMYFUNCTION("""COMPUTED_VALUE"""),"SCOPUS-000433")</f>
        <v>SCOPUS-000433</v>
      </c>
      <c r="B77" s="5" t="str">
        <f>IFERROR(__xludf.DUMMYFUNCTION("""COMPUTED_VALUE"""),"SCOPUS-000433-1")</f>
        <v>SCOPUS-000433-1</v>
      </c>
      <c r="C77" s="5" t="str">
        <f>IFERROR(__xludf.DUMMYFUNCTION("""COMPUTED_VALUE"""),"Architectural")</f>
        <v>Architectural</v>
      </c>
      <c r="D77" s="6" t="str">
        <f>IFERROR(__xludf.DUMMYFUNCTION("""COMPUTED_VALUE"""),"Attention Mechanism")</f>
        <v>Attention Mechanism</v>
      </c>
    </row>
    <row r="78" ht="15.75" customHeight="1">
      <c r="A78" s="5" t="str">
        <f>IFERROR(__xludf.DUMMYFUNCTION("""COMPUTED_VALUE"""),"SCOPUS-000433")</f>
        <v>SCOPUS-000433</v>
      </c>
      <c r="B78" s="5" t="str">
        <f>IFERROR(__xludf.DUMMYFUNCTION("""COMPUTED_VALUE"""),"SCOPUS-000433-2")</f>
        <v>SCOPUS-000433-2</v>
      </c>
      <c r="C78" s="5" t="str">
        <f>IFERROR(__xludf.DUMMYFUNCTION("""COMPUTED_VALUE"""),"Data-Centric")</f>
        <v>Data-Centric</v>
      </c>
      <c r="D78" s="6" t="str">
        <f>IFERROR(__xludf.DUMMYFUNCTION("""COMPUTED_VALUE"""),"Transfer Learning")</f>
        <v>Transfer Learning</v>
      </c>
    </row>
    <row r="79" ht="15.75" customHeight="1">
      <c r="A79" s="5" t="str">
        <f>IFERROR(__xludf.DUMMYFUNCTION("""COMPUTED_VALUE"""),"SCOPUS-000333")</f>
        <v>SCOPUS-000333</v>
      </c>
      <c r="B79" s="5" t="str">
        <f>IFERROR(__xludf.DUMMYFUNCTION("""COMPUTED_VALUE"""),"SCOPUS-000333-1")</f>
        <v>SCOPUS-000333-1</v>
      </c>
      <c r="C79" s="5" t="str">
        <f>IFERROR(__xludf.DUMMYFUNCTION("""COMPUTED_VALUE"""),"Data-Centric")</f>
        <v>Data-Centric</v>
      </c>
      <c r="D79" s="6" t="str">
        <f>IFERROR(__xludf.DUMMYFUNCTION("""COMPUTED_VALUE"""),"Synthetic Data Generation")</f>
        <v>Synthetic Data Generation</v>
      </c>
    </row>
    <row r="80" ht="15.75" customHeight="1">
      <c r="A80" s="5" t="str">
        <f>IFERROR(__xludf.DUMMYFUNCTION("""COMPUTED_VALUE"""),"SCOPUS-000333")</f>
        <v>SCOPUS-000333</v>
      </c>
      <c r="B80" s="5" t="str">
        <f>IFERROR(__xludf.DUMMYFUNCTION("""COMPUTED_VALUE"""),"SCOPUS-000333-2")</f>
        <v>SCOPUS-000333-2</v>
      </c>
      <c r="C80" s="5" t="str">
        <f>IFERROR(__xludf.DUMMYFUNCTION("""COMPUTED_VALUE"""),"Data-Centric")</f>
        <v>Data-Centric</v>
      </c>
      <c r="D80" s="6" t="str">
        <f>IFERROR(__xludf.DUMMYFUNCTION("""COMPUTED_VALUE"""),"Synthetic Data Generation")</f>
        <v>Synthetic Data Generation</v>
      </c>
    </row>
    <row r="81" ht="15.75" customHeight="1">
      <c r="A81" s="5" t="str">
        <f>IFERROR(__xludf.DUMMYFUNCTION("""COMPUTED_VALUE"""),"SCOPUS-000391")</f>
        <v>SCOPUS-000391</v>
      </c>
      <c r="B81" s="5" t="str">
        <f>IFERROR(__xludf.DUMMYFUNCTION("""COMPUTED_VALUE"""),"SCOPUS-000391-1")</f>
        <v>SCOPUS-000391-1</v>
      </c>
      <c r="C81" s="5" t="str">
        <f>IFERROR(__xludf.DUMMYFUNCTION("""COMPUTED_VALUE"""),"Data-Centric")</f>
        <v>Data-Centric</v>
      </c>
      <c r="D81" s="6" t="str">
        <f>IFERROR(__xludf.DUMMYFUNCTION("""COMPUTED_VALUE"""),"Semi-Supervised Learning")</f>
        <v>Semi-Supervised Learning</v>
      </c>
    </row>
    <row r="82" ht="15.75" customHeight="1">
      <c r="A82" s="5" t="str">
        <f>IFERROR(__xludf.DUMMYFUNCTION("""COMPUTED_VALUE"""),"SCOPUS-000391")</f>
        <v>SCOPUS-000391</v>
      </c>
      <c r="B82" s="5" t="str">
        <f>IFERROR(__xludf.DUMMYFUNCTION("""COMPUTED_VALUE"""),"SCOPUS-000391-2")</f>
        <v>SCOPUS-000391-2</v>
      </c>
      <c r="C82" s="5" t="str">
        <f>IFERROR(__xludf.DUMMYFUNCTION("""COMPUTED_VALUE"""),"Architectural")</f>
        <v>Architectural</v>
      </c>
      <c r="D82" s="6" t="str">
        <f>IFERROR(__xludf.DUMMYFUNCTION("""COMPUTED_VALUE"""),"Architecture Modification")</f>
        <v>Architecture Modification</v>
      </c>
    </row>
    <row r="83" ht="15.75" customHeight="1">
      <c r="A83" s="5" t="str">
        <f>IFERROR(__xludf.DUMMYFUNCTION("""COMPUTED_VALUE"""),"SCOPUS-000637")</f>
        <v>SCOPUS-000637</v>
      </c>
      <c r="B83" s="5" t="str">
        <f>IFERROR(__xludf.DUMMYFUNCTION("""COMPUTED_VALUE"""),"SCOPUS-000637-1")</f>
        <v>SCOPUS-000637-1</v>
      </c>
      <c r="C83" s="5" t="str">
        <f>IFERROR(__xludf.DUMMYFUNCTION("""COMPUTED_VALUE"""),"Data-Centric")</f>
        <v>Data-Centric</v>
      </c>
      <c r="D83" s="6" t="str">
        <f>IFERROR(__xludf.DUMMYFUNCTION("""COMPUTED_VALUE"""),"Synthetic Data Generation")</f>
        <v>Synthetic Data Generation</v>
      </c>
    </row>
    <row r="84" ht="15.75" customHeight="1">
      <c r="A84" s="5" t="str">
        <f>IFERROR(__xludf.DUMMYFUNCTION("""COMPUTED_VALUE"""),"SCOPUS-000637")</f>
        <v>SCOPUS-000637</v>
      </c>
      <c r="B84" s="5" t="str">
        <f>IFERROR(__xludf.DUMMYFUNCTION("""COMPUTED_VALUE"""),"SCOPUS-000637-2")</f>
        <v>SCOPUS-000637-2</v>
      </c>
      <c r="C84" s="5" t="str">
        <f>IFERROR(__xludf.DUMMYFUNCTION("""COMPUTED_VALUE"""),"Architectural")</f>
        <v>Architectural</v>
      </c>
      <c r="D84" s="6" t="str">
        <f>IFERROR(__xludf.DUMMYFUNCTION("""COMPUTED_VALUE"""),"Architecture Modification")</f>
        <v>Architecture Modification</v>
      </c>
    </row>
    <row r="85" ht="15.75" customHeight="1">
      <c r="A85" s="5" t="str">
        <f>IFERROR(__xludf.DUMMYFUNCTION("""COMPUTED_VALUE"""),"SCOPUS-000700")</f>
        <v>SCOPUS-000700</v>
      </c>
      <c r="B85" s="5" t="str">
        <f>IFERROR(__xludf.DUMMYFUNCTION("""COMPUTED_VALUE"""),"SCOPUS-000700-1")</f>
        <v>SCOPUS-000700-1</v>
      </c>
      <c r="C85" s="5" t="str">
        <f>IFERROR(__xludf.DUMMYFUNCTION("""COMPUTED_VALUE"""),"Architectural")</f>
        <v>Architectural</v>
      </c>
      <c r="D85" s="6" t="str">
        <f>IFERROR(__xludf.DUMMYFUNCTION("""COMPUTED_VALUE"""),"Architecture Modification")</f>
        <v>Architecture Modification</v>
      </c>
    </row>
    <row r="86" ht="15.75" customHeight="1">
      <c r="A86" s="5" t="str">
        <f>IFERROR(__xludf.DUMMYFUNCTION("""COMPUTED_VALUE"""),"SCOPUS-000700")</f>
        <v>SCOPUS-000700</v>
      </c>
      <c r="B86" s="5" t="str">
        <f>IFERROR(__xludf.DUMMYFUNCTION("""COMPUTED_VALUE"""),"SCOPUS-000700-2")</f>
        <v>SCOPUS-000700-2</v>
      </c>
      <c r="C86" s="5" t="str">
        <f>IFERROR(__xludf.DUMMYFUNCTION("""COMPUTED_VALUE"""),"Data-Centric")</f>
        <v>Data-Centric</v>
      </c>
      <c r="D86" s="6" t="str">
        <f>IFERROR(__xludf.DUMMYFUNCTION("""COMPUTED_VALUE"""),"Data Augmentation")</f>
        <v>Data Augmentation</v>
      </c>
    </row>
    <row r="87" ht="15.75" customHeight="1">
      <c r="A87" s="5" t="str">
        <f>IFERROR(__xludf.DUMMYFUNCTION("""COMPUTED_VALUE"""),"SCOPUS-000719")</f>
        <v>SCOPUS-000719</v>
      </c>
      <c r="B87" s="5" t="str">
        <f>IFERROR(__xludf.DUMMYFUNCTION("""COMPUTED_VALUE"""),"SCOPUS-000719-1")</f>
        <v>SCOPUS-000719-1</v>
      </c>
      <c r="C87" s="5" t="str">
        <f>IFERROR(__xludf.DUMMYFUNCTION("""COMPUTED_VALUE"""),"Architectural")</f>
        <v>Architectural</v>
      </c>
      <c r="D87" s="6" t="str">
        <f>IFERROR(__xludf.DUMMYFUNCTION("""COMPUTED_VALUE"""),"Architecture Modification")</f>
        <v>Architecture Modification</v>
      </c>
    </row>
    <row r="88" ht="15.75" customHeight="1">
      <c r="A88" s="5" t="str">
        <f>IFERROR(__xludf.DUMMYFUNCTION("""COMPUTED_VALUE"""),"SCOPUS-000719")</f>
        <v>SCOPUS-000719</v>
      </c>
      <c r="B88" s="5" t="str">
        <f>IFERROR(__xludf.DUMMYFUNCTION("""COMPUTED_VALUE"""),"SCOPUS-000719-2")</f>
        <v>SCOPUS-000719-2</v>
      </c>
      <c r="C88" s="5" t="str">
        <f>IFERROR(__xludf.DUMMYFUNCTION("""COMPUTED_VALUE"""),"Architectural")</f>
        <v>Architectural</v>
      </c>
      <c r="D88" s="6" t="str">
        <f>IFERROR(__xludf.DUMMYFUNCTION("""COMPUTED_VALUE"""),"Architecture Modification")</f>
        <v>Architecture Modification</v>
      </c>
    </row>
    <row r="89" ht="15.75" customHeight="1">
      <c r="A89" s="5" t="str">
        <f>IFERROR(__xludf.DUMMYFUNCTION("""COMPUTED_VALUE"""),"SCOPUS-000713")</f>
        <v>SCOPUS-000713</v>
      </c>
      <c r="B89" s="5" t="str">
        <f>IFERROR(__xludf.DUMMYFUNCTION("""COMPUTED_VALUE"""),"SCOPUS-000713-1")</f>
        <v>SCOPUS-000713-1</v>
      </c>
      <c r="C89" s="5" t="str">
        <f>IFERROR(__xludf.DUMMYFUNCTION("""COMPUTED_VALUE"""),"Data-Centric")</f>
        <v>Data-Centric</v>
      </c>
      <c r="D89" s="6" t="str">
        <f>IFERROR(__xludf.DUMMYFUNCTION("""COMPUTED_VALUE"""),"Synthetic Data Generation")</f>
        <v>Synthetic Data Generation</v>
      </c>
    </row>
    <row r="90" ht="15.75" customHeight="1">
      <c r="A90" s="5" t="str">
        <f>IFERROR(__xludf.DUMMYFUNCTION("""COMPUTED_VALUE"""),"SCOPUS-000713")</f>
        <v>SCOPUS-000713</v>
      </c>
      <c r="B90" s="5" t="str">
        <f>IFERROR(__xludf.DUMMYFUNCTION("""COMPUTED_VALUE"""),"SCOPUS-000713-2")</f>
        <v>SCOPUS-000713-2</v>
      </c>
      <c r="C90" s="5" t="str">
        <f>IFERROR(__xludf.DUMMYFUNCTION("""COMPUTED_VALUE"""),"Data-Centric")</f>
        <v>Data-Centric</v>
      </c>
      <c r="D90" s="6" t="str">
        <f>IFERROR(__xludf.DUMMYFUNCTION("""COMPUTED_VALUE"""),"Transfer Learning")</f>
        <v>Transfer Learning</v>
      </c>
    </row>
    <row r="91" ht="15.75" customHeight="1">
      <c r="A91" s="5" t="str">
        <f>IFERROR(__xludf.DUMMYFUNCTION("""COMPUTED_VALUE"""),"SCOPUS-000448")</f>
        <v>SCOPUS-000448</v>
      </c>
      <c r="B91" s="5" t="str">
        <f>IFERROR(__xludf.DUMMYFUNCTION("""COMPUTED_VALUE"""),"SCOPUS-000448-1")</f>
        <v>SCOPUS-000448-1</v>
      </c>
      <c r="C91" s="5" t="str">
        <f>IFERROR(__xludf.DUMMYFUNCTION("""COMPUTED_VALUE"""),"Architectural")</f>
        <v>Architectural</v>
      </c>
      <c r="D91" s="6" t="str">
        <f>IFERROR(__xludf.DUMMYFUNCTION("""COMPUTED_VALUE"""),"Architecture Modification")</f>
        <v>Architecture Modification</v>
      </c>
    </row>
    <row r="92" ht="15.75" customHeight="1">
      <c r="A92" s="5" t="str">
        <f>IFERROR(__xludf.DUMMYFUNCTION("""COMPUTED_VALUE"""),"SCOPUS-000448")</f>
        <v>SCOPUS-000448</v>
      </c>
      <c r="B92" s="5" t="str">
        <f>IFERROR(__xludf.DUMMYFUNCTION("""COMPUTED_VALUE"""),"SCOPUS-000448-2")</f>
        <v>SCOPUS-000448-2</v>
      </c>
      <c r="C92" s="5" t="str">
        <f>IFERROR(__xludf.DUMMYFUNCTION("""COMPUTED_VALUE"""),"Architectural")</f>
        <v>Architectural</v>
      </c>
      <c r="D92" s="6" t="str">
        <f>IFERROR(__xludf.DUMMYFUNCTION("""COMPUTED_VALUE"""),"Architecture Modification")</f>
        <v>Architecture Modification</v>
      </c>
    </row>
    <row r="93" ht="15.75" customHeight="1">
      <c r="A93" s="5" t="str">
        <f>IFERROR(__xludf.DUMMYFUNCTION("""COMPUTED_VALUE"""),"SCOPUS-000375")</f>
        <v>SCOPUS-000375</v>
      </c>
      <c r="B93" s="5" t="str">
        <f>IFERROR(__xludf.DUMMYFUNCTION("""COMPUTED_VALUE"""),"SCOPUS-000375-1")</f>
        <v>SCOPUS-000375-1</v>
      </c>
      <c r="C93" s="5" t="str">
        <f>IFERROR(__xludf.DUMMYFUNCTION("""COMPUTED_VALUE"""),"Architectural")</f>
        <v>Architectural</v>
      </c>
      <c r="D93" s="6" t="str">
        <f>IFERROR(__xludf.DUMMYFUNCTION("""COMPUTED_VALUE"""),"Architecture Modification")</f>
        <v>Architecture Modification</v>
      </c>
    </row>
    <row r="94" ht="15.75" customHeight="1">
      <c r="A94" s="5" t="str">
        <f>IFERROR(__xludf.DUMMYFUNCTION("""COMPUTED_VALUE"""),"SCOPUS-000375")</f>
        <v>SCOPUS-000375</v>
      </c>
      <c r="B94" s="5" t="str">
        <f>IFERROR(__xludf.DUMMYFUNCTION("""COMPUTED_VALUE"""),"SCOPUS-000375-2")</f>
        <v>SCOPUS-000375-2</v>
      </c>
      <c r="C94" s="5" t="str">
        <f>IFERROR(__xludf.DUMMYFUNCTION("""COMPUTED_VALUE"""),"Architectural")</f>
        <v>Architectural</v>
      </c>
      <c r="D94" s="6" t="str">
        <f>IFERROR(__xludf.DUMMYFUNCTION("""COMPUTED_VALUE"""),"Attention Mechanism")</f>
        <v>Attention Mechanism</v>
      </c>
    </row>
    <row r="95" ht="15.75" customHeight="1">
      <c r="A95" s="5" t="str">
        <f>IFERROR(__xludf.DUMMYFUNCTION("""COMPUTED_VALUE"""),"SCOPUS-000375")</f>
        <v>SCOPUS-000375</v>
      </c>
      <c r="B95" s="5" t="str">
        <f>IFERROR(__xludf.DUMMYFUNCTION("""COMPUTED_VALUE"""),"SCOPUS-000375-3")</f>
        <v>SCOPUS-000375-3</v>
      </c>
      <c r="C95" s="5" t="str">
        <f>IFERROR(__xludf.DUMMYFUNCTION("""COMPUTED_VALUE"""),"Architectural")</f>
        <v>Architectural</v>
      </c>
      <c r="D95" s="6" t="str">
        <f>IFERROR(__xludf.DUMMYFUNCTION("""COMPUTED_VALUE"""),"Architecture Modification")</f>
        <v>Architecture Modification</v>
      </c>
    </row>
    <row r="96" ht="15.75" customHeight="1">
      <c r="A96" s="5" t="str">
        <f>IFERROR(__xludf.DUMMYFUNCTION("""COMPUTED_VALUE"""),"SCOPUS-000261")</f>
        <v>SCOPUS-000261</v>
      </c>
      <c r="B96" s="5" t="str">
        <f>IFERROR(__xludf.DUMMYFUNCTION("""COMPUTED_VALUE"""),"SCOPUS-000261-1")</f>
        <v>SCOPUS-000261-1</v>
      </c>
      <c r="C96" s="5" t="str">
        <f>IFERROR(__xludf.DUMMYFUNCTION("""COMPUTED_VALUE"""),"Data-Centric")</f>
        <v>Data-Centric</v>
      </c>
      <c r="D96" s="6" t="str">
        <f>IFERROR(__xludf.DUMMYFUNCTION("""COMPUTED_VALUE"""),"Transfer Learning")</f>
        <v>Transfer Learning</v>
      </c>
    </row>
    <row r="97" ht="15.75" customHeight="1">
      <c r="A97" s="5" t="str">
        <f>IFERROR(__xludf.DUMMYFUNCTION("""COMPUTED_VALUE"""),"SCOPUS-000261")</f>
        <v>SCOPUS-000261</v>
      </c>
      <c r="B97" s="5" t="str">
        <f>IFERROR(__xludf.DUMMYFUNCTION("""COMPUTED_VALUE"""),"SCOPUS-000261-2")</f>
        <v>SCOPUS-000261-2</v>
      </c>
      <c r="C97" s="5" t="str">
        <f>IFERROR(__xludf.DUMMYFUNCTION("""COMPUTED_VALUE"""),"Data-Centric")</f>
        <v>Data-Centric</v>
      </c>
      <c r="D97" s="6" t="str">
        <f>IFERROR(__xludf.DUMMYFUNCTION("""COMPUTED_VALUE"""),"Data Processing")</f>
        <v>Data Processing</v>
      </c>
    </row>
    <row r="98" ht="15.75" customHeight="1">
      <c r="A98" s="5" t="str">
        <f>IFERROR(__xludf.DUMMYFUNCTION("""COMPUTED_VALUE"""),"SCOPUS-000584")</f>
        <v>SCOPUS-000584</v>
      </c>
      <c r="B98" s="5" t="str">
        <f>IFERROR(__xludf.DUMMYFUNCTION("""COMPUTED_VALUE"""),"SCOPUS-000584-1")</f>
        <v>SCOPUS-000584-1</v>
      </c>
      <c r="C98" s="5" t="str">
        <f>IFERROR(__xludf.DUMMYFUNCTION("""COMPUTED_VALUE"""),"Architectural")</f>
        <v>Architectural</v>
      </c>
      <c r="D98" s="6" t="str">
        <f>IFERROR(__xludf.DUMMYFUNCTION("""COMPUTED_VALUE"""),"Attention Mechanism")</f>
        <v>Attention Mechanism</v>
      </c>
    </row>
    <row r="99" ht="15.75" customHeight="1">
      <c r="A99" s="5" t="str">
        <f>IFERROR(__xludf.DUMMYFUNCTION("""COMPUTED_VALUE"""),"SCOPUS-000584")</f>
        <v>SCOPUS-000584</v>
      </c>
      <c r="B99" s="5" t="str">
        <f>IFERROR(__xludf.DUMMYFUNCTION("""COMPUTED_VALUE"""),"SCOPUS-000584-2")</f>
        <v>SCOPUS-000584-2</v>
      </c>
      <c r="C99" s="5" t="str">
        <f>IFERROR(__xludf.DUMMYFUNCTION("""COMPUTED_VALUE"""),"Architectural")</f>
        <v>Architectural</v>
      </c>
      <c r="D99" s="6" t="str">
        <f>IFERROR(__xludf.DUMMYFUNCTION("""COMPUTED_VALUE"""),"Architecture Modification")</f>
        <v>Architecture Modification</v>
      </c>
    </row>
    <row r="100" ht="15.75" customHeight="1">
      <c r="A100" s="5" t="str">
        <f>IFERROR(__xludf.DUMMYFUNCTION("""COMPUTED_VALUE"""),"SCOPUS-000584")</f>
        <v>SCOPUS-000584</v>
      </c>
      <c r="B100" s="5" t="str">
        <f>IFERROR(__xludf.DUMMYFUNCTION("""COMPUTED_VALUE"""),"SCOPUS-000584-3")</f>
        <v>SCOPUS-000584-3</v>
      </c>
      <c r="C100" s="5" t="str">
        <f>IFERROR(__xludf.DUMMYFUNCTION("""COMPUTED_VALUE"""),"Architectural")</f>
        <v>Architectural</v>
      </c>
      <c r="D100" s="6" t="str">
        <f>IFERROR(__xludf.DUMMYFUNCTION("""COMPUTED_VALUE"""),"Architecture Modification")</f>
        <v>Architecture Modification</v>
      </c>
    </row>
    <row r="101" ht="15.75" customHeight="1">
      <c r="A101" s="5" t="str">
        <f>IFERROR(__xludf.DUMMYFUNCTION("""COMPUTED_VALUE"""),"WEBSCI-000524")</f>
        <v>WEBSCI-000524</v>
      </c>
      <c r="B101" s="5" t="str">
        <f>IFERROR(__xludf.DUMMYFUNCTION("""COMPUTED_VALUE"""),"WEBSCI-000524-1")</f>
        <v>WEBSCI-000524-1</v>
      </c>
      <c r="C101" s="5" t="str">
        <f>IFERROR(__xludf.DUMMYFUNCTION("""COMPUTED_VALUE"""),"Architectural")</f>
        <v>Architectural</v>
      </c>
      <c r="D101" s="6" t="str">
        <f>IFERROR(__xludf.DUMMYFUNCTION("""COMPUTED_VALUE"""),"Inference Optimization (TensorRT)")</f>
        <v>Inference Optimization (TensorRT)</v>
      </c>
    </row>
    <row r="102" ht="15.75" customHeight="1">
      <c r="A102" s="5" t="str">
        <f>IFERROR(__xludf.DUMMYFUNCTION("""COMPUTED_VALUE"""),"SCOPUS-000370")</f>
        <v>SCOPUS-000370</v>
      </c>
      <c r="B102" s="5" t="str">
        <f>IFERROR(__xludf.DUMMYFUNCTION("""COMPUTED_VALUE"""),"SCOPUS-000370-1")</f>
        <v>SCOPUS-000370-1</v>
      </c>
      <c r="C102" s="5" t="str">
        <f>IFERROR(__xludf.DUMMYFUNCTION("""COMPUTED_VALUE"""),"Data-Centric")</f>
        <v>Data-Centric</v>
      </c>
      <c r="D102" s="6" t="str">
        <f>IFERROR(__xludf.DUMMYFUNCTION("""COMPUTED_VALUE"""),"Data Processing")</f>
        <v>Data Processing</v>
      </c>
    </row>
    <row r="103" ht="15.75" customHeight="1">
      <c r="A103" s="5" t="str">
        <f>IFERROR(__xludf.DUMMYFUNCTION("""COMPUTED_VALUE"""),"SCOPUS-000370")</f>
        <v>SCOPUS-000370</v>
      </c>
      <c r="B103" s="5" t="str">
        <f>IFERROR(__xludf.DUMMYFUNCTION("""COMPUTED_VALUE"""),"SCOPUS-000370-2")</f>
        <v>SCOPUS-000370-2</v>
      </c>
      <c r="C103" s="5" t="str">
        <f>IFERROR(__xludf.DUMMYFUNCTION("""COMPUTED_VALUE"""),"Data-Centric")</f>
        <v>Data-Centric</v>
      </c>
      <c r="D103" s="6" t="str">
        <f>IFERROR(__xludf.DUMMYFUNCTION("""COMPUTED_VALUE"""),"Data Augmentation")</f>
        <v>Data Augmentation</v>
      </c>
    </row>
    <row r="104" ht="15.75" customHeight="1">
      <c r="A104" s="5" t="str">
        <f>IFERROR(__xludf.DUMMYFUNCTION("""COMPUTED_VALUE"""),"SCOPUS-000370")</f>
        <v>SCOPUS-000370</v>
      </c>
      <c r="B104" s="5" t="str">
        <f>IFERROR(__xludf.DUMMYFUNCTION("""COMPUTED_VALUE"""),"SCOPUS-000370-3")</f>
        <v>SCOPUS-000370-3</v>
      </c>
      <c r="C104" s="5" t="str">
        <f>IFERROR(__xludf.DUMMYFUNCTION("""COMPUTED_VALUE"""),"Architectural")</f>
        <v>Architectural</v>
      </c>
      <c r="D104" s="6" t="str">
        <f>IFERROR(__xludf.DUMMYFUNCTION("""COMPUTED_VALUE"""),"Architecture Modification")</f>
        <v>Architecture Modification</v>
      </c>
    </row>
    <row r="105" ht="15.75" customHeight="1">
      <c r="A105" s="5" t="str">
        <f>IFERROR(__xludf.DUMMYFUNCTION("""COMPUTED_VALUE"""),"SCOPUS-000706")</f>
        <v>SCOPUS-000706</v>
      </c>
      <c r="B105" s="5" t="str">
        <f>IFERROR(__xludf.DUMMYFUNCTION("""COMPUTED_VALUE"""),"SCOPUS-000706-1")</f>
        <v>SCOPUS-000706-1</v>
      </c>
      <c r="C105" s="5" t="str">
        <f>IFERROR(__xludf.DUMMYFUNCTION("""COMPUTED_VALUE"""),"Architectural")</f>
        <v>Architectural</v>
      </c>
      <c r="D105" s="6" t="str">
        <f>IFERROR(__xludf.DUMMYFUNCTION("""COMPUTED_VALUE"""),"Architecture Modification")</f>
        <v>Architecture Modification</v>
      </c>
    </row>
    <row r="106" ht="15.75" customHeight="1">
      <c r="A106" s="5" t="str">
        <f>IFERROR(__xludf.DUMMYFUNCTION("""COMPUTED_VALUE"""),"SCOPUS-000013")</f>
        <v>SCOPUS-000013</v>
      </c>
      <c r="B106" s="5" t="str">
        <f>IFERROR(__xludf.DUMMYFUNCTION("""COMPUTED_VALUE"""),"SCOPUS-000013-1")</f>
        <v>SCOPUS-000013-1</v>
      </c>
      <c r="C106" s="5" t="str">
        <f>IFERROR(__xludf.DUMMYFUNCTION("""COMPUTED_VALUE"""),"Architectural")</f>
        <v>Architectural</v>
      </c>
      <c r="D106" s="6" t="str">
        <f>IFERROR(__xludf.DUMMYFUNCTION("""COMPUTED_VALUE"""),"Architecture Modification")</f>
        <v>Architecture Modification</v>
      </c>
    </row>
    <row r="107" ht="15.75" customHeight="1">
      <c r="A107" s="5" t="str">
        <f>IFERROR(__xludf.DUMMYFUNCTION("""COMPUTED_VALUE"""),"SCOPUS-000013")</f>
        <v>SCOPUS-000013</v>
      </c>
      <c r="B107" s="5" t="str">
        <f>IFERROR(__xludf.DUMMYFUNCTION("""COMPUTED_VALUE"""),"SCOPUS-000013-2")</f>
        <v>SCOPUS-000013-2</v>
      </c>
      <c r="C107" s="5" t="str">
        <f>IFERROR(__xludf.DUMMYFUNCTION("""COMPUTED_VALUE"""),"Architectural")</f>
        <v>Architectural</v>
      </c>
      <c r="D107" s="6" t="str">
        <f>IFERROR(__xludf.DUMMYFUNCTION("""COMPUTED_VALUE"""),"Architecture Modification")</f>
        <v>Architecture Modification</v>
      </c>
    </row>
    <row r="108" ht="15.75" customHeight="1">
      <c r="A108" s="5" t="str">
        <f>IFERROR(__xludf.DUMMYFUNCTION("""COMPUTED_VALUE"""),"SCOPUS-000642")</f>
        <v>SCOPUS-000642</v>
      </c>
      <c r="B108" s="5" t="str">
        <f>IFERROR(__xludf.DUMMYFUNCTION("""COMPUTED_VALUE"""),"SCOPUS-000642-1")</f>
        <v>SCOPUS-000642-1</v>
      </c>
      <c r="C108" s="5" t="str">
        <f>IFERROR(__xludf.DUMMYFUNCTION("""COMPUTED_VALUE"""),"Architectural")</f>
        <v>Architectural</v>
      </c>
      <c r="D108" s="6" t="str">
        <f>IFERROR(__xludf.DUMMYFUNCTION("""COMPUTED_VALUE"""),"Architecture Modification")</f>
        <v>Architecture Modification</v>
      </c>
    </row>
    <row r="109" ht="15.75" customHeight="1">
      <c r="A109" s="5" t="str">
        <f>IFERROR(__xludf.DUMMYFUNCTION("""COMPUTED_VALUE"""),"SCOPUS-000132")</f>
        <v>SCOPUS-000132</v>
      </c>
      <c r="B109" s="5" t="str">
        <f>IFERROR(__xludf.DUMMYFUNCTION("""COMPUTED_VALUE"""),"SCOPUS-000132-1")</f>
        <v>SCOPUS-000132-1</v>
      </c>
      <c r="C109" s="5" t="str">
        <f>IFERROR(__xludf.DUMMYFUNCTION("""COMPUTED_VALUE"""),"Data-Centric")</f>
        <v>Data-Centric</v>
      </c>
      <c r="D109" s="6" t="str">
        <f>IFERROR(__xludf.DUMMYFUNCTION("""COMPUTED_VALUE"""),"Data Augmentation")</f>
        <v>Data Augmentation</v>
      </c>
    </row>
    <row r="110" ht="15.75" customHeight="1">
      <c r="A110" s="5" t="str">
        <f>IFERROR(__xludf.DUMMYFUNCTION("""COMPUTED_VALUE"""),"SCOPUS-000132")</f>
        <v>SCOPUS-000132</v>
      </c>
      <c r="B110" s="5" t="str">
        <f>IFERROR(__xludf.DUMMYFUNCTION("""COMPUTED_VALUE"""),"SCOPUS-000132-2")</f>
        <v>SCOPUS-000132-2</v>
      </c>
      <c r="C110" s="5" t="str">
        <f>IFERROR(__xludf.DUMMYFUNCTION("""COMPUTED_VALUE"""),"Data-Centric")</f>
        <v>Data-Centric</v>
      </c>
      <c r="D110" s="6" t="str">
        <f>IFERROR(__xludf.DUMMYFUNCTION("""COMPUTED_VALUE"""),"Data Augmentation")</f>
        <v>Data Augmentation</v>
      </c>
    </row>
    <row r="111" ht="15.75" customHeight="1">
      <c r="A111" s="5" t="str">
        <f>IFERROR(__xludf.DUMMYFUNCTION("""COMPUTED_VALUE"""),"SCOPUS-000132")</f>
        <v>SCOPUS-000132</v>
      </c>
      <c r="B111" s="5" t="str">
        <f>IFERROR(__xludf.DUMMYFUNCTION("""COMPUTED_VALUE"""),"SCOPUS-000132-3")</f>
        <v>SCOPUS-000132-3</v>
      </c>
      <c r="C111" s="5" t="str">
        <f>IFERROR(__xludf.DUMMYFUNCTION("""COMPUTED_VALUE"""),"Architectural")</f>
        <v>Architectural</v>
      </c>
      <c r="D111" s="6" t="str">
        <f>IFERROR(__xludf.DUMMYFUNCTION("""COMPUTED_VALUE"""),"Architecture Modification")</f>
        <v>Architecture Modification</v>
      </c>
    </row>
    <row r="112" ht="15.75" customHeight="1">
      <c r="A112" s="5" t="str">
        <f>IFERROR(__xludf.DUMMYFUNCTION("""COMPUTED_VALUE"""),"SCOPUS-000121")</f>
        <v>SCOPUS-000121</v>
      </c>
      <c r="B112" s="5" t="str">
        <f>IFERROR(__xludf.DUMMYFUNCTION("""COMPUTED_VALUE"""),"SCOPUS-000121-1")</f>
        <v>SCOPUS-000121-1</v>
      </c>
      <c r="C112" s="5" t="str">
        <f>IFERROR(__xludf.DUMMYFUNCTION("""COMPUTED_VALUE"""),"Architectural")</f>
        <v>Architectural</v>
      </c>
      <c r="D112" s="6" t="str">
        <f>IFERROR(__xludf.DUMMYFUNCTION("""COMPUTED_VALUE"""),"Architecture Modification")</f>
        <v>Architecture Modification</v>
      </c>
    </row>
    <row r="113" ht="15.75" customHeight="1">
      <c r="A113" s="5" t="str">
        <f>IFERROR(__xludf.DUMMYFUNCTION("""COMPUTED_VALUE"""),"SCOPUS-000121")</f>
        <v>SCOPUS-000121</v>
      </c>
      <c r="B113" s="5" t="str">
        <f>IFERROR(__xludf.DUMMYFUNCTION("""COMPUTED_VALUE"""),"SCOPUS-000121-2")</f>
        <v>SCOPUS-000121-2</v>
      </c>
      <c r="C113" s="5" t="str">
        <f>IFERROR(__xludf.DUMMYFUNCTION("""COMPUTED_VALUE"""),"Architectural")</f>
        <v>Architectural</v>
      </c>
      <c r="D113" s="6" t="str">
        <f>IFERROR(__xludf.DUMMYFUNCTION("""COMPUTED_VALUE"""),"Loss Function Modification")</f>
        <v>Loss Function Modification</v>
      </c>
    </row>
    <row r="114" ht="15.75" customHeight="1">
      <c r="A114" s="5" t="str">
        <f>IFERROR(__xludf.DUMMYFUNCTION("""COMPUTED_VALUE"""),"SCOPUS-000267")</f>
        <v>SCOPUS-000267</v>
      </c>
      <c r="B114" s="5" t="str">
        <f>IFERROR(__xludf.DUMMYFUNCTION("""COMPUTED_VALUE"""),"SCOPUS-000267-1")</f>
        <v>SCOPUS-000267-1</v>
      </c>
      <c r="C114" s="5" t="str">
        <f>IFERROR(__xludf.DUMMYFUNCTION("""COMPUTED_VALUE"""),"Data-Centric")</f>
        <v>Data-Centric</v>
      </c>
      <c r="D114" s="6" t="str">
        <f>IFERROR(__xludf.DUMMYFUNCTION("""COMPUTED_VALUE"""),"Transfer Learning")</f>
        <v>Transfer Learning</v>
      </c>
    </row>
    <row r="115" ht="15.75" customHeight="1">
      <c r="A115" s="5" t="str">
        <f>IFERROR(__xludf.DUMMYFUNCTION("""COMPUTED_VALUE"""),"SCOPUS-000267")</f>
        <v>SCOPUS-000267</v>
      </c>
      <c r="B115" s="5" t="str">
        <f>IFERROR(__xludf.DUMMYFUNCTION("""COMPUTED_VALUE"""),"SCOPUS-000267-2")</f>
        <v>SCOPUS-000267-2</v>
      </c>
      <c r="C115" s="5" t="str">
        <f>IFERROR(__xludf.DUMMYFUNCTION("""COMPUTED_VALUE"""),"Architectural")</f>
        <v>Architectural</v>
      </c>
      <c r="D115" s="6" t="str">
        <f>IFERROR(__xludf.DUMMYFUNCTION("""COMPUTED_VALUE"""),"Loss Function Modification")</f>
        <v>Loss Function Modification</v>
      </c>
    </row>
    <row r="116" ht="15.75" customHeight="1">
      <c r="A116" s="5" t="str">
        <f>IFERROR(__xludf.DUMMYFUNCTION("""COMPUTED_VALUE"""),"SCOPUS-000013")</f>
        <v>SCOPUS-000013</v>
      </c>
      <c r="B116" s="5" t="str">
        <f>IFERROR(__xludf.DUMMYFUNCTION("""COMPUTED_VALUE"""),"SCOPUS-000013-3")</f>
        <v>SCOPUS-000013-3</v>
      </c>
      <c r="C116" s="5" t="str">
        <f>IFERROR(__xludf.DUMMYFUNCTION("""COMPUTED_VALUE"""),"Architectural")</f>
        <v>Architectural</v>
      </c>
      <c r="D116" s="6" t="str">
        <f>IFERROR(__xludf.DUMMYFUNCTION("""COMPUTED_VALUE"""),"Architecture Modification")</f>
        <v>Architecture Modification</v>
      </c>
    </row>
    <row r="117" ht="15.75" customHeight="1">
      <c r="A117" s="5" t="str">
        <f>IFERROR(__xludf.DUMMYFUNCTION("""COMPUTED_VALUE"""),"SCOPUS-000013")</f>
        <v>SCOPUS-000013</v>
      </c>
      <c r="B117" s="5" t="str">
        <f>IFERROR(__xludf.DUMMYFUNCTION("""COMPUTED_VALUE"""),"SCOPUS-000013-4")</f>
        <v>SCOPUS-000013-4</v>
      </c>
      <c r="C117" s="5" t="str">
        <f>IFERROR(__xludf.DUMMYFUNCTION("""COMPUTED_VALUE"""),"Architectural")</f>
        <v>Architectural</v>
      </c>
      <c r="D117" s="6" t="str">
        <f>IFERROR(__xludf.DUMMYFUNCTION("""COMPUTED_VALUE"""),"Architecture Modification")</f>
        <v>Architecture Modification</v>
      </c>
    </row>
    <row r="118" ht="15.75" customHeight="1">
      <c r="A118" s="5" t="str">
        <f>IFERROR(__xludf.DUMMYFUNCTION("""COMPUTED_VALUE"""),"SCOPUS-000013")</f>
        <v>SCOPUS-000013</v>
      </c>
      <c r="B118" s="5" t="str">
        <f>IFERROR(__xludf.DUMMYFUNCTION("""COMPUTED_VALUE"""),"SCOPUS-000013-5")</f>
        <v>SCOPUS-000013-5</v>
      </c>
      <c r="C118" s="5" t="str">
        <f>IFERROR(__xludf.DUMMYFUNCTION("""COMPUTED_VALUE"""),"Architectural")</f>
        <v>Architectural</v>
      </c>
      <c r="D118" s="6" t="str">
        <f>IFERROR(__xludf.DUMMYFUNCTION("""COMPUTED_VALUE"""),"Architecture Modification")</f>
        <v>Architecture Modification</v>
      </c>
    </row>
    <row r="119" ht="15.75" customHeight="1">
      <c r="A119" s="5" t="str">
        <f>IFERROR(__xludf.DUMMYFUNCTION("""COMPUTED_VALUE"""),"SCOPUS-000246")</f>
        <v>SCOPUS-000246</v>
      </c>
      <c r="B119" s="5" t="str">
        <f>IFERROR(__xludf.DUMMYFUNCTION("""COMPUTED_VALUE"""),"SCOPUS-000246-2")</f>
        <v>SCOPUS-000246-2</v>
      </c>
      <c r="C119" s="5" t="str">
        <f>IFERROR(__xludf.DUMMYFUNCTION("""COMPUTED_VALUE"""),"Architectural")</f>
        <v>Architectural</v>
      </c>
      <c r="D119" s="6" t="str">
        <f>IFERROR(__xludf.DUMMYFUNCTION("""COMPUTED_VALUE"""),"Architecture Modification")</f>
        <v>Architecture Modification</v>
      </c>
    </row>
    <row r="120" ht="15.75" customHeight="1">
      <c r="A120" s="5" t="str">
        <f>IFERROR(__xludf.DUMMYFUNCTION("""COMPUTED_VALUE"""),"SCOPUS-000246")</f>
        <v>SCOPUS-000246</v>
      </c>
      <c r="B120" s="5" t="str">
        <f>IFERROR(__xludf.DUMMYFUNCTION("""COMPUTED_VALUE"""),"SCOPUS-000246-3")</f>
        <v>SCOPUS-000246-3</v>
      </c>
      <c r="C120" s="5" t="str">
        <f>IFERROR(__xludf.DUMMYFUNCTION("""COMPUTED_VALUE"""),"Architectural")</f>
        <v>Architectural</v>
      </c>
      <c r="D120" s="6" t="str">
        <f>IFERROR(__xludf.DUMMYFUNCTION("""COMPUTED_VALUE"""),"Architecture Modification")</f>
        <v>Architecture Modification</v>
      </c>
    </row>
    <row r="121" ht="15.75" customHeight="1">
      <c r="A121" s="5" t="str">
        <f>IFERROR(__xludf.DUMMYFUNCTION("""COMPUTED_VALUE"""),"SCOPUS-000246")</f>
        <v>SCOPUS-000246</v>
      </c>
      <c r="B121" s="5" t="str">
        <f>IFERROR(__xludf.DUMMYFUNCTION("""COMPUTED_VALUE"""),"SCOPUS-000246-4")</f>
        <v>SCOPUS-000246-4</v>
      </c>
      <c r="C121" s="5" t="str">
        <f>IFERROR(__xludf.DUMMYFUNCTION("""COMPUTED_VALUE"""),"Architectural")</f>
        <v>Architectural</v>
      </c>
      <c r="D121" s="6" t="str">
        <f>IFERROR(__xludf.DUMMYFUNCTION("""COMPUTED_VALUE"""),"Architecture Modification")</f>
        <v>Architecture Modification</v>
      </c>
    </row>
    <row r="122" ht="15.75" customHeight="1">
      <c r="A122" s="5" t="str">
        <f>IFERROR(__xludf.DUMMYFUNCTION("""COMPUTED_VALUE"""),"SCOPUS-000574")</f>
        <v>SCOPUS-000574</v>
      </c>
      <c r="B122" s="5" t="str">
        <f>IFERROR(__xludf.DUMMYFUNCTION("""COMPUTED_VALUE"""),"SCOPUS-000574-2")</f>
        <v>SCOPUS-000574-2</v>
      </c>
      <c r="C122" s="5" t="str">
        <f>IFERROR(__xludf.DUMMYFUNCTION("""COMPUTED_VALUE"""),"Data-Centric")</f>
        <v>Data-Centric</v>
      </c>
      <c r="D122" s="6" t="str">
        <f>IFERROR(__xludf.DUMMYFUNCTION("""COMPUTED_VALUE"""),"Domain Adaptation")</f>
        <v>Domain Adaptation</v>
      </c>
    </row>
    <row r="123" ht="15.75" customHeight="1">
      <c r="A123" s="5" t="str">
        <f>IFERROR(__xludf.DUMMYFUNCTION("""COMPUTED_VALUE"""),"SCOPUS-000574")</f>
        <v>SCOPUS-000574</v>
      </c>
      <c r="B123" s="5" t="str">
        <f>IFERROR(__xludf.DUMMYFUNCTION("""COMPUTED_VALUE"""),"SCOPUS-000574-3")</f>
        <v>SCOPUS-000574-3</v>
      </c>
      <c r="C123" s="5" t="str">
        <f>IFERROR(__xludf.DUMMYFUNCTION("""COMPUTED_VALUE"""),"Data-Centric")</f>
        <v>Data-Centric</v>
      </c>
      <c r="D123" s="6" t="str">
        <f>IFERROR(__xludf.DUMMYFUNCTION("""COMPUTED_VALUE"""),"Domain Adaptation")</f>
        <v>Domain Adaptation</v>
      </c>
    </row>
    <row r="124" ht="15.75" customHeight="1">
      <c r="A124" s="5" t="str">
        <f>IFERROR(__xludf.DUMMYFUNCTION("""COMPUTED_VALUE"""),"SCOPUS-000574")</f>
        <v>SCOPUS-000574</v>
      </c>
      <c r="B124" s="5" t="str">
        <f>IFERROR(__xludf.DUMMYFUNCTION("""COMPUTED_VALUE"""),"SCOPUS-000574-4")</f>
        <v>SCOPUS-000574-4</v>
      </c>
      <c r="C124" s="5" t="str">
        <f>IFERROR(__xludf.DUMMYFUNCTION("""COMPUTED_VALUE"""),"Data-Centric")</f>
        <v>Data-Centric</v>
      </c>
      <c r="D124" s="6" t="str">
        <f>IFERROR(__xludf.DUMMYFUNCTION("""COMPUTED_VALUE"""),"Domain Adaptation")</f>
        <v>Domain Adaptation</v>
      </c>
    </row>
    <row r="125" ht="15.75" customHeight="1">
      <c r="A125" s="5" t="str">
        <f>IFERROR(__xludf.DUMMYFUNCTION("""COMPUTED_VALUE"""),"SCOPUS-000574")</f>
        <v>SCOPUS-000574</v>
      </c>
      <c r="B125" s="5" t="str">
        <f>IFERROR(__xludf.DUMMYFUNCTION("""COMPUTED_VALUE"""),"SCOPUS-000574-5")</f>
        <v>SCOPUS-000574-5</v>
      </c>
      <c r="C125" s="5" t="str">
        <f>IFERROR(__xludf.DUMMYFUNCTION("""COMPUTED_VALUE"""),"Data-Centric")</f>
        <v>Data-Centric</v>
      </c>
      <c r="D125" s="6" t="str">
        <f>IFERROR(__xludf.DUMMYFUNCTION("""COMPUTED_VALUE"""),"Domain Adaptation")</f>
        <v>Domain Adaptation</v>
      </c>
    </row>
    <row r="126" ht="15.75" customHeight="1">
      <c r="A126" s="5" t="str">
        <f>IFERROR(__xludf.DUMMYFUNCTION("""COMPUTED_VALUE"""),"SCOPUS-000574")</f>
        <v>SCOPUS-000574</v>
      </c>
      <c r="B126" s="5" t="str">
        <f>IFERROR(__xludf.DUMMYFUNCTION("""COMPUTED_VALUE"""),"SCOPUS-000574-6")</f>
        <v>SCOPUS-000574-6</v>
      </c>
      <c r="C126" s="5" t="str">
        <f>IFERROR(__xludf.DUMMYFUNCTION("""COMPUTED_VALUE"""),"Data-Centric")</f>
        <v>Data-Centric</v>
      </c>
      <c r="D126" s="6" t="str">
        <f>IFERROR(__xludf.DUMMYFUNCTION("""COMPUTED_VALUE"""),"Domain Adaptation")</f>
        <v>Domain Adaptation</v>
      </c>
    </row>
    <row r="127" ht="15.75" customHeight="1">
      <c r="A127" s="5" t="str">
        <f>IFERROR(__xludf.DUMMYFUNCTION("""COMPUTED_VALUE"""),"SCOPUS-000139")</f>
        <v>SCOPUS-000139</v>
      </c>
      <c r="B127" s="5" t="str">
        <f>IFERROR(__xludf.DUMMYFUNCTION("""COMPUTED_VALUE"""),"SCOPUS-000139-3")</f>
        <v>SCOPUS-000139-3</v>
      </c>
      <c r="C127" s="5" t="str">
        <f>IFERROR(__xludf.DUMMYFUNCTION("""COMPUTED_VALUE"""),"Data-Centric")</f>
        <v>Data-Centric</v>
      </c>
      <c r="D127" s="6" t="str">
        <f>IFERROR(__xludf.DUMMYFUNCTION("""COMPUTED_VALUE"""),"Synthetic Data Generation")</f>
        <v>Synthetic Data Generation</v>
      </c>
    </row>
    <row r="128" ht="15.75" customHeight="1">
      <c r="A128" s="5" t="str">
        <f>IFERROR(__xludf.DUMMYFUNCTION("""COMPUTED_VALUE"""),"SCOPUS-000139")</f>
        <v>SCOPUS-000139</v>
      </c>
      <c r="B128" s="5" t="str">
        <f>IFERROR(__xludf.DUMMYFUNCTION("""COMPUTED_VALUE"""),"SCOPUS-000139-4")</f>
        <v>SCOPUS-000139-4</v>
      </c>
      <c r="C128" s="5" t="str">
        <f>IFERROR(__xludf.DUMMYFUNCTION("""COMPUTED_VALUE"""),"Data-Centric")</f>
        <v>Data-Centric</v>
      </c>
      <c r="D128" s="6" t="str">
        <f>IFERROR(__xludf.DUMMYFUNCTION("""COMPUTED_VALUE"""),"Synthetic Data Generation")</f>
        <v>Synthetic Data Generation</v>
      </c>
    </row>
    <row r="129" ht="15.75" customHeight="1">
      <c r="A129" s="5" t="str">
        <f>IFERROR(__xludf.DUMMYFUNCTION("""COMPUTED_VALUE"""),"SCOPUS-000086")</f>
        <v>SCOPUS-000086</v>
      </c>
      <c r="B129" s="5" t="str">
        <f>IFERROR(__xludf.DUMMYFUNCTION("""COMPUTED_VALUE"""),"SCOPUS-000086-2")</f>
        <v>SCOPUS-000086-2</v>
      </c>
      <c r="C129" s="5" t="str">
        <f>IFERROR(__xludf.DUMMYFUNCTION("""COMPUTED_VALUE"""),"Data-Centric")</f>
        <v>Data-Centric</v>
      </c>
      <c r="D129" s="6" t="str">
        <f>IFERROR(__xludf.DUMMYFUNCTION("""COMPUTED_VALUE"""),"Pseudo Labeling")</f>
        <v>Pseudo Labeling</v>
      </c>
    </row>
    <row r="130" ht="15.75" customHeight="1">
      <c r="A130" s="5" t="str">
        <f>IFERROR(__xludf.DUMMYFUNCTION("""COMPUTED_VALUE"""),"SCOPUS-000086")</f>
        <v>SCOPUS-000086</v>
      </c>
      <c r="B130" s="5" t="str">
        <f>IFERROR(__xludf.DUMMYFUNCTION("""COMPUTED_VALUE"""),"SCOPUS-000086-3")</f>
        <v>SCOPUS-000086-3</v>
      </c>
      <c r="C130" s="5" t="str">
        <f>IFERROR(__xludf.DUMMYFUNCTION("""COMPUTED_VALUE"""),"Data-Centric")</f>
        <v>Data-Centric</v>
      </c>
      <c r="D130" s="6" t="str">
        <f>IFERROR(__xludf.DUMMYFUNCTION("""COMPUTED_VALUE"""),"Pseudo Labeling")</f>
        <v>Pseudo Labeling</v>
      </c>
    </row>
    <row r="131" ht="15.75" customHeight="1">
      <c r="A131" s="5" t="str">
        <f>IFERROR(__xludf.DUMMYFUNCTION("""COMPUTED_VALUE"""),"SCOPUS-000391")</f>
        <v>SCOPUS-000391</v>
      </c>
      <c r="B131" s="5" t="str">
        <f>IFERROR(__xludf.DUMMYFUNCTION("""COMPUTED_VALUE"""),"SCOPUS-000391-3")</f>
        <v>SCOPUS-000391-3</v>
      </c>
      <c r="C131" s="5" t="str">
        <f>IFERROR(__xludf.DUMMYFUNCTION("""COMPUTED_VALUE"""),"Data-Centric")</f>
        <v>Data-Centric</v>
      </c>
      <c r="D131" s="6" t="str">
        <f>IFERROR(__xludf.DUMMYFUNCTION("""COMPUTED_VALUE"""),"Synthetic Data Generation")</f>
        <v>Synthetic Data Generation</v>
      </c>
    </row>
    <row r="132" ht="15.75" customHeight="1">
      <c r="A132" s="5" t="str">
        <f>IFERROR(__xludf.DUMMYFUNCTION("""COMPUTED_VALUE"""),"SCOPUS-000265")</f>
        <v>SCOPUS-000265</v>
      </c>
      <c r="B132" s="5" t="str">
        <f>IFERROR(__xludf.DUMMYFUNCTION("""COMPUTED_VALUE"""),"SCOPUS-000265-3")</f>
        <v>SCOPUS-000265-3</v>
      </c>
      <c r="C132" s="5" t="str">
        <f>IFERROR(__xludf.DUMMYFUNCTION("""COMPUTED_VALUE"""),"Data-Centric")</f>
        <v>Data-Centric</v>
      </c>
      <c r="D132" s="6" t="str">
        <f>IFERROR(__xludf.DUMMYFUNCTION("""COMPUTED_VALUE"""),"Synthetic Data Generation")</f>
        <v>Synthetic Data Generation</v>
      </c>
    </row>
    <row r="133" ht="15.75" customHeight="1">
      <c r="A133" s="5" t="str">
        <f>IFERROR(__xludf.DUMMYFUNCTION("""COMPUTED_VALUE"""),"SCOPUS-000370")</f>
        <v>SCOPUS-000370</v>
      </c>
      <c r="B133" s="5" t="str">
        <f>IFERROR(__xludf.DUMMYFUNCTION("""COMPUTED_VALUE"""),"SCOPUS-000370-4")</f>
        <v>SCOPUS-000370-4</v>
      </c>
      <c r="C133" s="5" t="str">
        <f>IFERROR(__xludf.DUMMYFUNCTION("""COMPUTED_VALUE"""),"Data-Centric")</f>
        <v>Data-Centric</v>
      </c>
      <c r="D133" s="6" t="str">
        <f>IFERROR(__xludf.DUMMYFUNCTION("""COMPUTED_VALUE"""),"Synthetic Data Generation")</f>
        <v>Synthetic Data Generation</v>
      </c>
    </row>
    <row r="134" ht="15.75" customHeight="1">
      <c r="A134" s="5" t="str">
        <f>IFERROR(__xludf.DUMMYFUNCTION("""COMPUTED_VALUE"""),"SCOPUS-000014")</f>
        <v>SCOPUS-000014</v>
      </c>
      <c r="B134" s="5" t="str">
        <f>IFERROR(__xludf.DUMMYFUNCTION("""COMPUTED_VALUE"""),"SCOPUS-000014-2")</f>
        <v>SCOPUS-000014-2</v>
      </c>
      <c r="C134" s="5" t="str">
        <f>IFERROR(__xludf.DUMMYFUNCTION("""COMPUTED_VALUE"""),"Architectural")</f>
        <v>Architectural</v>
      </c>
      <c r="D134" s="6" t="str">
        <f>IFERROR(__xludf.DUMMYFUNCTION("""COMPUTED_VALUE"""),"Architecture Modification")</f>
        <v>Architecture Modification</v>
      </c>
    </row>
    <row r="135" ht="15.75" customHeight="1">
      <c r="A135" s="5" t="str">
        <f>IFERROR(__xludf.DUMMYFUNCTION("""COMPUTED_VALUE"""),"SCOPUS-000014")</f>
        <v>SCOPUS-000014</v>
      </c>
      <c r="B135" s="5" t="str">
        <f>IFERROR(__xludf.DUMMYFUNCTION("""COMPUTED_VALUE"""),"SCOPUS-000014-3")</f>
        <v>SCOPUS-000014-3</v>
      </c>
      <c r="C135" s="5" t="str">
        <f>IFERROR(__xludf.DUMMYFUNCTION("""COMPUTED_VALUE"""),"Architectural")</f>
        <v>Architectural</v>
      </c>
      <c r="D135" s="6" t="str">
        <f>IFERROR(__xludf.DUMMYFUNCTION("""COMPUTED_VALUE"""),"Architecture Modification")</f>
        <v>Architecture Modification</v>
      </c>
    </row>
    <row r="136" ht="15.75" customHeight="1">
      <c r="A136" s="5" t="str">
        <f>IFERROR(__xludf.DUMMYFUNCTION("""COMPUTED_VALUE"""),"SCOPUS-000014")</f>
        <v>SCOPUS-000014</v>
      </c>
      <c r="B136" s="5" t="str">
        <f>IFERROR(__xludf.DUMMYFUNCTION("""COMPUTED_VALUE"""),"SCOPUS-000014-4")</f>
        <v>SCOPUS-000014-4</v>
      </c>
      <c r="C136" s="5" t="str">
        <f>IFERROR(__xludf.DUMMYFUNCTION("""COMPUTED_VALUE"""),"Architectural")</f>
        <v>Architectural</v>
      </c>
      <c r="D136" s="6" t="str">
        <f>IFERROR(__xludf.DUMMYFUNCTION("""COMPUTED_VALUE"""),"Architecture Modification")</f>
        <v>Architecture Modification</v>
      </c>
    </row>
    <row r="137" ht="15.75" customHeight="1">
      <c r="A137" s="5" t="str">
        <f>IFERROR(__xludf.DUMMYFUNCTION("""COMPUTED_VALUE"""),"SCOPUS-000045")</f>
        <v>SCOPUS-000045</v>
      </c>
      <c r="B137" s="5" t="str">
        <f>IFERROR(__xludf.DUMMYFUNCTION("""COMPUTED_VALUE"""),"SCOPUS-000045-2")</f>
        <v>SCOPUS-000045-2</v>
      </c>
      <c r="C137" s="5" t="str">
        <f>IFERROR(__xludf.DUMMYFUNCTION("""COMPUTED_VALUE"""),"Data-Centric")</f>
        <v>Data-Centric</v>
      </c>
      <c r="D137" s="6" t="str">
        <f>IFERROR(__xludf.DUMMYFUNCTION("""COMPUTED_VALUE"""),"Synthetic Data Generation")</f>
        <v>Synthetic Data Generation</v>
      </c>
    </row>
    <row r="138" ht="15.75" customHeight="1">
      <c r="A138" s="5" t="str">
        <f>IFERROR(__xludf.DUMMYFUNCTION("""COMPUTED_VALUE"""),"SCOPUS-000045")</f>
        <v>SCOPUS-000045</v>
      </c>
      <c r="B138" s="5" t="str">
        <f>IFERROR(__xludf.DUMMYFUNCTION("""COMPUTED_VALUE"""),"SCOPUS-000045-3")</f>
        <v>SCOPUS-000045-3</v>
      </c>
      <c r="C138" s="5" t="str">
        <f>IFERROR(__xludf.DUMMYFUNCTION("""COMPUTED_VALUE"""),"Data-Centric")</f>
        <v>Data-Centric</v>
      </c>
      <c r="D138" s="6" t="str">
        <f>IFERROR(__xludf.DUMMYFUNCTION("""COMPUTED_VALUE"""),"Synthetic Data Generation")</f>
        <v>Synthetic Data Generation</v>
      </c>
    </row>
    <row r="139" ht="15.75" customHeight="1">
      <c r="A139" s="5" t="str">
        <f>IFERROR(__xludf.DUMMYFUNCTION("""COMPUTED_VALUE"""),"SCOPUS-000045")</f>
        <v>SCOPUS-000045</v>
      </c>
      <c r="B139" s="5" t="str">
        <f>IFERROR(__xludf.DUMMYFUNCTION("""COMPUTED_VALUE"""),"SCOPUS-000045-4")</f>
        <v>SCOPUS-000045-4</v>
      </c>
      <c r="C139" s="5" t="str">
        <f>IFERROR(__xludf.DUMMYFUNCTION("""COMPUTED_VALUE"""),"Data-Centric")</f>
        <v>Data-Centric</v>
      </c>
      <c r="D139" s="6" t="str">
        <f>IFERROR(__xludf.DUMMYFUNCTION("""COMPUTED_VALUE"""),"Synthetic Data Generation")</f>
        <v>Synthetic Data Generation</v>
      </c>
    </row>
    <row r="140" ht="15.75" customHeight="1">
      <c r="A140" s="5" t="str">
        <f>IFERROR(__xludf.DUMMYFUNCTION("""COMPUTED_VALUE"""),"SCOPUS-000114")</f>
        <v>SCOPUS-000114</v>
      </c>
      <c r="B140" s="5" t="str">
        <f>IFERROR(__xludf.DUMMYFUNCTION("""COMPUTED_VALUE"""),"SCOPUS-000114-2")</f>
        <v>SCOPUS-000114-2</v>
      </c>
      <c r="C140" s="5" t="str">
        <f>IFERROR(__xludf.DUMMYFUNCTION("""COMPUTED_VALUE"""),"Architectural")</f>
        <v>Architectural</v>
      </c>
      <c r="D140" s="6" t="str">
        <f>IFERROR(__xludf.DUMMYFUNCTION("""COMPUTED_VALUE"""),"Architecture Modification")</f>
        <v>Architecture Modification</v>
      </c>
    </row>
    <row r="141" ht="15.75" customHeight="1">
      <c r="A141" s="5" t="str">
        <f>IFERROR(__xludf.DUMMYFUNCTION("""COMPUTED_VALUE"""),"SCOPUS-000114")</f>
        <v>SCOPUS-000114</v>
      </c>
      <c r="B141" s="5" t="str">
        <f>IFERROR(__xludf.DUMMYFUNCTION("""COMPUTED_VALUE"""),"SCOPUS-000114-3")</f>
        <v>SCOPUS-000114-3</v>
      </c>
      <c r="C141" s="5" t="str">
        <f>IFERROR(__xludf.DUMMYFUNCTION("""COMPUTED_VALUE"""),"Architectural")</f>
        <v>Architectural</v>
      </c>
      <c r="D141" s="6" t="str">
        <f>IFERROR(__xludf.DUMMYFUNCTION("""COMPUTED_VALUE"""),"Architecture Modification")</f>
        <v>Architecture Modification</v>
      </c>
    </row>
    <row r="142" ht="15.75" customHeight="1">
      <c r="A142" s="5" t="str">
        <f>IFERROR(__xludf.DUMMYFUNCTION("""COMPUTED_VALUE"""),"SCOPUS-000132")</f>
        <v>SCOPUS-000132</v>
      </c>
      <c r="B142" s="5" t="str">
        <f>IFERROR(__xludf.DUMMYFUNCTION("""COMPUTED_VALUE"""),"SCOPUS-000132-4")</f>
        <v>SCOPUS-000132-4</v>
      </c>
      <c r="C142" s="5" t="str">
        <f>IFERROR(__xludf.DUMMYFUNCTION("""COMPUTED_VALUE"""),"Data-Centric")</f>
        <v>Data-Centric</v>
      </c>
      <c r="D142" s="6" t="str">
        <f>IFERROR(__xludf.DUMMYFUNCTION("""COMPUTED_VALUE"""),"Data Augmentation")</f>
        <v>Data Augmentation</v>
      </c>
    </row>
    <row r="143" ht="15.75" customHeight="1">
      <c r="A143" s="5" t="str">
        <f>IFERROR(__xludf.DUMMYFUNCTION("""COMPUTED_VALUE"""),"SCOPUS-000333")</f>
        <v>SCOPUS-000333</v>
      </c>
      <c r="B143" s="5" t="str">
        <f>IFERROR(__xludf.DUMMYFUNCTION("""COMPUTED_VALUE"""),"SCOPUS-000333-3")</f>
        <v>SCOPUS-000333-3</v>
      </c>
      <c r="C143" s="5" t="str">
        <f>IFERROR(__xludf.DUMMYFUNCTION("""COMPUTED_VALUE"""),"Data-Centric")</f>
        <v>Data-Centric</v>
      </c>
      <c r="D143" s="6" t="str">
        <f>IFERROR(__xludf.DUMMYFUNCTION("""COMPUTED_VALUE"""),"Synthetic Data Generation")</f>
        <v>Synthetic Data Generation</v>
      </c>
    </row>
    <row r="144" ht="15.75" customHeight="1">
      <c r="A144" s="5" t="str">
        <f>IFERROR(__xludf.DUMMYFUNCTION("""COMPUTED_VALUE"""),"SCOPUS-000333")</f>
        <v>SCOPUS-000333</v>
      </c>
      <c r="B144" s="5" t="str">
        <f>IFERROR(__xludf.DUMMYFUNCTION("""COMPUTED_VALUE"""),"SCOPUS-000333-4")</f>
        <v>SCOPUS-000333-4</v>
      </c>
      <c r="C144" s="5" t="str">
        <f>IFERROR(__xludf.DUMMYFUNCTION("""COMPUTED_VALUE"""),"Data-Centric")</f>
        <v>Data-Centric</v>
      </c>
      <c r="D144" s="6" t="str">
        <f>IFERROR(__xludf.DUMMYFUNCTION("""COMPUTED_VALUE"""),"Synthetic Data Generation")</f>
        <v>Synthetic Data Generation</v>
      </c>
    </row>
    <row r="145" ht="15.75" customHeight="1">
      <c r="A145" s="5" t="str">
        <f>IFERROR(__xludf.DUMMYFUNCTION("""COMPUTED_VALUE"""),"SCOPUS-000333")</f>
        <v>SCOPUS-000333</v>
      </c>
      <c r="B145" s="5" t="str">
        <f>IFERROR(__xludf.DUMMYFUNCTION("""COMPUTED_VALUE"""),"SCOPUS-000333-5")</f>
        <v>SCOPUS-000333-5</v>
      </c>
      <c r="C145" s="5" t="str">
        <f>IFERROR(__xludf.DUMMYFUNCTION("""COMPUTED_VALUE"""),"Data-Centric")</f>
        <v>Data-Centric</v>
      </c>
      <c r="D145" s="6" t="str">
        <f>IFERROR(__xludf.DUMMYFUNCTION("""COMPUTED_VALUE"""),"Synthetic Data Generation")</f>
        <v>Synthetic Data Generation</v>
      </c>
    </row>
    <row r="146" ht="15.75" customHeight="1">
      <c r="A146" s="5" t="str">
        <f>IFERROR(__xludf.DUMMYFUNCTION("""COMPUTED_VALUE"""),"SCOPUS-000323")</f>
        <v>SCOPUS-000323</v>
      </c>
      <c r="B146" s="5" t="str">
        <f>IFERROR(__xludf.DUMMYFUNCTION("""COMPUTED_VALUE"""),"SCOPUS-000323-2")</f>
        <v>SCOPUS-000323-2</v>
      </c>
      <c r="C146" s="5" t="str">
        <f>IFERROR(__xludf.DUMMYFUNCTION("""COMPUTED_VALUE"""),"Architectural")</f>
        <v>Architectural</v>
      </c>
      <c r="D146" s="6" t="str">
        <f>IFERROR(__xludf.DUMMYFUNCTION("""COMPUTED_VALUE"""),"Attention Mechanism")</f>
        <v>Attention Mechanism</v>
      </c>
    </row>
    <row r="147" ht="15.75" customHeight="1">
      <c r="A147" s="5" t="str">
        <f>IFERROR(__xludf.DUMMYFUNCTION("""COMPUTED_VALUE"""),"SCOPUS-000323")</f>
        <v>SCOPUS-000323</v>
      </c>
      <c r="B147" s="5" t="str">
        <f>IFERROR(__xludf.DUMMYFUNCTION("""COMPUTED_VALUE"""),"SCOPUS-000323-3")</f>
        <v>SCOPUS-000323-3</v>
      </c>
      <c r="C147" s="5" t="str">
        <f>IFERROR(__xludf.DUMMYFUNCTION("""COMPUTED_VALUE"""),"Architectural")</f>
        <v>Architectural</v>
      </c>
      <c r="D147" s="6" t="str">
        <f>IFERROR(__xludf.DUMMYFUNCTION("""COMPUTED_VALUE"""),"Attention Mechanism")</f>
        <v>Attention Mechanism</v>
      </c>
    </row>
    <row r="148" ht="15.75" customHeight="1">
      <c r="A148" s="5" t="str">
        <f>IFERROR(__xludf.DUMMYFUNCTION("""COMPUTED_VALUE"""),"SCOPUS-000063")</f>
        <v>SCOPUS-000063</v>
      </c>
      <c r="B148" s="5" t="str">
        <f>IFERROR(__xludf.DUMMYFUNCTION("""COMPUTED_VALUE"""),"SCOPUS-000063-3")</f>
        <v>SCOPUS-000063-3</v>
      </c>
      <c r="C148" s="5" t="str">
        <f>IFERROR(__xludf.DUMMYFUNCTION("""COMPUTED_VALUE"""),"Data-Centric")</f>
        <v>Data-Centric</v>
      </c>
      <c r="D148" s="6" t="str">
        <f>IFERROR(__xludf.DUMMYFUNCTION("""COMPUTED_VALUE"""),"Synthetic Data Generation")</f>
        <v>Synthetic Data Generation</v>
      </c>
    </row>
    <row r="149" ht="15.75" customHeight="1">
      <c r="A149" s="5" t="str">
        <f>IFERROR(__xludf.DUMMYFUNCTION("""COMPUTED_VALUE"""),"SCOPUS-000063")</f>
        <v>SCOPUS-000063</v>
      </c>
      <c r="B149" s="5" t="str">
        <f>IFERROR(__xludf.DUMMYFUNCTION("""COMPUTED_VALUE"""),"SCOPUS-000063-4")</f>
        <v>SCOPUS-000063-4</v>
      </c>
      <c r="C149" s="5" t="str">
        <f>IFERROR(__xludf.DUMMYFUNCTION("""COMPUTED_VALUE"""),"Data-Centric")</f>
        <v>Data-Centric</v>
      </c>
      <c r="D149" s="6" t="str">
        <f>IFERROR(__xludf.DUMMYFUNCTION("""COMPUTED_VALUE"""),"Synthetic Data Generation")</f>
        <v>Synthetic Data Generation</v>
      </c>
    </row>
    <row r="150" ht="15.75" customHeight="1">
      <c r="A150" s="5" t="str">
        <f>IFERROR(__xludf.DUMMYFUNCTION("""COMPUTED_VALUE"""),"SCOPUS-000175")</f>
        <v>SCOPUS-000175</v>
      </c>
      <c r="B150" s="5" t="str">
        <f>IFERROR(__xludf.DUMMYFUNCTION("""COMPUTED_VALUE"""),"SCOPUS-000175-3")</f>
        <v>SCOPUS-000175-3</v>
      </c>
      <c r="C150" s="5" t="str">
        <f>IFERROR(__xludf.DUMMYFUNCTION("""COMPUTED_VALUE"""),"Architectural")</f>
        <v>Architectural</v>
      </c>
      <c r="D150" s="6" t="str">
        <f>IFERROR(__xludf.DUMMYFUNCTION("""COMPUTED_VALUE"""),"Architecture Modification")</f>
        <v>Architecture Modification</v>
      </c>
    </row>
    <row r="151" ht="15.75" customHeight="1">
      <c r="A151" s="5" t="str">
        <f>IFERROR(__xludf.DUMMYFUNCTION("""COMPUTED_VALUE"""),"SCOPUS-000370")</f>
        <v>SCOPUS-000370</v>
      </c>
      <c r="B151" s="5" t="str">
        <f>IFERROR(__xludf.DUMMYFUNCTION("""COMPUTED_VALUE"""),"SCOPUS-000370-5")</f>
        <v>SCOPUS-000370-5</v>
      </c>
      <c r="C151" s="5" t="str">
        <f>IFERROR(__xludf.DUMMYFUNCTION("""COMPUTED_VALUE"""),"Data-Centric")</f>
        <v>Data-Centric</v>
      </c>
      <c r="D151" s="6" t="str">
        <f>IFERROR(__xludf.DUMMYFUNCTION("""COMPUTED_VALUE"""),"Data Processing")</f>
        <v>Data Processing</v>
      </c>
    </row>
    <row r="152" ht="15.75" customHeight="1">
      <c r="A152" s="5" t="str">
        <f>IFERROR(__xludf.DUMMYFUNCTION("""COMPUTED_VALUE"""),"SCOPUS-000370")</f>
        <v>SCOPUS-000370</v>
      </c>
      <c r="B152" s="5" t="str">
        <f>IFERROR(__xludf.DUMMYFUNCTION("""COMPUTED_VALUE"""),"SCOPUS-000370-6")</f>
        <v>SCOPUS-000370-6</v>
      </c>
      <c r="C152" s="5" t="str">
        <f>IFERROR(__xludf.DUMMYFUNCTION("""COMPUTED_VALUE"""),"Data-Centric")</f>
        <v>Data-Centric</v>
      </c>
      <c r="D152" s="6" t="str">
        <f>IFERROR(__xludf.DUMMYFUNCTION("""COMPUTED_VALUE"""),"Data Processing")</f>
        <v>Data Processing</v>
      </c>
    </row>
    <row r="153" ht="15.75" customHeight="1">
      <c r="A153" s="5" t="str">
        <f>IFERROR(__xludf.DUMMYFUNCTION("""COMPUTED_VALUE"""),"SCOPUS-000391")</f>
        <v>SCOPUS-000391</v>
      </c>
      <c r="B153" s="5" t="str">
        <f>IFERROR(__xludf.DUMMYFUNCTION("""COMPUTED_VALUE"""),"SCOPUS-000391-4")</f>
        <v>SCOPUS-000391-4</v>
      </c>
      <c r="C153" s="5" t="str">
        <f>IFERROR(__xludf.DUMMYFUNCTION("""COMPUTED_VALUE"""),"Data-Centric")</f>
        <v>Data-Centric</v>
      </c>
      <c r="D153" s="6" t="str">
        <f>IFERROR(__xludf.DUMMYFUNCTION("""COMPUTED_VALUE"""),"Semi-Supervised Learning")</f>
        <v>Semi-Supervised Learning</v>
      </c>
    </row>
    <row r="154" ht="15.75" customHeight="1">
      <c r="A154" s="5" t="str">
        <f>IFERROR(__xludf.DUMMYFUNCTION("""COMPUTED_VALUE"""),"SCOPUS-000391")</f>
        <v>SCOPUS-000391</v>
      </c>
      <c r="B154" s="5" t="str">
        <f>IFERROR(__xludf.DUMMYFUNCTION("""COMPUTED_VALUE"""),"SCOPUS-000391-5")</f>
        <v>SCOPUS-000391-5</v>
      </c>
      <c r="C154" s="5" t="str">
        <f>IFERROR(__xludf.DUMMYFUNCTION("""COMPUTED_VALUE"""),"Data-Centric")</f>
        <v>Data-Centric</v>
      </c>
      <c r="D154" s="6" t="str">
        <f>IFERROR(__xludf.DUMMYFUNCTION("""COMPUTED_VALUE"""),"Semi-Supervised Learning")</f>
        <v>Semi-Supervised Learning</v>
      </c>
    </row>
    <row r="155" ht="15.75" customHeight="1">
      <c r="A155" s="5" t="str">
        <f>IFERROR(__xludf.DUMMYFUNCTION("""COMPUTED_VALUE"""),"SCOPUS-000358")</f>
        <v>SCOPUS-000358</v>
      </c>
      <c r="B155" s="5" t="str">
        <f>IFERROR(__xludf.DUMMYFUNCTION("""COMPUTED_VALUE"""),"SCOPUS-000358-2")</f>
        <v>SCOPUS-000358-2</v>
      </c>
      <c r="C155" s="5" t="str">
        <f>IFERROR(__xludf.DUMMYFUNCTION("""COMPUTED_VALUE"""),"Architectural")</f>
        <v>Architectural</v>
      </c>
      <c r="D155" s="6" t="str">
        <f>IFERROR(__xludf.DUMMYFUNCTION("""COMPUTED_VALUE"""),"Architecture Modification")</f>
        <v>Architecture Modification</v>
      </c>
    </row>
    <row r="156" ht="15.75" customHeight="1">
      <c r="A156" s="5" t="str">
        <f>IFERROR(__xludf.DUMMYFUNCTION("""COMPUTED_VALUE"""),"SCOPUS-000358")</f>
        <v>SCOPUS-000358</v>
      </c>
      <c r="B156" s="5" t="str">
        <f>IFERROR(__xludf.DUMMYFUNCTION("""COMPUTED_VALUE"""),"SCOPUS-000358-3")</f>
        <v>SCOPUS-000358-3</v>
      </c>
      <c r="C156" s="5" t="str">
        <f>IFERROR(__xludf.DUMMYFUNCTION("""COMPUTED_VALUE"""),"Architectural")</f>
        <v>Architectural</v>
      </c>
      <c r="D156" s="6" t="str">
        <f>IFERROR(__xludf.DUMMYFUNCTION("""COMPUTED_VALUE"""),"Architecture Modification")</f>
        <v>Architecture Modification</v>
      </c>
    </row>
    <row r="157" ht="15.75" customHeight="1">
      <c r="A157" s="5" t="str">
        <f>IFERROR(__xludf.DUMMYFUNCTION("""COMPUTED_VALUE"""),"SCOPUS-000473")</f>
        <v>SCOPUS-000473</v>
      </c>
      <c r="B157" s="5" t="str">
        <f>IFERROR(__xludf.DUMMYFUNCTION("""COMPUTED_VALUE"""),"SCOPUS-000473-3")</f>
        <v>SCOPUS-000473-3</v>
      </c>
      <c r="C157" s="5" t="str">
        <f>IFERROR(__xludf.DUMMYFUNCTION("""COMPUTED_VALUE"""),"Architectural")</f>
        <v>Architectural</v>
      </c>
      <c r="D157" s="6" t="str">
        <f>IFERROR(__xludf.DUMMYFUNCTION("""COMPUTED_VALUE"""),"Architecture Modification")</f>
        <v>Architecture Modification</v>
      </c>
    </row>
    <row r="158" ht="15.75" customHeight="1">
      <c r="A158" s="5" t="str">
        <f>IFERROR(__xludf.DUMMYFUNCTION("""COMPUTED_VALUE"""),"SCOPUS-000352")</f>
        <v>SCOPUS-000352</v>
      </c>
      <c r="B158" s="5" t="str">
        <f>IFERROR(__xludf.DUMMYFUNCTION("""COMPUTED_VALUE"""),"SCOPUS-000352-3")</f>
        <v>SCOPUS-000352-3</v>
      </c>
      <c r="C158" s="5" t="str">
        <f>IFERROR(__xludf.DUMMYFUNCTION("""COMPUTED_VALUE"""),"Architectural")</f>
        <v>Architectural</v>
      </c>
      <c r="D158" s="6" t="str">
        <f>IFERROR(__xludf.DUMMYFUNCTION("""COMPUTED_VALUE"""),"Architecture Modification")</f>
        <v>Architecture Modification</v>
      </c>
    </row>
    <row r="159" ht="15.75" customHeight="1">
      <c r="A159" s="5" t="str">
        <f>IFERROR(__xludf.DUMMYFUNCTION("""COMPUTED_VALUE"""),"SCOPUS-000352")</f>
        <v>SCOPUS-000352</v>
      </c>
      <c r="B159" s="5" t="str">
        <f>IFERROR(__xludf.DUMMYFUNCTION("""COMPUTED_VALUE"""),"SCOPUS-000352-4")</f>
        <v>SCOPUS-000352-4</v>
      </c>
      <c r="C159" s="5" t="str">
        <f>IFERROR(__xludf.DUMMYFUNCTION("""COMPUTED_VALUE"""),"Architectural")</f>
        <v>Architectural</v>
      </c>
      <c r="D159" s="6" t="str">
        <f>IFERROR(__xludf.DUMMYFUNCTION("""COMPUTED_VALUE"""),"Architecture Modification")</f>
        <v>Architecture Modification</v>
      </c>
    </row>
    <row r="160" ht="15.75" customHeight="1">
      <c r="A160" s="5" t="str">
        <f>IFERROR(__xludf.DUMMYFUNCTION("""COMPUTED_VALUE"""),"SCOPUS-000352")</f>
        <v>SCOPUS-000352</v>
      </c>
      <c r="B160" s="5" t="str">
        <f>IFERROR(__xludf.DUMMYFUNCTION("""COMPUTED_VALUE"""),"SCOPUS-000352-5")</f>
        <v>SCOPUS-000352-5</v>
      </c>
      <c r="C160" s="5" t="str">
        <f>IFERROR(__xludf.DUMMYFUNCTION("""COMPUTED_VALUE"""),"Architectural")</f>
        <v>Architectural</v>
      </c>
      <c r="D160" s="6" t="str">
        <f>IFERROR(__xludf.DUMMYFUNCTION("""COMPUTED_VALUE"""),"Architecture Modification")</f>
        <v>Architecture Modification</v>
      </c>
    </row>
    <row r="161" ht="15.75" customHeight="1">
      <c r="A161" s="5" t="str">
        <f>IFERROR(__xludf.DUMMYFUNCTION("""COMPUTED_VALUE"""),"SCOPUS-000352")</f>
        <v>SCOPUS-000352</v>
      </c>
      <c r="B161" s="5" t="str">
        <f>IFERROR(__xludf.DUMMYFUNCTION("""COMPUTED_VALUE"""),"SCOPUS-000352-6")</f>
        <v>SCOPUS-000352-6</v>
      </c>
      <c r="C161" s="5" t="str">
        <f>IFERROR(__xludf.DUMMYFUNCTION("""COMPUTED_VALUE"""),"Architectural")</f>
        <v>Architectural</v>
      </c>
      <c r="D161" s="6" t="str">
        <f>IFERROR(__xludf.DUMMYFUNCTION("""COMPUTED_VALUE"""),"Architecture Modification")</f>
        <v>Architecture Modification</v>
      </c>
    </row>
    <row r="162" ht="15.75" customHeight="1">
      <c r="A162" s="5" t="str">
        <f>IFERROR(__xludf.DUMMYFUNCTION("""COMPUTED_VALUE"""),"SCOPUS-000722")</f>
        <v>SCOPUS-000722</v>
      </c>
      <c r="B162" s="5" t="str">
        <f>IFERROR(__xludf.DUMMYFUNCTION("""COMPUTED_VALUE"""),"SCOPUS-000722-2")</f>
        <v>SCOPUS-000722-2</v>
      </c>
      <c r="C162" s="5" t="str">
        <f>IFERROR(__xludf.DUMMYFUNCTION("""COMPUTED_VALUE"""),"Architectural")</f>
        <v>Architectural</v>
      </c>
      <c r="D162" s="6" t="str">
        <f>IFERROR(__xludf.DUMMYFUNCTION("""COMPUTED_VALUE"""),"Loss Function Modification")</f>
        <v>Loss Function Modification</v>
      </c>
    </row>
    <row r="163" ht="15.75" customHeight="1">
      <c r="A163" s="5" t="str">
        <f>IFERROR(__xludf.DUMMYFUNCTION("""COMPUTED_VALUE"""),"SCOPUS-000722")</f>
        <v>SCOPUS-000722</v>
      </c>
      <c r="B163" s="5" t="str">
        <f>IFERROR(__xludf.DUMMYFUNCTION("""COMPUTED_VALUE"""),"SCOPUS-000722-3")</f>
        <v>SCOPUS-000722-3</v>
      </c>
      <c r="C163" s="5" t="str">
        <f>IFERROR(__xludf.DUMMYFUNCTION("""COMPUTED_VALUE"""),"Architectural")</f>
        <v>Architectural</v>
      </c>
      <c r="D163" s="6" t="str">
        <f>IFERROR(__xludf.DUMMYFUNCTION("""COMPUTED_VALUE"""),"Loss Function Modification")</f>
        <v>Loss Function Modification</v>
      </c>
    </row>
    <row r="164" ht="15.75" customHeight="1">
      <c r="A164" s="5" t="str">
        <f>IFERROR(__xludf.DUMMYFUNCTION("""COMPUTED_VALUE"""),"SCOPUS-000722")</f>
        <v>SCOPUS-000722</v>
      </c>
      <c r="B164" s="5" t="str">
        <f>IFERROR(__xludf.DUMMYFUNCTION("""COMPUTED_VALUE"""),"SCOPUS-000722-4")</f>
        <v>SCOPUS-000722-4</v>
      </c>
      <c r="C164" s="5" t="str">
        <f>IFERROR(__xludf.DUMMYFUNCTION("""COMPUTED_VALUE"""),"Architectural")</f>
        <v>Architectural</v>
      </c>
      <c r="D164" s="6" t="str">
        <f>IFERROR(__xludf.DUMMYFUNCTION("""COMPUTED_VALUE"""),"Loss Function Modification")</f>
        <v>Loss Function Modification</v>
      </c>
    </row>
    <row r="165" ht="15.75" customHeight="1">
      <c r="A165" s="5" t="str">
        <f>IFERROR(__xludf.DUMMYFUNCTION("""COMPUTED_VALUE"""),"SCOPUS-000328")</f>
        <v>SCOPUS-000328</v>
      </c>
      <c r="B165" s="5" t="str">
        <f>IFERROR(__xludf.DUMMYFUNCTION("""COMPUTED_VALUE"""),"SCOPUS-000328-2")</f>
        <v>SCOPUS-000328-2</v>
      </c>
      <c r="C165" s="5" t="str">
        <f>IFERROR(__xludf.DUMMYFUNCTION("""COMPUTED_VALUE"""),"Architectural")</f>
        <v>Architectural</v>
      </c>
      <c r="D165" s="6" t="str">
        <f>IFERROR(__xludf.DUMMYFUNCTION("""COMPUTED_VALUE"""),"Attention Mechanism")</f>
        <v>Attention Mechanism</v>
      </c>
    </row>
    <row r="166" ht="15.75" customHeight="1">
      <c r="A166" s="5" t="str">
        <f>IFERROR(__xludf.DUMMYFUNCTION("""COMPUTED_VALUE"""),"SCOPUS-000328")</f>
        <v>SCOPUS-000328</v>
      </c>
      <c r="B166" s="5" t="str">
        <f>IFERROR(__xludf.DUMMYFUNCTION("""COMPUTED_VALUE"""),"SCOPUS-000328-3")</f>
        <v>SCOPUS-000328-3</v>
      </c>
      <c r="C166" s="5" t="str">
        <f>IFERROR(__xludf.DUMMYFUNCTION("""COMPUTED_VALUE"""),"Architectural")</f>
        <v>Architectural</v>
      </c>
      <c r="D166" s="6" t="str">
        <f>IFERROR(__xludf.DUMMYFUNCTION("""COMPUTED_VALUE"""),"Attention Mechanism")</f>
        <v>Attention Mechanism</v>
      </c>
    </row>
    <row r="167" ht="15.75" customHeight="1">
      <c r="A167" s="5" t="str">
        <f>IFERROR(__xludf.DUMMYFUNCTION("""COMPUTED_VALUE"""),"SCOPUS-000328")</f>
        <v>SCOPUS-000328</v>
      </c>
      <c r="B167" s="5" t="str">
        <f>IFERROR(__xludf.DUMMYFUNCTION("""COMPUTED_VALUE"""),"SCOPUS-000328-4")</f>
        <v>SCOPUS-000328-4</v>
      </c>
      <c r="C167" s="5" t="str">
        <f>IFERROR(__xludf.DUMMYFUNCTION("""COMPUTED_VALUE"""),"Architectural")</f>
        <v>Architectural</v>
      </c>
      <c r="D167" s="6" t="str">
        <f>IFERROR(__xludf.DUMMYFUNCTION("""COMPUTED_VALUE"""),"Attention Mechanism")</f>
        <v>Attention Mechanism</v>
      </c>
    </row>
    <row r="168" ht="15.75" customHeight="1">
      <c r="A168" s="5" t="str">
        <f>IFERROR(__xludf.DUMMYFUNCTION("""COMPUTED_VALUE"""),"SCOPUS-000280")</f>
        <v>SCOPUS-000280</v>
      </c>
      <c r="B168" s="5" t="str">
        <f>IFERROR(__xludf.DUMMYFUNCTION("""COMPUTED_VALUE"""),"SCOPUS-000280-2")</f>
        <v>SCOPUS-000280-2</v>
      </c>
      <c r="C168" s="5" t="str">
        <f>IFERROR(__xludf.DUMMYFUNCTION("""COMPUTED_VALUE"""),"Architectural")</f>
        <v>Architectural</v>
      </c>
      <c r="D168" s="6" t="str">
        <f>IFERROR(__xludf.DUMMYFUNCTION("""COMPUTED_VALUE"""),"Architecture Modification")</f>
        <v>Architecture Modification</v>
      </c>
    </row>
    <row r="169" ht="15.75" customHeight="1">
      <c r="A169" s="5" t="str">
        <f>IFERROR(__xludf.DUMMYFUNCTION("""COMPUTED_VALUE"""),"SCOPUS-000280")</f>
        <v>SCOPUS-000280</v>
      </c>
      <c r="B169" s="5" t="str">
        <f>IFERROR(__xludf.DUMMYFUNCTION("""COMPUTED_VALUE"""),"SCOPUS-000280-3")</f>
        <v>SCOPUS-000280-3</v>
      </c>
      <c r="C169" s="5" t="str">
        <f>IFERROR(__xludf.DUMMYFUNCTION("""COMPUTED_VALUE"""),"Architectural")</f>
        <v>Architectural</v>
      </c>
      <c r="D169" s="6" t="str">
        <f>IFERROR(__xludf.DUMMYFUNCTION("""COMPUTED_VALUE"""),"Architecture Modification")</f>
        <v>Architecture Modification</v>
      </c>
    </row>
    <row r="170" ht="15.75" customHeight="1">
      <c r="A170" s="5" t="str">
        <f>IFERROR(__xludf.DUMMYFUNCTION("""COMPUTED_VALUE"""),"SCOPUS-000280")</f>
        <v>SCOPUS-000280</v>
      </c>
      <c r="B170" s="5" t="str">
        <f>IFERROR(__xludf.DUMMYFUNCTION("""COMPUTED_VALUE"""),"SCOPUS-000280-4")</f>
        <v>SCOPUS-000280-4</v>
      </c>
      <c r="C170" s="5" t="str">
        <f>IFERROR(__xludf.DUMMYFUNCTION("""COMPUTED_VALUE"""),"Architectural")</f>
        <v>Architectural</v>
      </c>
      <c r="D170" s="6" t="str">
        <f>IFERROR(__xludf.DUMMYFUNCTION("""COMPUTED_VALUE"""),"Architecture Modification")</f>
        <v>Architecture Modification</v>
      </c>
    </row>
    <row r="171" ht="15.75" customHeight="1">
      <c r="A171" s="5" t="str">
        <f>IFERROR(__xludf.DUMMYFUNCTION("""COMPUTED_VALUE"""),"SCOPUS-000261")</f>
        <v>SCOPUS-000261</v>
      </c>
      <c r="B171" s="5" t="str">
        <f>IFERROR(__xludf.DUMMYFUNCTION("""COMPUTED_VALUE"""),"SCOPUS-000261-3")</f>
        <v>SCOPUS-000261-3</v>
      </c>
      <c r="C171" s="5" t="str">
        <f>IFERROR(__xludf.DUMMYFUNCTION("""COMPUTED_VALUE"""),"Data-Centric")</f>
        <v>Data-Centric</v>
      </c>
      <c r="D171" s="6" t="str">
        <f>IFERROR(__xludf.DUMMYFUNCTION("""COMPUTED_VALUE"""),"Transfer Learning")</f>
        <v>Transfer Learning</v>
      </c>
    </row>
    <row r="172" ht="15.75" customHeight="1">
      <c r="A172" s="5" t="str">
        <f>IFERROR(__xludf.DUMMYFUNCTION("""COMPUTED_VALUE"""),"SCOPUS-000261")</f>
        <v>SCOPUS-000261</v>
      </c>
      <c r="B172" s="5" t="str">
        <f>IFERROR(__xludf.DUMMYFUNCTION("""COMPUTED_VALUE"""),"SCOPUS-000261-4")</f>
        <v>SCOPUS-000261-4</v>
      </c>
      <c r="C172" s="5" t="str">
        <f>IFERROR(__xludf.DUMMYFUNCTION("""COMPUTED_VALUE"""),"Data-Centric")</f>
        <v>Data-Centric</v>
      </c>
      <c r="D172" s="6" t="str">
        <f>IFERROR(__xludf.DUMMYFUNCTION("""COMPUTED_VALUE"""),"Transfer Learning")</f>
        <v>Transfer Learning</v>
      </c>
    </row>
    <row r="173" ht="15.75" customHeight="1">
      <c r="A173" s="5" t="str">
        <f>IFERROR(__xludf.DUMMYFUNCTION("""COMPUTED_VALUE"""),"SCOPUS-000487")</f>
        <v>SCOPUS-000487</v>
      </c>
      <c r="B173" s="5" t="str">
        <f>IFERROR(__xludf.DUMMYFUNCTION("""COMPUTED_VALUE"""),"SCOPUS-000487-2")</f>
        <v>SCOPUS-000487-2</v>
      </c>
      <c r="C173" s="5" t="str">
        <f>IFERROR(__xludf.DUMMYFUNCTION("""COMPUTED_VALUE"""),"Data-Centric")</f>
        <v>Data-Centric</v>
      </c>
      <c r="D173" s="6" t="str">
        <f>IFERROR(__xludf.DUMMYFUNCTION("""COMPUTED_VALUE"""),"Synthetic Data Generation")</f>
        <v>Synthetic Data Generation</v>
      </c>
    </row>
    <row r="174" ht="15.75" customHeight="1">
      <c r="A174" s="5" t="str">
        <f>IFERROR(__xludf.DUMMYFUNCTION("""COMPUTED_VALUE"""),"SCOPUS-000286")</f>
        <v>SCOPUS-000286</v>
      </c>
      <c r="B174" s="5" t="str">
        <f>IFERROR(__xludf.DUMMYFUNCTION("""COMPUTED_VALUE"""),"SCOPUS-000286-2")</f>
        <v>SCOPUS-000286-2</v>
      </c>
      <c r="C174" s="5" t="str">
        <f>IFERROR(__xludf.DUMMYFUNCTION("""COMPUTED_VALUE"""),"Architectural")</f>
        <v>Architectural</v>
      </c>
      <c r="D174" s="6" t="str">
        <f>IFERROR(__xludf.DUMMYFUNCTION("""COMPUTED_VALUE"""),"Architecture Modification")</f>
        <v>Architecture Modification</v>
      </c>
    </row>
    <row r="175" ht="15.75" customHeight="1">
      <c r="A175" s="5" t="str">
        <f>IFERROR(__xludf.DUMMYFUNCTION("""COMPUTED_VALUE"""),"SCOPUS-000286")</f>
        <v>SCOPUS-000286</v>
      </c>
      <c r="B175" s="5" t="str">
        <f>IFERROR(__xludf.DUMMYFUNCTION("""COMPUTED_VALUE"""),"SCOPUS-000286-3")</f>
        <v>SCOPUS-000286-3</v>
      </c>
      <c r="C175" s="5" t="str">
        <f>IFERROR(__xludf.DUMMYFUNCTION("""COMPUTED_VALUE"""),"Architectural")</f>
        <v>Architectural</v>
      </c>
      <c r="D175" s="6" t="str">
        <f>IFERROR(__xludf.DUMMYFUNCTION("""COMPUTED_VALUE"""),"Architecture Modification")</f>
        <v>Architecture Modification</v>
      </c>
    </row>
    <row r="176" ht="15.75" customHeight="1">
      <c r="A176" s="5" t="str">
        <f>IFERROR(__xludf.DUMMYFUNCTION("""COMPUTED_VALUE"""),"SCOPUS-000153")</f>
        <v>SCOPUS-000153</v>
      </c>
      <c r="B176" s="5" t="str">
        <f>IFERROR(__xludf.DUMMYFUNCTION("""COMPUTED_VALUE"""),"SCOPUS-000153-4")</f>
        <v>SCOPUS-000153-4</v>
      </c>
      <c r="C176" s="5" t="str">
        <f>IFERROR(__xludf.DUMMYFUNCTION("""COMPUTED_VALUE"""),"Data-Centric")</f>
        <v>Data-Centric</v>
      </c>
      <c r="D176" s="6" t="str">
        <f>IFERROR(__xludf.DUMMYFUNCTION("""COMPUTED_VALUE"""),"Data Processing")</f>
        <v>Data Processing</v>
      </c>
    </row>
    <row r="177" ht="15.75" customHeight="1">
      <c r="A177" s="5" t="str">
        <f>IFERROR(__xludf.DUMMYFUNCTION("""COMPUTED_VALUE"""),"SCOPUS-000153")</f>
        <v>SCOPUS-000153</v>
      </c>
      <c r="B177" s="5" t="str">
        <f>IFERROR(__xludf.DUMMYFUNCTION("""COMPUTED_VALUE"""),"SCOPUS-000153-5")</f>
        <v>SCOPUS-000153-5</v>
      </c>
      <c r="C177" s="5" t="str">
        <f>IFERROR(__xludf.DUMMYFUNCTION("""COMPUTED_VALUE"""),"Data-Centric")</f>
        <v>Data-Centric</v>
      </c>
      <c r="D177" s="6" t="str">
        <f>IFERROR(__xludf.DUMMYFUNCTION("""COMPUTED_VALUE"""),"Data Processing")</f>
        <v>Data Processing</v>
      </c>
    </row>
    <row r="178" ht="15.75" customHeight="1">
      <c r="A178" s="5" t="str">
        <f>IFERROR(__xludf.DUMMYFUNCTION("""COMPUTED_VALUE"""),"SCOPUS-000153")</f>
        <v>SCOPUS-000153</v>
      </c>
      <c r="B178" s="5" t="str">
        <f>IFERROR(__xludf.DUMMYFUNCTION("""COMPUTED_VALUE"""),"SCOPUS-000153-6")</f>
        <v>SCOPUS-000153-6</v>
      </c>
      <c r="C178" s="5" t="str">
        <f>IFERROR(__xludf.DUMMYFUNCTION("""COMPUTED_VALUE"""),"Data-Centric")</f>
        <v>Data-Centric</v>
      </c>
      <c r="D178" s="6" t="str">
        <f>IFERROR(__xludf.DUMMYFUNCTION("""COMPUTED_VALUE"""),"Data Processing")</f>
        <v>Data Processing</v>
      </c>
    </row>
    <row r="179" ht="15.75" customHeight="1">
      <c r="A179" s="5" t="str">
        <f>IFERROR(__xludf.DUMMYFUNCTION("""COMPUTED_VALUE"""),"SCOPUS-000276")</f>
        <v>SCOPUS-000276</v>
      </c>
      <c r="B179" s="5" t="str">
        <f>IFERROR(__xludf.DUMMYFUNCTION("""COMPUTED_VALUE"""),"SCOPUS-000276-3")</f>
        <v>SCOPUS-000276-3</v>
      </c>
      <c r="C179" s="5" t="str">
        <f>IFERROR(__xludf.DUMMYFUNCTION("""COMPUTED_VALUE"""),"Architectural")</f>
        <v>Architectural</v>
      </c>
      <c r="D179" s="6" t="str">
        <f>IFERROR(__xludf.DUMMYFUNCTION("""COMPUTED_VALUE"""),"Attention Mechanism")</f>
        <v>Attention Mechanism</v>
      </c>
    </row>
    <row r="180" ht="15.75" customHeight="1">
      <c r="A180" s="5" t="str">
        <f>IFERROR(__xludf.DUMMYFUNCTION("""COMPUTED_VALUE"""),"SCOPUS-000642")</f>
        <v>SCOPUS-000642</v>
      </c>
      <c r="B180" s="5" t="str">
        <f>IFERROR(__xludf.DUMMYFUNCTION("""COMPUTED_VALUE"""),"SCOPUS-000642-2")</f>
        <v>SCOPUS-000642-2</v>
      </c>
      <c r="C180" s="5" t="str">
        <f>IFERROR(__xludf.DUMMYFUNCTION("""COMPUTED_VALUE"""),"Architectural")</f>
        <v>Architectural</v>
      </c>
      <c r="D180" s="6" t="str">
        <f>IFERROR(__xludf.DUMMYFUNCTION("""COMPUTED_VALUE"""),"Architecture Modification")</f>
        <v>Architecture Modification</v>
      </c>
    </row>
    <row r="181" ht="15.75" customHeight="1">
      <c r="A181" s="5" t="str">
        <f>IFERROR(__xludf.DUMMYFUNCTION("""COMPUTED_VALUE"""),"SCOPUS-000448")</f>
        <v>SCOPUS-000448</v>
      </c>
      <c r="B181" s="5" t="str">
        <f>IFERROR(__xludf.DUMMYFUNCTION("""COMPUTED_VALUE"""),"SCOPUS-000448-3")</f>
        <v>SCOPUS-000448-3</v>
      </c>
      <c r="C181" s="5" t="str">
        <f>IFERROR(__xludf.DUMMYFUNCTION("""COMPUTED_VALUE"""),"Architectural")</f>
        <v>Architectural</v>
      </c>
      <c r="D181" s="6" t="str">
        <f>IFERROR(__xludf.DUMMYFUNCTION("""COMPUTED_VALUE"""),"Architecture Modification")</f>
        <v>Architecture Modification</v>
      </c>
    </row>
    <row r="182" ht="15.75" customHeight="1">
      <c r="A182" s="5" t="str">
        <f>IFERROR(__xludf.DUMMYFUNCTION("""COMPUTED_VALUE"""),"SCOPUS-000629")</f>
        <v>SCOPUS-000629</v>
      </c>
      <c r="B182" s="5" t="str">
        <f>IFERROR(__xludf.DUMMYFUNCTION("""COMPUTED_VALUE"""),"SCOPUS-000629-2")</f>
        <v>SCOPUS-000629-2</v>
      </c>
      <c r="C182" s="5" t="str">
        <f>IFERROR(__xludf.DUMMYFUNCTION("""COMPUTED_VALUE"""),"Data-Centric")</f>
        <v>Data-Centric</v>
      </c>
      <c r="D182" s="6" t="str">
        <f>IFERROR(__xludf.DUMMYFUNCTION("""COMPUTED_VALUE"""),"Synthetic Data Generation")</f>
        <v>Synthetic Data Generation</v>
      </c>
    </row>
    <row r="183" ht="15.75" customHeight="1">
      <c r="A183" s="5" t="str">
        <f>IFERROR(__xludf.DUMMYFUNCTION("""COMPUTED_VALUE"""),"SCOPUS-000629")</f>
        <v>SCOPUS-000629</v>
      </c>
      <c r="B183" s="5" t="str">
        <f>IFERROR(__xludf.DUMMYFUNCTION("""COMPUTED_VALUE"""),"SCOPUS-000629-3")</f>
        <v>SCOPUS-000629-3</v>
      </c>
      <c r="C183" s="5" t="str">
        <f>IFERROR(__xludf.DUMMYFUNCTION("""COMPUTED_VALUE"""),"Data-Centric")</f>
        <v>Data-Centric</v>
      </c>
      <c r="D183" s="6" t="str">
        <f>IFERROR(__xludf.DUMMYFUNCTION("""COMPUTED_VALUE"""),"Synthetic Data Generation")</f>
        <v>Synthetic Data Generation</v>
      </c>
    </row>
    <row r="184" ht="15.75" customHeight="1">
      <c r="A184" s="5" t="str">
        <f>IFERROR(__xludf.DUMMYFUNCTION("""COMPUTED_VALUE"""),"SCOPUS-000629")</f>
        <v>SCOPUS-000629</v>
      </c>
      <c r="B184" s="5" t="str">
        <f>IFERROR(__xludf.DUMMYFUNCTION("""COMPUTED_VALUE"""),"SCOPUS-000629-4")</f>
        <v>SCOPUS-000629-4</v>
      </c>
      <c r="C184" s="5" t="str">
        <f>IFERROR(__xludf.DUMMYFUNCTION("""COMPUTED_VALUE"""),"Data-Centric")</f>
        <v>Data-Centric</v>
      </c>
      <c r="D184" s="6" t="str">
        <f>IFERROR(__xludf.DUMMYFUNCTION("""COMPUTED_VALUE"""),"Synthetic Data Generation")</f>
        <v>Synthetic Data Generation</v>
      </c>
    </row>
    <row r="185" ht="15.75" customHeight="1">
      <c r="A185" s="5" t="str">
        <f>IFERROR(__xludf.DUMMYFUNCTION("""COMPUTED_VALUE"""),"SCOPUS-000629")</f>
        <v>SCOPUS-000629</v>
      </c>
      <c r="B185" s="5" t="str">
        <f>IFERROR(__xludf.DUMMYFUNCTION("""COMPUTED_VALUE"""),"SCOPUS-000629-5")</f>
        <v>SCOPUS-000629-5</v>
      </c>
      <c r="C185" s="5" t="str">
        <f>IFERROR(__xludf.DUMMYFUNCTION("""COMPUTED_VALUE"""),"Data-Centric")</f>
        <v>Data-Centric</v>
      </c>
      <c r="D185" s="6" t="str">
        <f>IFERROR(__xludf.DUMMYFUNCTION("""COMPUTED_VALUE"""),"Synthetic Data Generation")</f>
        <v>Synthetic Data Generation</v>
      </c>
    </row>
    <row r="186" ht="15.75" customHeight="1">
      <c r="A186" s="5" t="str">
        <f>IFERROR(__xludf.DUMMYFUNCTION("""COMPUTED_VALUE"""),"SCOPUS-000246")</f>
        <v>SCOPUS-000246</v>
      </c>
      <c r="B186" s="5" t="str">
        <f>IFERROR(__xludf.DUMMYFUNCTION("""COMPUTED_VALUE"""),"SCOPUS-000246-5")</f>
        <v>SCOPUS-000246-5</v>
      </c>
      <c r="C186" s="5" t="str">
        <f>IFERROR(__xludf.DUMMYFUNCTION("""COMPUTED_VALUE"""),"Architectural")</f>
        <v>Architectural</v>
      </c>
      <c r="D186" s="6" t="str">
        <f>IFERROR(__xludf.DUMMYFUNCTION("""COMPUTED_VALUE"""),"Architecture Modification")</f>
        <v>Architecture Modification</v>
      </c>
    </row>
    <row r="187" ht="15.75" customHeight="1">
      <c r="A187" s="5" t="str">
        <f>IFERROR(__xludf.DUMMYFUNCTION("""COMPUTED_VALUE"""),"SCOPUS-000246")</f>
        <v>SCOPUS-000246</v>
      </c>
      <c r="B187" s="5" t="str">
        <f>IFERROR(__xludf.DUMMYFUNCTION("""COMPUTED_VALUE"""),"SCOPUS-000246-6")</f>
        <v>SCOPUS-000246-6</v>
      </c>
      <c r="C187" s="5" t="str">
        <f>IFERROR(__xludf.DUMMYFUNCTION("""COMPUTED_VALUE"""),"Architectural")</f>
        <v>Architectural</v>
      </c>
      <c r="D187" s="6" t="str">
        <f>IFERROR(__xludf.DUMMYFUNCTION("""COMPUTED_VALUE"""),"Architecture Modification")</f>
        <v>Architecture Modification</v>
      </c>
    </row>
    <row r="188" ht="15.75" customHeight="1">
      <c r="A188" s="5" t="str">
        <f>IFERROR(__xludf.DUMMYFUNCTION("""COMPUTED_VALUE"""),"SCOPUS-000246")</f>
        <v>SCOPUS-000246</v>
      </c>
      <c r="B188" s="5" t="str">
        <f>IFERROR(__xludf.DUMMYFUNCTION("""COMPUTED_VALUE"""),"SCOPUS-000246-7")</f>
        <v>SCOPUS-000246-7</v>
      </c>
      <c r="C188" s="5" t="str">
        <f>IFERROR(__xludf.DUMMYFUNCTION("""COMPUTED_VALUE"""),"Architectural")</f>
        <v>Architectural</v>
      </c>
      <c r="D188" s="6" t="str">
        <f>IFERROR(__xludf.DUMMYFUNCTION("""COMPUTED_VALUE"""),"Architecture Modification")</f>
        <v>Architecture Modification</v>
      </c>
    </row>
    <row r="189" ht="15.75" customHeight="1">
      <c r="A189" s="5" t="str">
        <f>IFERROR(__xludf.DUMMYFUNCTION("""COMPUTED_VALUE"""),"SCOPUS-000719")</f>
        <v>SCOPUS-000719</v>
      </c>
      <c r="B189" s="5" t="str">
        <f>IFERROR(__xludf.DUMMYFUNCTION("""COMPUTED_VALUE"""),"SCOPUS-000719-3")</f>
        <v>SCOPUS-000719-3</v>
      </c>
      <c r="C189" s="5" t="str">
        <f>IFERROR(__xludf.DUMMYFUNCTION("""COMPUTED_VALUE"""),"Architectural")</f>
        <v>Architectural</v>
      </c>
      <c r="D189" s="6" t="str">
        <f>IFERROR(__xludf.DUMMYFUNCTION("""COMPUTED_VALUE"""),"Architecture Modification")</f>
        <v>Architecture Modification</v>
      </c>
    </row>
    <row r="190" ht="15.75" customHeight="1">
      <c r="A190" s="5" t="str">
        <f>IFERROR(__xludf.DUMMYFUNCTION("""COMPUTED_VALUE"""),"SCOPUS-000719")</f>
        <v>SCOPUS-000719</v>
      </c>
      <c r="B190" s="5" t="str">
        <f>IFERROR(__xludf.DUMMYFUNCTION("""COMPUTED_VALUE"""),"SCOPUS-000719-4")</f>
        <v>SCOPUS-000719-4</v>
      </c>
      <c r="C190" s="5" t="str">
        <f>IFERROR(__xludf.DUMMYFUNCTION("""COMPUTED_VALUE"""),"Architectural")</f>
        <v>Architectural</v>
      </c>
      <c r="D190" s="6" t="str">
        <f>IFERROR(__xludf.DUMMYFUNCTION("""COMPUTED_VALUE"""),"Architecture Modification")</f>
        <v>Architecture Modification</v>
      </c>
    </row>
    <row r="191" ht="15.75" customHeight="1">
      <c r="A191" s="5" t="str">
        <f>IFERROR(__xludf.DUMMYFUNCTION("""COMPUTED_VALUE"""),"SCOPUS-000139")</f>
        <v>SCOPUS-000139</v>
      </c>
      <c r="B191" s="5" t="str">
        <f>IFERROR(__xludf.DUMMYFUNCTION("""COMPUTED_VALUE"""),"SCOPUS-000139-5")</f>
        <v>SCOPUS-000139-5</v>
      </c>
      <c r="C191" s="5" t="str">
        <f>IFERROR(__xludf.DUMMYFUNCTION("""COMPUTED_VALUE"""),"Data-Centric")</f>
        <v>Data-Centric</v>
      </c>
      <c r="D191" s="6" t="str">
        <f>IFERROR(__xludf.DUMMYFUNCTION("""COMPUTED_VALUE"""),"Synthetic Data Generation")</f>
        <v>Synthetic Data Generation</v>
      </c>
    </row>
    <row r="192" ht="15.75" customHeight="1">
      <c r="A192" s="5" t="str">
        <f>IFERROR(__xludf.DUMMYFUNCTION("""COMPUTED_VALUE"""),"SCOPUS-000574")</f>
        <v>SCOPUS-000574</v>
      </c>
      <c r="B192" s="5" t="str">
        <f>IFERROR(__xludf.DUMMYFUNCTION("""COMPUTED_VALUE"""),"SCOPUS-000574-7")</f>
        <v>SCOPUS-000574-7</v>
      </c>
      <c r="C192" s="5" t="str">
        <f>IFERROR(__xludf.DUMMYFUNCTION("""COMPUTED_VALUE"""),"Data-Centric")</f>
        <v>Data-Centric</v>
      </c>
      <c r="D192" s="6" t="str">
        <f>IFERROR(__xludf.DUMMYFUNCTION("""COMPUTED_VALUE"""),"Domain Adaptation")</f>
        <v>Domain Adaptation</v>
      </c>
    </row>
    <row r="193" ht="15.75" customHeight="1">
      <c r="A193" s="5" t="str">
        <f>IFERROR(__xludf.DUMMYFUNCTION("""COMPUTED_VALUE"""),"SCOPUS-000574")</f>
        <v>SCOPUS-000574</v>
      </c>
      <c r="B193" s="5" t="str">
        <f>IFERROR(__xludf.DUMMYFUNCTION("""COMPUTED_VALUE"""),"SCOPUS-000574-8")</f>
        <v>SCOPUS-000574-8</v>
      </c>
      <c r="C193" s="5" t="str">
        <f>IFERROR(__xludf.DUMMYFUNCTION("""COMPUTED_VALUE"""),"Data-Centric")</f>
        <v>Data-Centric</v>
      </c>
      <c r="D193" s="6" t="str">
        <f>IFERROR(__xludf.DUMMYFUNCTION("""COMPUTED_VALUE"""),"Domain Adaptation")</f>
        <v>Domain Adaptation</v>
      </c>
    </row>
    <row r="194" ht="15.75" customHeight="1">
      <c r="A194" s="5" t="str">
        <f>IFERROR(__xludf.DUMMYFUNCTION("""COMPUTED_VALUE"""),"SCOPUS-000574")</f>
        <v>SCOPUS-000574</v>
      </c>
      <c r="B194" s="5" t="str">
        <f>IFERROR(__xludf.DUMMYFUNCTION("""COMPUTED_VALUE"""),"SCOPUS-000574-9")</f>
        <v>SCOPUS-000574-9</v>
      </c>
      <c r="C194" s="5" t="str">
        <f>IFERROR(__xludf.DUMMYFUNCTION("""COMPUTED_VALUE"""),"Data-Centric")</f>
        <v>Data-Centric</v>
      </c>
      <c r="D194" s="6" t="str">
        <f>IFERROR(__xludf.DUMMYFUNCTION("""COMPUTED_VALUE"""),"Domain Adaptation")</f>
        <v>Domain Adaptation</v>
      </c>
    </row>
    <row r="195" ht="15.75" customHeight="1">
      <c r="A195" s="5" t="str">
        <f>IFERROR(__xludf.DUMMYFUNCTION("""COMPUTED_VALUE"""),"SCOPUS-000574")</f>
        <v>SCOPUS-000574</v>
      </c>
      <c r="B195" s="5" t="str">
        <f>IFERROR(__xludf.DUMMYFUNCTION("""COMPUTED_VALUE"""),"SCOPUS-000574-10")</f>
        <v>SCOPUS-000574-10</v>
      </c>
      <c r="C195" s="5" t="str">
        <f>IFERROR(__xludf.DUMMYFUNCTION("""COMPUTED_VALUE"""),"Data-Centric")</f>
        <v>Data-Centric</v>
      </c>
      <c r="D195" s="6" t="str">
        <f>IFERROR(__xludf.DUMMYFUNCTION("""COMPUTED_VALUE"""),"Domain Adaptation")</f>
        <v>Domain Adaptation</v>
      </c>
    </row>
    <row r="196" ht="15.75" customHeight="1">
      <c r="A196" s="5" t="str">
        <f>IFERROR(__xludf.DUMMYFUNCTION("""COMPUTED_VALUE"""),"SCOPUS-000574")</f>
        <v>SCOPUS-000574</v>
      </c>
      <c r="B196" s="5" t="str">
        <f>IFERROR(__xludf.DUMMYFUNCTION("""COMPUTED_VALUE"""),"SCOPUS-000574-11")</f>
        <v>SCOPUS-000574-11</v>
      </c>
      <c r="C196" s="5" t="str">
        <f>IFERROR(__xludf.DUMMYFUNCTION("""COMPUTED_VALUE"""),"Data-Centric")</f>
        <v>Data-Centric</v>
      </c>
      <c r="D196" s="6" t="str">
        <f>IFERROR(__xludf.DUMMYFUNCTION("""COMPUTED_VALUE"""),"Domain Adaptation")</f>
        <v>Domain Adaptation</v>
      </c>
    </row>
    <row r="197" ht="15.75" customHeight="1">
      <c r="A197" s="5" t="str">
        <f>IFERROR(__xludf.DUMMYFUNCTION("""COMPUTED_VALUE"""),"SCOPUS-000013")</f>
        <v>SCOPUS-000013</v>
      </c>
      <c r="B197" s="5" t="str">
        <f>IFERROR(__xludf.DUMMYFUNCTION("""COMPUTED_VALUE"""),"SCOPUS-000013-6")</f>
        <v>SCOPUS-000013-6</v>
      </c>
      <c r="C197" s="5" t="str">
        <f>IFERROR(__xludf.DUMMYFUNCTION("""COMPUTED_VALUE"""),"Architectural")</f>
        <v>Architectural</v>
      </c>
      <c r="D197" s="6" t="str">
        <f>IFERROR(__xludf.DUMMYFUNCTION("""COMPUTED_VALUE"""),"Architecture Modification")</f>
        <v>Architecture Modification</v>
      </c>
    </row>
    <row r="198" ht="15.75" customHeight="1">
      <c r="A198" s="5" t="str">
        <f>IFERROR(__xludf.DUMMYFUNCTION("""COMPUTED_VALUE"""),"SCOPUS-000013")</f>
        <v>SCOPUS-000013</v>
      </c>
      <c r="B198" s="5" t="str">
        <f>IFERROR(__xludf.DUMMYFUNCTION("""COMPUTED_VALUE"""),"SCOPUS-000013-7")</f>
        <v>SCOPUS-000013-7</v>
      </c>
      <c r="C198" s="5" t="str">
        <f>IFERROR(__xludf.DUMMYFUNCTION("""COMPUTED_VALUE"""),"Architectural")</f>
        <v>Architectural</v>
      </c>
      <c r="D198" s="6" t="str">
        <f>IFERROR(__xludf.DUMMYFUNCTION("""COMPUTED_VALUE"""),"Architecture Modification")</f>
        <v>Architecture Modification</v>
      </c>
    </row>
    <row r="199" ht="15.75" customHeight="1">
      <c r="A199" s="5" t="str">
        <f>IFERROR(__xludf.DUMMYFUNCTION("""COMPUTED_VALUE"""),"SCOPUS-000013")</f>
        <v>SCOPUS-000013</v>
      </c>
      <c r="B199" s="5" t="str">
        <f>IFERROR(__xludf.DUMMYFUNCTION("""COMPUTED_VALUE"""),"SCOPUS-000013-8")</f>
        <v>SCOPUS-000013-8</v>
      </c>
      <c r="C199" s="5" t="str">
        <f>IFERROR(__xludf.DUMMYFUNCTION("""COMPUTED_VALUE"""),"Architectural")</f>
        <v>Architectural</v>
      </c>
      <c r="D199" s="6" t="str">
        <f>IFERROR(__xludf.DUMMYFUNCTION("""COMPUTED_VALUE"""),"Architecture Modification")</f>
        <v>Architecture Modification</v>
      </c>
    </row>
    <row r="200" ht="15.75" customHeight="1">
      <c r="A200" s="5" t="str">
        <f>IFERROR(__xludf.DUMMYFUNCTION("""COMPUTED_VALUE"""),"SCOPUS-000295")</f>
        <v>SCOPUS-000295</v>
      </c>
      <c r="B200" s="5" t="str">
        <f>IFERROR(__xludf.DUMMYFUNCTION("""COMPUTED_VALUE"""),"SCOPUS-000295-2")</f>
        <v>SCOPUS-000295-2</v>
      </c>
      <c r="C200" s="5" t="str">
        <f>IFERROR(__xludf.DUMMYFUNCTION("""COMPUTED_VALUE"""),"Architectural")</f>
        <v>Architectural</v>
      </c>
      <c r="D200" s="6" t="str">
        <f>IFERROR(__xludf.DUMMYFUNCTION("""COMPUTED_VALUE"""),"Architecture Modification")</f>
        <v>Architecture Modification</v>
      </c>
    </row>
    <row r="201" ht="15.75" customHeight="1">
      <c r="A201" s="5" t="str">
        <f>IFERROR(__xludf.DUMMYFUNCTION("""COMPUTED_VALUE"""),"SCOPUS-000295")</f>
        <v>SCOPUS-000295</v>
      </c>
      <c r="B201" s="5" t="str">
        <f>IFERROR(__xludf.DUMMYFUNCTION("""COMPUTED_VALUE"""),"SCOPUS-000295-3")</f>
        <v>SCOPUS-000295-3</v>
      </c>
      <c r="C201" s="5" t="str">
        <f>IFERROR(__xludf.DUMMYFUNCTION("""COMPUTED_VALUE"""),"Architectural")</f>
        <v>Architectural</v>
      </c>
      <c r="D201" s="6" t="str">
        <f>IFERROR(__xludf.DUMMYFUNCTION("""COMPUTED_VALUE"""),"Architecture Modification")</f>
        <v>Architecture Modification</v>
      </c>
    </row>
    <row r="202" ht="15.75" customHeight="1">
      <c r="A202" s="5" t="str">
        <f>IFERROR(__xludf.DUMMYFUNCTION("""COMPUTED_VALUE"""),"SCOPUS-000295")</f>
        <v>SCOPUS-000295</v>
      </c>
      <c r="B202" s="5" t="str">
        <f>IFERROR(__xludf.DUMMYFUNCTION("""COMPUTED_VALUE"""),"SCOPUS-000295-4")</f>
        <v>SCOPUS-000295-4</v>
      </c>
      <c r="C202" s="5" t="str">
        <f>IFERROR(__xludf.DUMMYFUNCTION("""COMPUTED_VALUE"""),"Architectural")</f>
        <v>Architectural</v>
      </c>
      <c r="D202" s="6" t="str">
        <f>IFERROR(__xludf.DUMMYFUNCTION("""COMPUTED_VALUE"""),"Architecture Modification")</f>
        <v>Architecture Modification</v>
      </c>
    </row>
    <row r="203" ht="15.75" customHeight="1">
      <c r="A203" s="5" t="str">
        <f>IFERROR(__xludf.DUMMYFUNCTION("""COMPUTED_VALUE"""),"SCOPUS-000265")</f>
        <v>SCOPUS-000265</v>
      </c>
      <c r="B203" s="5" t="str">
        <f>IFERROR(__xludf.DUMMYFUNCTION("""COMPUTED_VALUE"""),"SCOPUS-000265-4")</f>
        <v>SCOPUS-000265-4</v>
      </c>
      <c r="C203" s="5" t="str">
        <f>IFERROR(__xludf.DUMMYFUNCTION("""COMPUTED_VALUE"""),"Data-Centric")</f>
        <v>Data-Centric</v>
      </c>
      <c r="D203" s="6" t="str">
        <f>IFERROR(__xludf.DUMMYFUNCTION("""COMPUTED_VALUE"""),"Data Augmentation")</f>
        <v>Data Augmentation</v>
      </c>
    </row>
    <row r="204" ht="15.75" customHeight="1">
      <c r="A204" s="5" t="str">
        <f>IFERROR(__xludf.DUMMYFUNCTION("""COMPUTED_VALUE"""),"SCOPUS-000265")</f>
        <v>SCOPUS-000265</v>
      </c>
      <c r="B204" s="5" t="str">
        <f>IFERROR(__xludf.DUMMYFUNCTION("""COMPUTED_VALUE"""),"SCOPUS-000265-5")</f>
        <v>SCOPUS-000265-5</v>
      </c>
      <c r="C204" s="5" t="str">
        <f>IFERROR(__xludf.DUMMYFUNCTION("""COMPUTED_VALUE"""),"Data-Centric")</f>
        <v>Data-Centric</v>
      </c>
      <c r="D204" s="6" t="str">
        <f>IFERROR(__xludf.DUMMYFUNCTION("""COMPUTED_VALUE"""),"Data Augmentation")</f>
        <v>Data Augmentation</v>
      </c>
    </row>
    <row r="205" ht="15.75" customHeight="1">
      <c r="A205" s="5" t="str">
        <f>IFERROR(__xludf.DUMMYFUNCTION("""COMPUTED_VALUE"""),"SCOPUS-000399")</f>
        <v>SCOPUS-000399</v>
      </c>
      <c r="B205" s="5" t="str">
        <f>IFERROR(__xludf.DUMMYFUNCTION("""COMPUTED_VALUE"""),"SCOPUS-000399-2")</f>
        <v>SCOPUS-000399-2</v>
      </c>
      <c r="C205" s="5" t="str">
        <f>IFERROR(__xludf.DUMMYFUNCTION("""COMPUTED_VALUE"""),"Data-Centric")</f>
        <v>Data-Centric</v>
      </c>
      <c r="D205" s="6" t="str">
        <f>IFERROR(__xludf.DUMMYFUNCTION("""COMPUTED_VALUE"""),"Synthetic Data Generation")</f>
        <v>Synthetic Data Generation</v>
      </c>
    </row>
    <row r="206" ht="15.75" customHeight="1">
      <c r="A206" s="5" t="str">
        <f>IFERROR(__xludf.DUMMYFUNCTION("""COMPUTED_VALUE"""),"SCOPUS-000399")</f>
        <v>SCOPUS-000399</v>
      </c>
      <c r="B206" s="5" t="str">
        <f>IFERROR(__xludf.DUMMYFUNCTION("""COMPUTED_VALUE"""),"SCOPUS-000399-3")</f>
        <v>SCOPUS-000399-3</v>
      </c>
      <c r="C206" s="5" t="str">
        <f>IFERROR(__xludf.DUMMYFUNCTION("""COMPUTED_VALUE"""),"Data-Centric")</f>
        <v>Data-Centric</v>
      </c>
      <c r="D206" s="6" t="str">
        <f>IFERROR(__xludf.DUMMYFUNCTION("""COMPUTED_VALUE"""),"Synthetic Data Generation")</f>
        <v>Synthetic Data Generation</v>
      </c>
    </row>
    <row r="207" ht="15.75" customHeight="1">
      <c r="A207" s="5" t="str">
        <f>IFERROR(__xludf.DUMMYFUNCTION("""COMPUTED_VALUE"""),"SCOPUS-000738")</f>
        <v>SCOPUS-000738</v>
      </c>
      <c r="B207" s="5" t="str">
        <f>IFERROR(__xludf.DUMMYFUNCTION("""COMPUTED_VALUE"""),"SCOPUS-000738-3")</f>
        <v>SCOPUS-000738-3</v>
      </c>
      <c r="C207" s="5" t="str">
        <f>IFERROR(__xludf.DUMMYFUNCTION("""COMPUTED_VALUE"""),"Architectural")</f>
        <v>Architectural</v>
      </c>
      <c r="D207" s="6" t="str">
        <f>IFERROR(__xludf.DUMMYFUNCTION("""COMPUTED_VALUE"""),"Patch-Based Classification")</f>
        <v>Patch-Based Classification</v>
      </c>
    </row>
    <row r="208" ht="15.75" customHeight="1">
      <c r="A208" s="5" t="str">
        <f>IFERROR(__xludf.DUMMYFUNCTION("""COMPUTED_VALUE"""),"SCOPUS-000738")</f>
        <v>SCOPUS-000738</v>
      </c>
      <c r="B208" s="5" t="str">
        <f>IFERROR(__xludf.DUMMYFUNCTION("""COMPUTED_VALUE"""),"SCOPUS-000738-4")</f>
        <v>SCOPUS-000738-4</v>
      </c>
      <c r="C208" s="5" t="str">
        <f>IFERROR(__xludf.DUMMYFUNCTION("""COMPUTED_VALUE"""),"Architectural")</f>
        <v>Architectural</v>
      </c>
      <c r="D208" s="6" t="str">
        <f>IFERROR(__xludf.DUMMYFUNCTION("""COMPUTED_VALUE"""),"Patch-Based Classification")</f>
        <v>Patch-Based Classification</v>
      </c>
    </row>
    <row r="209" ht="15.75" customHeight="1">
      <c r="A209" s="5" t="str">
        <f>IFERROR(__xludf.DUMMYFUNCTION("""COMPUTED_VALUE"""),"SCOPUS-000031")</f>
        <v>SCOPUS-000031</v>
      </c>
      <c r="B209" s="5" t="str">
        <f>IFERROR(__xludf.DUMMYFUNCTION("""COMPUTED_VALUE"""),"SCOPUS-000031-2")</f>
        <v>SCOPUS-000031-2</v>
      </c>
      <c r="C209" s="5" t="str">
        <f>IFERROR(__xludf.DUMMYFUNCTION("""COMPUTED_VALUE"""),"Architectural")</f>
        <v>Architectural</v>
      </c>
      <c r="D209" s="6" t="str">
        <f>IFERROR(__xludf.DUMMYFUNCTION("""COMPUTED_VALUE"""),"Architecture Modification")</f>
        <v>Architecture Modification</v>
      </c>
    </row>
    <row r="210" ht="15.75" customHeight="1">
      <c r="A210" s="5" t="str">
        <f>IFERROR(__xludf.DUMMYFUNCTION("""COMPUTED_VALUE"""),"SCOPUS-000031")</f>
        <v>SCOPUS-000031</v>
      </c>
      <c r="B210" s="5" t="str">
        <f>IFERROR(__xludf.DUMMYFUNCTION("""COMPUTED_VALUE"""),"SCOPUS-000031-3")</f>
        <v>SCOPUS-000031-3</v>
      </c>
      <c r="C210" s="5" t="str">
        <f>IFERROR(__xludf.DUMMYFUNCTION("""COMPUTED_VALUE"""),"Architectural")</f>
        <v>Architectural</v>
      </c>
      <c r="D210" s="6" t="str">
        <f>IFERROR(__xludf.DUMMYFUNCTION("""COMPUTED_VALUE"""),"Architecture Modification")</f>
        <v>Architecture Modification</v>
      </c>
    </row>
    <row r="211" ht="15.75" customHeight="1">
      <c r="A211" s="5" t="str">
        <f>IFERROR(__xludf.DUMMYFUNCTION("""COMPUTED_VALUE"""),"SCOPUS-000086")</f>
        <v>SCOPUS-000086</v>
      </c>
      <c r="B211" s="5" t="str">
        <f>IFERROR(__xludf.DUMMYFUNCTION("""COMPUTED_VALUE"""),"SCOPUS-000086-4")</f>
        <v>SCOPUS-000086-4</v>
      </c>
      <c r="C211" s="5" t="str">
        <f>IFERROR(__xludf.DUMMYFUNCTION("""COMPUTED_VALUE"""),"Data-Centric")</f>
        <v>Data-Centric</v>
      </c>
      <c r="D211" s="6" t="str">
        <f>IFERROR(__xludf.DUMMYFUNCTION("""COMPUTED_VALUE"""),"Pseudo Labeling")</f>
        <v>Pseudo Labeling</v>
      </c>
    </row>
    <row r="212" ht="15.75" customHeight="1">
      <c r="A212" s="5" t="str">
        <f>IFERROR(__xludf.DUMMYFUNCTION("""COMPUTED_VALUE"""),"SCOPUS-000086")</f>
        <v>SCOPUS-000086</v>
      </c>
      <c r="B212" s="5" t="str">
        <f>IFERROR(__xludf.DUMMYFUNCTION("""COMPUTED_VALUE"""),"SCOPUS-000086-5")</f>
        <v>SCOPUS-000086-5</v>
      </c>
      <c r="C212" s="5" t="str">
        <f>IFERROR(__xludf.DUMMYFUNCTION("""COMPUTED_VALUE"""),"Data-Centric")</f>
        <v>Data-Centric</v>
      </c>
      <c r="D212" s="6" t="str">
        <f>IFERROR(__xludf.DUMMYFUNCTION("""COMPUTED_VALUE"""),"Pseudo Labeling")</f>
        <v>Pseudo Labeling</v>
      </c>
    </row>
    <row r="213" ht="15.75" customHeight="1">
      <c r="A213" s="5" t="str">
        <f>IFERROR(__xludf.DUMMYFUNCTION("""COMPUTED_VALUE"""),"SCOPUS-000475")</f>
        <v>SCOPUS-000475</v>
      </c>
      <c r="B213" s="5" t="str">
        <f>IFERROR(__xludf.DUMMYFUNCTION("""COMPUTED_VALUE"""),"SCOPUS-000475-2")</f>
        <v>SCOPUS-000475-2</v>
      </c>
      <c r="C213" s="5" t="str">
        <f>IFERROR(__xludf.DUMMYFUNCTION("""COMPUTED_VALUE"""),"Architectural")</f>
        <v>Architectural</v>
      </c>
      <c r="D213" s="6" t="str">
        <f>IFERROR(__xludf.DUMMYFUNCTION("""COMPUTED_VALUE"""),"Attention Mechanism")</f>
        <v>Attention Mechanism</v>
      </c>
    </row>
    <row r="214" ht="15.75" customHeight="1">
      <c r="A214" s="5" t="str">
        <f>IFERROR(__xludf.DUMMYFUNCTION("""COMPUTED_VALUE"""),"SCOPUS-000475")</f>
        <v>SCOPUS-000475</v>
      </c>
      <c r="B214" s="5" t="str">
        <f>IFERROR(__xludf.DUMMYFUNCTION("""COMPUTED_VALUE"""),"SCOPUS-000475-3")</f>
        <v>SCOPUS-000475-3</v>
      </c>
      <c r="C214" s="5" t="str">
        <f>IFERROR(__xludf.DUMMYFUNCTION("""COMPUTED_VALUE"""),"Architectural")</f>
        <v>Architectural</v>
      </c>
      <c r="D214" s="6" t="str">
        <f>IFERROR(__xludf.DUMMYFUNCTION("""COMPUTED_VALUE"""),"Attention Mechanism")</f>
        <v>Attention Mechanism</v>
      </c>
    </row>
    <row r="215" ht="15.75" customHeight="1">
      <c r="A215" s="5" t="str">
        <f>IFERROR(__xludf.DUMMYFUNCTION("""COMPUTED_VALUE"""),"SCOPUS-000074")</f>
        <v>SCOPUS-000074</v>
      </c>
      <c r="B215" s="5" t="str">
        <f>IFERROR(__xludf.DUMMYFUNCTION("""COMPUTED_VALUE"""),"SCOPUS-000074-1")</f>
        <v>SCOPUS-000074-1</v>
      </c>
      <c r="C215" s="5" t="str">
        <f>IFERROR(__xludf.DUMMYFUNCTION("""COMPUTED_VALUE"""),"Architectural")</f>
        <v>Architectural</v>
      </c>
      <c r="D215" s="6" t="str">
        <f>IFERROR(__xludf.DUMMYFUNCTION("""COMPUTED_VALUE"""),"Architecture Modification")</f>
        <v>Architecture Modification</v>
      </c>
    </row>
    <row r="216" ht="15.75" customHeight="1">
      <c r="A216" s="5" t="str">
        <f>IFERROR(__xludf.DUMMYFUNCTION("""COMPUTED_VALUE"""),"SCOPUS-000107")</f>
        <v>SCOPUS-000107</v>
      </c>
      <c r="B216" s="5" t="str">
        <f>IFERROR(__xludf.DUMMYFUNCTION("""COMPUTED_VALUE"""),"SCOPUS-000107-1")</f>
        <v>SCOPUS-000107-1</v>
      </c>
      <c r="C216" s="5" t="str">
        <f>IFERROR(__xludf.DUMMYFUNCTION("""COMPUTED_VALUE"""),"Architectural")</f>
        <v>Architectural</v>
      </c>
      <c r="D216" s="6" t="str">
        <f>IFERROR(__xludf.DUMMYFUNCTION("""COMPUTED_VALUE"""),"Architecture Modification")</f>
        <v>Architecture Modification</v>
      </c>
    </row>
    <row r="217" ht="15.75" customHeight="1">
      <c r="A217" s="5" t="str">
        <f>IFERROR(__xludf.DUMMYFUNCTION("""COMPUTED_VALUE"""),"SCOPUS-000142")</f>
        <v>SCOPUS-000142</v>
      </c>
      <c r="B217" s="5" t="str">
        <f>IFERROR(__xludf.DUMMYFUNCTION("""COMPUTED_VALUE"""),"SCOPUS-000142-1")</f>
        <v>SCOPUS-000142-1</v>
      </c>
      <c r="C217" s="5" t="str">
        <f>IFERROR(__xludf.DUMMYFUNCTION("""COMPUTED_VALUE"""),"Architectural")</f>
        <v>Architectural</v>
      </c>
      <c r="D217" s="6" t="str">
        <f>IFERROR(__xludf.DUMMYFUNCTION("""COMPUTED_VALUE"""),"Architecture Modification")</f>
        <v>Architecture Modification</v>
      </c>
    </row>
    <row r="218" ht="15.75" customHeight="1">
      <c r="A218" s="5" t="str">
        <f>IFERROR(__xludf.DUMMYFUNCTION("""COMPUTED_VALUE"""),"SCOPUS-000142")</f>
        <v>SCOPUS-000142</v>
      </c>
      <c r="B218" s="5" t="str">
        <f>IFERROR(__xludf.DUMMYFUNCTION("""COMPUTED_VALUE"""),"SCOPUS-000142-2")</f>
        <v>SCOPUS-000142-2</v>
      </c>
      <c r="C218" s="5" t="str">
        <f>IFERROR(__xludf.DUMMYFUNCTION("""COMPUTED_VALUE"""),"Architectural")</f>
        <v>Architectural</v>
      </c>
      <c r="D218" s="6" t="str">
        <f>IFERROR(__xludf.DUMMYFUNCTION("""COMPUTED_VALUE"""),"Attention Mechanism")</f>
        <v>Attention Mechanism</v>
      </c>
    </row>
    <row r="219" ht="15.75" customHeight="1">
      <c r="A219" s="5" t="str">
        <f>IFERROR(__xludf.DUMMYFUNCTION("""COMPUTED_VALUE"""),"SCOPUS-000142")</f>
        <v>SCOPUS-000142</v>
      </c>
      <c r="B219" s="5" t="str">
        <f>IFERROR(__xludf.DUMMYFUNCTION("""COMPUTED_VALUE"""),"SCOPUS-000142-3")</f>
        <v>SCOPUS-000142-3</v>
      </c>
      <c r="C219" s="5" t="str">
        <f>IFERROR(__xludf.DUMMYFUNCTION("""COMPUTED_VALUE"""),"Architectural")</f>
        <v>Architectural</v>
      </c>
      <c r="D219" s="6" t="str">
        <f>IFERROR(__xludf.DUMMYFUNCTION("""COMPUTED_VALUE"""),"Architecture Modification")</f>
        <v>Architecture Modification</v>
      </c>
    </row>
    <row r="220" ht="15.75" customHeight="1">
      <c r="A220" s="5" t="str">
        <f>IFERROR(__xludf.DUMMYFUNCTION("""COMPUTED_VALUE"""),"SCOPUS-000193")</f>
        <v>SCOPUS-000193</v>
      </c>
      <c r="B220" s="5" t="str">
        <f>IFERROR(__xludf.DUMMYFUNCTION("""COMPUTED_VALUE"""),"SCOPUS-000193-1")</f>
        <v>SCOPUS-000193-1</v>
      </c>
      <c r="C220" s="5" t="str">
        <f>IFERROR(__xludf.DUMMYFUNCTION("""COMPUTED_VALUE"""),"Architectural")</f>
        <v>Architectural</v>
      </c>
      <c r="D220" s="6" t="str">
        <f>IFERROR(__xludf.DUMMYFUNCTION("""COMPUTED_VALUE"""),"Architecture Modification")</f>
        <v>Architecture Modification</v>
      </c>
    </row>
    <row r="221" ht="15.75" customHeight="1">
      <c r="A221" s="5" t="str">
        <f>IFERROR(__xludf.DUMMYFUNCTION("""COMPUTED_VALUE"""),"SCOPUS-000193")</f>
        <v>SCOPUS-000193</v>
      </c>
      <c r="B221" s="5" t="str">
        <f>IFERROR(__xludf.DUMMYFUNCTION("""COMPUTED_VALUE"""),"SCOPUS-000193-2")</f>
        <v>SCOPUS-000193-2</v>
      </c>
      <c r="C221" s="5" t="str">
        <f>IFERROR(__xludf.DUMMYFUNCTION("""COMPUTED_VALUE"""),"Architectural")</f>
        <v>Architectural</v>
      </c>
      <c r="D221" s="6" t="str">
        <f>IFERROR(__xludf.DUMMYFUNCTION("""COMPUTED_VALUE"""),"Attention Mechanism")</f>
        <v>Attention Mechanism</v>
      </c>
    </row>
    <row r="222" ht="15.75" customHeight="1">
      <c r="A222" s="5" t="str">
        <f>IFERROR(__xludf.DUMMYFUNCTION("""COMPUTED_VALUE"""),"SCOPUS-000092")</f>
        <v>SCOPUS-000092</v>
      </c>
      <c r="B222" s="5" t="str">
        <f>IFERROR(__xludf.DUMMYFUNCTION("""COMPUTED_VALUE"""),"SCOPUS-000092-1")</f>
        <v>SCOPUS-000092-1</v>
      </c>
      <c r="C222" s="5" t="str">
        <f>IFERROR(__xludf.DUMMYFUNCTION("""COMPUTED_VALUE"""),"Data-Centric")</f>
        <v>Data-Centric</v>
      </c>
      <c r="D222" s="6" t="str">
        <f>IFERROR(__xludf.DUMMYFUNCTION("""COMPUTED_VALUE"""),"Data Augmentation")</f>
        <v>Data Augmentation</v>
      </c>
    </row>
    <row r="223" ht="15.75" customHeight="1">
      <c r="A223" s="5" t="str">
        <f>IFERROR(__xludf.DUMMYFUNCTION("""COMPUTED_VALUE"""),"SCOPUS-000092")</f>
        <v>SCOPUS-000092</v>
      </c>
      <c r="B223" s="5" t="str">
        <f>IFERROR(__xludf.DUMMYFUNCTION("""COMPUTED_VALUE"""),"SCOPUS-000092-2")</f>
        <v>SCOPUS-000092-2</v>
      </c>
      <c r="C223" s="5" t="str">
        <f>IFERROR(__xludf.DUMMYFUNCTION("""COMPUTED_VALUE"""),"Data-Centric")</f>
        <v>Data-Centric</v>
      </c>
      <c r="D223" s="6" t="str">
        <f>IFERROR(__xludf.DUMMYFUNCTION("""COMPUTED_VALUE"""),"Data Augmentation")</f>
        <v>Data Augmentation</v>
      </c>
    </row>
    <row r="224" ht="15.75" customHeight="1">
      <c r="A224" s="5" t="str">
        <f>IFERROR(__xludf.DUMMYFUNCTION("""COMPUTED_VALUE"""),"SCOPUS-000296")</f>
        <v>SCOPUS-000296</v>
      </c>
      <c r="B224" s="5" t="str">
        <f>IFERROR(__xludf.DUMMYFUNCTION("""COMPUTED_VALUE"""),"SCOPUS-000296-1")</f>
        <v>SCOPUS-000296-1</v>
      </c>
      <c r="C224" s="5" t="str">
        <f>IFERROR(__xludf.DUMMYFUNCTION("""COMPUTED_VALUE"""),"Architectural")</f>
        <v>Architectural</v>
      </c>
      <c r="D224" s="6" t="str">
        <f>IFERROR(__xludf.DUMMYFUNCTION("""COMPUTED_VALUE"""),"Architecture Modification")</f>
        <v>Architecture Modification</v>
      </c>
    </row>
    <row r="225" ht="15.75" customHeight="1">
      <c r="A225" s="5" t="str">
        <f>IFERROR(__xludf.DUMMYFUNCTION("""COMPUTED_VALUE"""),"SCOPUS-000296")</f>
        <v>SCOPUS-000296</v>
      </c>
      <c r="B225" s="5" t="str">
        <f>IFERROR(__xludf.DUMMYFUNCTION("""COMPUTED_VALUE"""),"SCOPUS-000296-2")</f>
        <v>SCOPUS-000296-2</v>
      </c>
      <c r="C225" s="5" t="str">
        <f>IFERROR(__xludf.DUMMYFUNCTION("""COMPUTED_VALUE"""),"Data-Centric")</f>
        <v>Data-Centric</v>
      </c>
      <c r="D225" s="6" t="str">
        <f>IFERROR(__xludf.DUMMYFUNCTION("""COMPUTED_VALUE"""),"Indirect Detection")</f>
        <v>Indirect Detection</v>
      </c>
    </row>
    <row r="226" ht="15.75" customHeight="1">
      <c r="A226" s="5" t="str">
        <f>IFERROR(__xludf.DUMMYFUNCTION("""COMPUTED_VALUE"""),"SCOPUS-000255")</f>
        <v>SCOPUS-000255</v>
      </c>
      <c r="B226" s="5" t="str">
        <f>IFERROR(__xludf.DUMMYFUNCTION("""COMPUTED_VALUE"""),"SCOPUS-000255-1")</f>
        <v>SCOPUS-000255-1</v>
      </c>
      <c r="C226" s="5" t="str">
        <f>IFERROR(__xludf.DUMMYFUNCTION("""COMPUTED_VALUE"""),"Data-Centric")</f>
        <v>Data-Centric</v>
      </c>
      <c r="D226" s="6" t="str">
        <f>IFERROR(__xludf.DUMMYFUNCTION("""COMPUTED_VALUE"""),"Indirect Detection")</f>
        <v>Indirect Detection</v>
      </c>
    </row>
    <row r="227" ht="15.75" customHeight="1">
      <c r="A227" s="5" t="str">
        <f>IFERROR(__xludf.DUMMYFUNCTION("""COMPUTED_VALUE"""),"SCOPUS-000223")</f>
        <v>SCOPUS-000223</v>
      </c>
      <c r="B227" s="5" t="str">
        <f>IFERROR(__xludf.DUMMYFUNCTION("""COMPUTED_VALUE"""),"SCOPUS-000223-1")</f>
        <v>SCOPUS-000223-1</v>
      </c>
      <c r="C227" s="5" t="str">
        <f>IFERROR(__xludf.DUMMYFUNCTION("""COMPUTED_VALUE"""),"Architectural")</f>
        <v>Architectural</v>
      </c>
      <c r="D227" s="6" t="str">
        <f>IFERROR(__xludf.DUMMYFUNCTION("""COMPUTED_VALUE"""),"Architecture Modification")</f>
        <v>Architecture Modification</v>
      </c>
    </row>
    <row r="228" ht="15.75" customHeight="1">
      <c r="A228" s="5" t="str">
        <f>IFERROR(__xludf.DUMMYFUNCTION("""COMPUTED_VALUE"""),"SCOPUS-000216")</f>
        <v>SCOPUS-000216</v>
      </c>
      <c r="B228" s="5" t="str">
        <f>IFERROR(__xludf.DUMMYFUNCTION("""COMPUTED_VALUE"""),"SCOPUS-000216-1")</f>
        <v>SCOPUS-000216-1</v>
      </c>
      <c r="C228" s="5" t="str">
        <f>IFERROR(__xludf.DUMMYFUNCTION("""COMPUTED_VALUE"""),"Data-Centric")</f>
        <v>Data-Centric</v>
      </c>
      <c r="D228" s="6" t="str">
        <f>IFERROR(__xludf.DUMMYFUNCTION("""COMPUTED_VALUE"""),"Data Augmentation")</f>
        <v>Data Augmentation</v>
      </c>
    </row>
    <row r="229" ht="15.75" customHeight="1">
      <c r="A229" s="5" t="str">
        <f>IFERROR(__xludf.DUMMYFUNCTION("""COMPUTED_VALUE"""),"SCOPUS-000216")</f>
        <v>SCOPUS-000216</v>
      </c>
      <c r="B229" s="5" t="str">
        <f>IFERROR(__xludf.DUMMYFUNCTION("""COMPUTED_VALUE"""),"SCOPUS-000216-2")</f>
        <v>SCOPUS-000216-2</v>
      </c>
      <c r="C229" s="5" t="str">
        <f>IFERROR(__xludf.DUMMYFUNCTION("""COMPUTED_VALUE"""),"Architectural")</f>
        <v>Architectural</v>
      </c>
      <c r="D229" s="6" t="str">
        <f>IFERROR(__xludf.DUMMYFUNCTION("""COMPUTED_VALUE"""),"Architecture Modification")</f>
        <v>Architecture Modification</v>
      </c>
    </row>
    <row r="230" ht="15.75" customHeight="1">
      <c r="A230" s="5" t="str">
        <f>IFERROR(__xludf.DUMMYFUNCTION("""COMPUTED_VALUE"""),"SCOPUS-000168")</f>
        <v>SCOPUS-000168</v>
      </c>
      <c r="B230" s="5" t="str">
        <f>IFERROR(__xludf.DUMMYFUNCTION("""COMPUTED_VALUE"""),"SCOPUS-000168-1")</f>
        <v>SCOPUS-000168-1</v>
      </c>
      <c r="C230" s="5" t="str">
        <f>IFERROR(__xludf.DUMMYFUNCTION("""COMPUTED_VALUE"""),"Data-Centric")</f>
        <v>Data-Centric</v>
      </c>
      <c r="D230" s="6" t="str">
        <f>IFERROR(__xludf.DUMMYFUNCTION("""COMPUTED_VALUE"""),"Data Augmentation")</f>
        <v>Data Augmentation</v>
      </c>
    </row>
    <row r="231" ht="15.75" customHeight="1">
      <c r="A231" s="5" t="str">
        <f>IFERROR(__xludf.DUMMYFUNCTION("""COMPUTED_VALUE"""),"SCOPUS-000168")</f>
        <v>SCOPUS-000168</v>
      </c>
      <c r="B231" s="5" t="str">
        <f>IFERROR(__xludf.DUMMYFUNCTION("""COMPUTED_VALUE"""),"SCOPUS-000168-2")</f>
        <v>SCOPUS-000168-2</v>
      </c>
      <c r="C231" s="5" t="str">
        <f>IFERROR(__xludf.DUMMYFUNCTION("""COMPUTED_VALUE"""),"Architectural")</f>
        <v>Architectural</v>
      </c>
      <c r="D231" s="6" t="str">
        <f>IFERROR(__xludf.DUMMYFUNCTION("""COMPUTED_VALUE"""),"Machine Learning")</f>
        <v>Machine Learning</v>
      </c>
    </row>
    <row r="232" ht="15.75" customHeight="1">
      <c r="A232" s="5" t="str">
        <f>IFERROR(__xludf.DUMMYFUNCTION("""COMPUTED_VALUE"""),"SCOPUS-000143")</f>
        <v>SCOPUS-000143</v>
      </c>
      <c r="B232" s="5" t="str">
        <f>IFERROR(__xludf.DUMMYFUNCTION("""COMPUTED_VALUE"""),"SCOPUS-000143-1")</f>
        <v>SCOPUS-000143-1</v>
      </c>
      <c r="C232" s="5" t="str">
        <f>IFERROR(__xludf.DUMMYFUNCTION("""COMPUTED_VALUE"""),"Architectural")</f>
        <v>Architectural</v>
      </c>
      <c r="D232" s="6" t="str">
        <f>IFERROR(__xludf.DUMMYFUNCTION("""COMPUTED_VALUE"""),"Architecture Modification")</f>
        <v>Architecture Modification</v>
      </c>
    </row>
    <row r="233" ht="15.75" customHeight="1">
      <c r="A233" s="5" t="str">
        <f>IFERROR(__xludf.DUMMYFUNCTION("""COMPUTED_VALUE"""),"SCOPUS-000143")</f>
        <v>SCOPUS-000143</v>
      </c>
      <c r="B233" s="5" t="str">
        <f>IFERROR(__xludf.DUMMYFUNCTION("""COMPUTED_VALUE"""),"SCOPUS-000143-2")</f>
        <v>SCOPUS-000143-2</v>
      </c>
      <c r="C233" s="5" t="str">
        <f>IFERROR(__xludf.DUMMYFUNCTION("""COMPUTED_VALUE"""),"Architectural")</f>
        <v>Architectural</v>
      </c>
      <c r="D233" s="6" t="str">
        <f>IFERROR(__xludf.DUMMYFUNCTION("""COMPUTED_VALUE"""),"Attention Mechanism")</f>
        <v>Attention Mechanism</v>
      </c>
    </row>
    <row r="234" ht="15.75" customHeight="1">
      <c r="A234" s="5" t="str">
        <f>IFERROR(__xludf.DUMMYFUNCTION("""COMPUTED_VALUE"""),"SCOPUS-000066")</f>
        <v>SCOPUS-000066</v>
      </c>
      <c r="B234" s="5" t="str">
        <f>IFERROR(__xludf.DUMMYFUNCTION("""COMPUTED_VALUE"""),"SCOPUS-000066-1")</f>
        <v>SCOPUS-000066-1</v>
      </c>
      <c r="C234" s="5" t="str">
        <f>IFERROR(__xludf.DUMMYFUNCTION("""COMPUTED_VALUE"""),"Architectural")</f>
        <v>Architectural</v>
      </c>
      <c r="D234" s="6" t="str">
        <f>IFERROR(__xludf.DUMMYFUNCTION("""COMPUTED_VALUE"""),"Architecture Modification")</f>
        <v>Architecture Modification</v>
      </c>
    </row>
    <row r="235" ht="15.75" customHeight="1">
      <c r="A235" s="5" t="str">
        <f>IFERROR(__xludf.DUMMYFUNCTION("""COMPUTED_VALUE"""),"SCOPUS-000015")</f>
        <v>SCOPUS-000015</v>
      </c>
      <c r="B235" s="5" t="str">
        <f>IFERROR(__xludf.DUMMYFUNCTION("""COMPUTED_VALUE"""),"SCOPUS-000015-1")</f>
        <v>SCOPUS-000015-1</v>
      </c>
      <c r="C235" s="5" t="str">
        <f>IFERROR(__xludf.DUMMYFUNCTION("""COMPUTED_VALUE"""),"Architectural")</f>
        <v>Architectural</v>
      </c>
      <c r="D235" s="6" t="str">
        <f>IFERROR(__xludf.DUMMYFUNCTION("""COMPUTED_VALUE"""),"Architecture Modification")</f>
        <v>Architecture Modification</v>
      </c>
    </row>
    <row r="236" ht="15.75" customHeight="1">
      <c r="A236" s="5" t="str">
        <f>IFERROR(__xludf.DUMMYFUNCTION("""COMPUTED_VALUE"""),"SCOPUS-000180")</f>
        <v>SCOPUS-000180</v>
      </c>
      <c r="B236" s="5" t="str">
        <f>IFERROR(__xludf.DUMMYFUNCTION("""COMPUTED_VALUE"""),"SCOPUS-000180-1")</f>
        <v>SCOPUS-000180-1</v>
      </c>
      <c r="C236" s="5" t="str">
        <f>IFERROR(__xludf.DUMMYFUNCTION("""COMPUTED_VALUE"""),"Architectural")</f>
        <v>Architectural</v>
      </c>
      <c r="D236" s="6" t="str">
        <f>IFERROR(__xludf.DUMMYFUNCTION("""COMPUTED_VALUE"""),"Architecture Modification")</f>
        <v>Architecture Modification</v>
      </c>
    </row>
    <row r="237" ht="15.75" customHeight="1">
      <c r="A237" s="5" t="str">
        <f>IFERROR(__xludf.DUMMYFUNCTION("""COMPUTED_VALUE"""),"SCOPUS-000180")</f>
        <v>SCOPUS-000180</v>
      </c>
      <c r="B237" s="5" t="str">
        <f>IFERROR(__xludf.DUMMYFUNCTION("""COMPUTED_VALUE"""),"SCOPUS-000180-2")</f>
        <v>SCOPUS-000180-2</v>
      </c>
      <c r="C237" s="5" t="str">
        <f>IFERROR(__xludf.DUMMYFUNCTION("""COMPUTED_VALUE"""),"Architectural")</f>
        <v>Architectural</v>
      </c>
      <c r="D237" s="6" t="str">
        <f>IFERROR(__xludf.DUMMYFUNCTION("""COMPUTED_VALUE"""),"Architecture Modification")</f>
        <v>Architecture Modification</v>
      </c>
    </row>
    <row r="238" ht="15.75" customHeight="1">
      <c r="A238" s="5" t="str">
        <f>IFERROR(__xludf.DUMMYFUNCTION("""COMPUTED_VALUE"""),"SCOPUS-000180")</f>
        <v>SCOPUS-000180</v>
      </c>
      <c r="B238" s="5" t="str">
        <f>IFERROR(__xludf.DUMMYFUNCTION("""COMPUTED_VALUE"""),"SCOPUS-000180-3")</f>
        <v>SCOPUS-000180-3</v>
      </c>
      <c r="C238" s="5" t="str">
        <f>IFERROR(__xludf.DUMMYFUNCTION("""COMPUTED_VALUE"""),"Architectural")</f>
        <v>Architectural</v>
      </c>
      <c r="D238" s="6" t="str">
        <f>IFERROR(__xludf.DUMMYFUNCTION("""COMPUTED_VALUE"""),"Architecture Modification")</f>
        <v>Architecture Modification</v>
      </c>
    </row>
    <row r="239" ht="15.75" customHeight="1">
      <c r="A239" s="5" t="str">
        <f>IFERROR(__xludf.DUMMYFUNCTION("""COMPUTED_VALUE"""),"SCOPUS-000180")</f>
        <v>SCOPUS-000180</v>
      </c>
      <c r="B239" s="5" t="str">
        <f>IFERROR(__xludf.DUMMYFUNCTION("""COMPUTED_VALUE"""),"SCOPUS-000180-4")</f>
        <v>SCOPUS-000180-4</v>
      </c>
      <c r="C239" s="5" t="str">
        <f>IFERROR(__xludf.DUMMYFUNCTION("""COMPUTED_VALUE"""),"Architectural")</f>
        <v>Architectural</v>
      </c>
      <c r="D239" s="6" t="str">
        <f>IFERROR(__xludf.DUMMYFUNCTION("""COMPUTED_VALUE"""),"Attention Mechanism")</f>
        <v>Attention Mechanism</v>
      </c>
    </row>
    <row r="240" ht="15.75" customHeight="1">
      <c r="A240" s="5" t="str">
        <f>IFERROR(__xludf.DUMMYFUNCTION("""COMPUTED_VALUE"""),"SCOPUS-000065")</f>
        <v>SCOPUS-000065</v>
      </c>
      <c r="B240" s="5" t="str">
        <f>IFERROR(__xludf.DUMMYFUNCTION("""COMPUTED_VALUE"""),"SCOPUS-000065-1")</f>
        <v>SCOPUS-000065-1</v>
      </c>
      <c r="C240" s="5" t="str">
        <f>IFERROR(__xludf.DUMMYFUNCTION("""COMPUTED_VALUE"""),"Architectural")</f>
        <v>Architectural</v>
      </c>
      <c r="D240" s="6" t="str">
        <f>IFERROR(__xludf.DUMMYFUNCTION("""COMPUTED_VALUE"""),"Loss Function Modification")</f>
        <v>Loss Function Modification</v>
      </c>
    </row>
    <row r="241" ht="15.75" customHeight="1">
      <c r="A241" s="5" t="str">
        <f>IFERROR(__xludf.DUMMYFUNCTION("""COMPUTED_VALUE"""),"SCOPUS-000030")</f>
        <v>SCOPUS-000030</v>
      </c>
      <c r="B241" s="5" t="str">
        <f>IFERROR(__xludf.DUMMYFUNCTION("""COMPUTED_VALUE"""),"SCOPUS-000030-1")</f>
        <v>SCOPUS-000030-1</v>
      </c>
      <c r="C241" s="5" t="str">
        <f>IFERROR(__xludf.DUMMYFUNCTION("""COMPUTED_VALUE"""),"Architectural")</f>
        <v>Architectural</v>
      </c>
      <c r="D241" s="6" t="str">
        <f>IFERROR(__xludf.DUMMYFUNCTION("""COMPUTED_VALUE"""),"Few-Shot Learning")</f>
        <v>Few-Shot Learning</v>
      </c>
    </row>
    <row r="242" ht="15.75" customHeight="1">
      <c r="A242" s="5" t="str">
        <f>IFERROR(__xludf.DUMMYFUNCTION("""COMPUTED_VALUE"""),"SCOPUS-000030")</f>
        <v>SCOPUS-000030</v>
      </c>
      <c r="B242" s="5" t="str">
        <f>IFERROR(__xludf.DUMMYFUNCTION("""COMPUTED_VALUE"""),"SCOPUS-000030-2")</f>
        <v>SCOPUS-000030-2</v>
      </c>
      <c r="C242" s="5" t="str">
        <f>IFERROR(__xludf.DUMMYFUNCTION("""COMPUTED_VALUE"""),"Architectural")</f>
        <v>Architectural</v>
      </c>
      <c r="D242" s="6" t="str">
        <f>IFERROR(__xludf.DUMMYFUNCTION("""COMPUTED_VALUE"""),"Few-Shot Learning")</f>
        <v>Few-Shot Learning</v>
      </c>
    </row>
    <row r="243" ht="15.75" customHeight="1">
      <c r="A243" s="5" t="str">
        <f>IFERROR(__xludf.DUMMYFUNCTION("""COMPUTED_VALUE"""),"WEBSCI-000402")</f>
        <v>WEBSCI-000402</v>
      </c>
      <c r="B243" s="5" t="str">
        <f>IFERROR(__xludf.DUMMYFUNCTION("""COMPUTED_VALUE"""),"WEBSCI-000402-1")</f>
        <v>WEBSCI-000402-1</v>
      </c>
      <c r="C243" s="5" t="str">
        <f>IFERROR(__xludf.DUMMYFUNCTION("""COMPUTED_VALUE"""),"Architectural")</f>
        <v>Architectural</v>
      </c>
      <c r="D243" s="6" t="str">
        <f>IFERROR(__xludf.DUMMYFUNCTION("""COMPUTED_VALUE"""),"Attention Mechanism")</f>
        <v>Attention Mechanism</v>
      </c>
    </row>
    <row r="244" ht="15.75" customHeight="1">
      <c r="A244" s="5" t="str">
        <f>IFERROR(__xludf.DUMMYFUNCTION("""COMPUTED_VALUE"""),"WEBSCI-000402")</f>
        <v>WEBSCI-000402</v>
      </c>
      <c r="B244" s="5" t="str">
        <f>IFERROR(__xludf.DUMMYFUNCTION("""COMPUTED_VALUE"""),"WEBSCI-000402-2")</f>
        <v>WEBSCI-000402-2</v>
      </c>
      <c r="C244" s="5" t="str">
        <f>IFERROR(__xludf.DUMMYFUNCTION("""COMPUTED_VALUE"""),"Data-Centric")</f>
        <v>Data-Centric</v>
      </c>
      <c r="D244" s="6" t="str">
        <f>IFERROR(__xludf.DUMMYFUNCTION("""COMPUTED_VALUE"""),"Data Augmentation")</f>
        <v>Data Augmentation</v>
      </c>
    </row>
    <row r="245" ht="15.75" customHeight="1">
      <c r="A245" s="5" t="str">
        <f>IFERROR(__xludf.DUMMYFUNCTION("""COMPUTED_VALUE"""),"SCOPUS-000312")</f>
        <v>SCOPUS-000312</v>
      </c>
      <c r="B245" s="5" t="str">
        <f>IFERROR(__xludf.DUMMYFUNCTION("""COMPUTED_VALUE"""),"SCOPUS-000312-1")</f>
        <v>SCOPUS-000312-1</v>
      </c>
      <c r="C245" s="5" t="str">
        <f>IFERROR(__xludf.DUMMYFUNCTION("""COMPUTED_VALUE"""),"Data-Centric")</f>
        <v>Data-Centric</v>
      </c>
      <c r="D245" s="6" t="str">
        <f>IFERROR(__xludf.DUMMYFUNCTION("""COMPUTED_VALUE"""),"Data Augmentation")</f>
        <v>Data Augmentation</v>
      </c>
    </row>
    <row r="246" ht="15.75" customHeight="1">
      <c r="A246" s="5" t="str">
        <f>IFERROR(__xludf.DUMMYFUNCTION("""COMPUTED_VALUE"""),"SCOPUS-000300")</f>
        <v>SCOPUS-000300</v>
      </c>
      <c r="B246" s="5" t="str">
        <f>IFERROR(__xludf.DUMMYFUNCTION("""COMPUTED_VALUE"""),"SCOPUS-000300-1")</f>
        <v>SCOPUS-000300-1</v>
      </c>
      <c r="C246" s="5" t="str">
        <f>IFERROR(__xludf.DUMMYFUNCTION("""COMPUTED_VALUE"""),"Data-Centric")</f>
        <v>Data-Centric</v>
      </c>
      <c r="D246" s="6" t="str">
        <f>IFERROR(__xludf.DUMMYFUNCTION("""COMPUTED_VALUE"""),"Slicing Aided Hyper Inference")</f>
        <v>Slicing Aided Hyper Inference</v>
      </c>
    </row>
    <row r="247" ht="15.75" customHeight="1">
      <c r="A247" s="5" t="str">
        <f>IFERROR(__xludf.DUMMYFUNCTION("""COMPUTED_VALUE"""),"SCOPUS-000099")</f>
        <v>SCOPUS-000099</v>
      </c>
      <c r="B247" s="5" t="str">
        <f>IFERROR(__xludf.DUMMYFUNCTION("""COMPUTED_VALUE"""),"SCOPUS-000099-1")</f>
        <v>SCOPUS-000099-1</v>
      </c>
      <c r="C247" s="5" t="str">
        <f>IFERROR(__xludf.DUMMYFUNCTION("""COMPUTED_VALUE"""),"Architectural")</f>
        <v>Architectural</v>
      </c>
      <c r="D247" s="6" t="str">
        <f>IFERROR(__xludf.DUMMYFUNCTION("""COMPUTED_VALUE"""),"Architecture Modification")</f>
        <v>Architecture Modification</v>
      </c>
    </row>
    <row r="248" ht="15.75" customHeight="1">
      <c r="A248" s="5" t="str">
        <f>IFERROR(__xludf.DUMMYFUNCTION("""COMPUTED_VALUE"""),"SCOPUS-000287")</f>
        <v>SCOPUS-000287</v>
      </c>
      <c r="B248" s="5" t="str">
        <f>IFERROR(__xludf.DUMMYFUNCTION("""COMPUTED_VALUE"""),"SCOPUS-000287-1")</f>
        <v>SCOPUS-000287-1</v>
      </c>
      <c r="C248" s="5" t="str">
        <f>IFERROR(__xludf.DUMMYFUNCTION("""COMPUTED_VALUE"""),"Architectural")</f>
        <v>Architectural</v>
      </c>
      <c r="D248" s="6" t="str">
        <f>IFERROR(__xludf.DUMMYFUNCTION("""COMPUTED_VALUE"""),"Architecture Modification")</f>
        <v>Architecture Modification</v>
      </c>
    </row>
    <row r="249" ht="15.75" customHeight="1">
      <c r="A249" s="5" t="str">
        <f>IFERROR(__xludf.DUMMYFUNCTION("""COMPUTED_VALUE"""),"SCOPUS-000172")</f>
        <v>SCOPUS-000172</v>
      </c>
      <c r="B249" s="5" t="str">
        <f>IFERROR(__xludf.DUMMYFUNCTION("""COMPUTED_VALUE"""),"SCOPUS-000172-1")</f>
        <v>SCOPUS-000172-1</v>
      </c>
      <c r="C249" s="5" t="str">
        <f>IFERROR(__xludf.DUMMYFUNCTION("""COMPUTED_VALUE"""),"Architectural")</f>
        <v>Architectural</v>
      </c>
      <c r="D249" s="6" t="str">
        <f>IFERROR(__xludf.DUMMYFUNCTION("""COMPUTED_VALUE"""),"Attention Mechanism")</f>
        <v>Attention Mechanism</v>
      </c>
    </row>
    <row r="250" ht="15.75" customHeight="1">
      <c r="A250" s="5" t="str">
        <f>IFERROR(__xludf.DUMMYFUNCTION("""COMPUTED_VALUE"""),"SCOPUS-000172")</f>
        <v>SCOPUS-000172</v>
      </c>
      <c r="B250" s="5" t="str">
        <f>IFERROR(__xludf.DUMMYFUNCTION("""COMPUTED_VALUE"""),"SCOPUS-000172-2")</f>
        <v>SCOPUS-000172-2</v>
      </c>
      <c r="C250" s="5" t="str">
        <f>IFERROR(__xludf.DUMMYFUNCTION("""COMPUTED_VALUE"""),"Architectural")</f>
        <v>Architectural</v>
      </c>
      <c r="D250" s="6" t="str">
        <f>IFERROR(__xludf.DUMMYFUNCTION("""COMPUTED_VALUE"""),"Attention Mechanism")</f>
        <v>Attention Mechanism</v>
      </c>
    </row>
    <row r="251" ht="15.75" customHeight="1">
      <c r="A251" s="5" t="str">
        <f>IFERROR(__xludf.DUMMYFUNCTION("""COMPUTED_VALUE"""),"SCOPUS-000290")</f>
        <v>SCOPUS-000290</v>
      </c>
      <c r="B251" s="5" t="str">
        <f>IFERROR(__xludf.DUMMYFUNCTION("""COMPUTED_VALUE"""),"SCOPUS-000290-1")</f>
        <v>SCOPUS-000290-1</v>
      </c>
      <c r="C251" s="5" t="str">
        <f>IFERROR(__xludf.DUMMYFUNCTION("""COMPUTED_VALUE"""),"Architectural")</f>
        <v>Architectural</v>
      </c>
      <c r="D251" s="6" t="str">
        <f>IFERROR(__xludf.DUMMYFUNCTION("""COMPUTED_VALUE"""),"Architecture Modification")</f>
        <v>Architecture Modification</v>
      </c>
    </row>
    <row r="252" ht="15.75" customHeight="1">
      <c r="A252" s="5" t="str">
        <f>IFERROR(__xludf.DUMMYFUNCTION("""COMPUTED_VALUE"""),"SCOPUS-000290")</f>
        <v>SCOPUS-000290</v>
      </c>
      <c r="B252" s="5" t="str">
        <f>IFERROR(__xludf.DUMMYFUNCTION("""COMPUTED_VALUE"""),"SCOPUS-000290-2")</f>
        <v>SCOPUS-000290-2</v>
      </c>
      <c r="C252" s="5" t="str">
        <f>IFERROR(__xludf.DUMMYFUNCTION("""COMPUTED_VALUE"""),"Architectural")</f>
        <v>Architectural</v>
      </c>
      <c r="D252" s="6" t="str">
        <f>IFERROR(__xludf.DUMMYFUNCTION("""COMPUTED_VALUE"""),"Attention Mechanism")</f>
        <v>Attention Mechanism</v>
      </c>
    </row>
    <row r="253" ht="15.75" customHeight="1">
      <c r="A253" s="5" t="str">
        <f>IFERROR(__xludf.DUMMYFUNCTION("""COMPUTED_VALUE"""),"SCOPUS-000274")</f>
        <v>SCOPUS-000274</v>
      </c>
      <c r="B253" s="5" t="str">
        <f>IFERROR(__xludf.DUMMYFUNCTION("""COMPUTED_VALUE"""),"SCOPUS-000274-1")</f>
        <v>SCOPUS-000274-1</v>
      </c>
      <c r="C253" s="5" t="str">
        <f>IFERROR(__xludf.DUMMYFUNCTION("""COMPUTED_VALUE"""),"Architectural")</f>
        <v>Architectural</v>
      </c>
      <c r="D253" s="6" t="str">
        <f>IFERROR(__xludf.DUMMYFUNCTION("""COMPUTED_VALUE"""),"Architecture Modification")</f>
        <v>Architecture Modification</v>
      </c>
    </row>
    <row r="254" ht="15.75" customHeight="1">
      <c r="A254" s="5" t="str">
        <f>IFERROR(__xludf.DUMMYFUNCTION("""COMPUTED_VALUE"""),"SCOPUS-000274")</f>
        <v>SCOPUS-000274</v>
      </c>
      <c r="B254" s="5" t="str">
        <f>IFERROR(__xludf.DUMMYFUNCTION("""COMPUTED_VALUE"""),"SCOPUS-000274-2")</f>
        <v>SCOPUS-000274-2</v>
      </c>
      <c r="C254" s="5" t="str">
        <f>IFERROR(__xludf.DUMMYFUNCTION("""COMPUTED_VALUE"""),"Architectural")</f>
        <v>Architectural</v>
      </c>
      <c r="D254" s="6" t="str">
        <f>IFERROR(__xludf.DUMMYFUNCTION("""COMPUTED_VALUE"""),"Attention Mechanism")</f>
        <v>Attention Mechanism</v>
      </c>
    </row>
    <row r="255" ht="15.75" customHeight="1">
      <c r="A255" s="5" t="str">
        <f>IFERROR(__xludf.DUMMYFUNCTION("""COMPUTED_VALUE"""),"SCOPUS-000084")</f>
        <v>SCOPUS-000084</v>
      </c>
      <c r="B255" s="5" t="str">
        <f>IFERROR(__xludf.DUMMYFUNCTION("""COMPUTED_VALUE"""),"SCOPUS-000084-1")</f>
        <v>SCOPUS-000084-1</v>
      </c>
      <c r="C255" s="5" t="str">
        <f>IFERROR(__xludf.DUMMYFUNCTION("""COMPUTED_VALUE"""),"Architectural")</f>
        <v>Architectural</v>
      </c>
      <c r="D255" s="6" t="str">
        <f>IFERROR(__xludf.DUMMYFUNCTION("""COMPUTED_VALUE"""),"Attention Mechanism")</f>
        <v>Attention Mechanism</v>
      </c>
    </row>
    <row r="256" ht="15.75" customHeight="1">
      <c r="A256" s="5" t="str">
        <f>IFERROR(__xludf.DUMMYFUNCTION("""COMPUTED_VALUE"""),"SCOPUS-000131")</f>
        <v>SCOPUS-000131</v>
      </c>
      <c r="B256" s="5" t="str">
        <f>IFERROR(__xludf.DUMMYFUNCTION("""COMPUTED_VALUE"""),"SCOPUS-000131-1")</f>
        <v>SCOPUS-000131-1</v>
      </c>
      <c r="C256" s="5" t="str">
        <f>IFERROR(__xludf.DUMMYFUNCTION("""COMPUTED_VALUE"""),"Architectural")</f>
        <v>Architectural</v>
      </c>
      <c r="D256" s="6" t="str">
        <f>IFERROR(__xludf.DUMMYFUNCTION("""COMPUTED_VALUE"""),"Architecture Modification")</f>
        <v>Architecture Modification</v>
      </c>
    </row>
    <row r="257" ht="15.75" customHeight="1">
      <c r="A257" s="5" t="str">
        <f>IFERROR(__xludf.DUMMYFUNCTION("""COMPUTED_VALUE"""),"SCOPUS-000131")</f>
        <v>SCOPUS-000131</v>
      </c>
      <c r="B257" s="5" t="str">
        <f>IFERROR(__xludf.DUMMYFUNCTION("""COMPUTED_VALUE"""),"SCOPUS-000131-2")</f>
        <v>SCOPUS-000131-2</v>
      </c>
      <c r="C257" s="5" t="str">
        <f>IFERROR(__xludf.DUMMYFUNCTION("""COMPUTED_VALUE"""),"Architectural")</f>
        <v>Architectural</v>
      </c>
      <c r="D257" s="6" t="str">
        <f>IFERROR(__xludf.DUMMYFUNCTION("""COMPUTED_VALUE"""),"Architecture Modification")</f>
        <v>Architecture Modification</v>
      </c>
    </row>
    <row r="258" ht="15.75" customHeight="1">
      <c r="A258" s="5" t="str">
        <f>IFERROR(__xludf.DUMMYFUNCTION("""COMPUTED_VALUE"""),"SCOPUS-000131")</f>
        <v>SCOPUS-000131</v>
      </c>
      <c r="B258" s="5" t="str">
        <f>IFERROR(__xludf.DUMMYFUNCTION("""COMPUTED_VALUE"""),"SCOPUS-000131-3")</f>
        <v>SCOPUS-000131-3</v>
      </c>
      <c r="C258" s="5" t="str">
        <f>IFERROR(__xludf.DUMMYFUNCTION("""COMPUTED_VALUE"""),"Architectural")</f>
        <v>Architectural</v>
      </c>
      <c r="D258" s="6" t="str">
        <f>IFERROR(__xludf.DUMMYFUNCTION("""COMPUTED_VALUE"""),"Architecture Modification")</f>
        <v>Architecture Modification</v>
      </c>
    </row>
    <row r="259" ht="15.75" customHeight="1">
      <c r="A259" s="5" t="str">
        <f>IFERROR(__xludf.DUMMYFUNCTION("""COMPUTED_VALUE"""),"SCOPUS-000001")</f>
        <v>SCOPUS-000001</v>
      </c>
      <c r="B259" s="5" t="str">
        <f>IFERROR(__xludf.DUMMYFUNCTION("""COMPUTED_VALUE"""),"SCOPUS-000001-1")</f>
        <v>SCOPUS-000001-1</v>
      </c>
      <c r="C259" s="5" t="str">
        <f>IFERROR(__xludf.DUMMYFUNCTION("""COMPUTED_VALUE"""),"Architectural")</f>
        <v>Architectural</v>
      </c>
      <c r="D259" s="6" t="str">
        <f>IFERROR(__xludf.DUMMYFUNCTION("""COMPUTED_VALUE"""),"Architecture Modification")</f>
        <v>Architecture Modification</v>
      </c>
    </row>
    <row r="260" ht="15.75" customHeight="1">
      <c r="A260" s="5" t="str">
        <f>IFERROR(__xludf.DUMMYFUNCTION("""COMPUTED_VALUE"""),"SCOPUS-000001")</f>
        <v>SCOPUS-000001</v>
      </c>
      <c r="B260" s="5" t="str">
        <f>IFERROR(__xludf.DUMMYFUNCTION("""COMPUTED_VALUE"""),"SCOPUS-000001-2")</f>
        <v>SCOPUS-000001-2</v>
      </c>
      <c r="C260" s="5" t="str">
        <f>IFERROR(__xludf.DUMMYFUNCTION("""COMPUTED_VALUE"""),"Data-Centric")</f>
        <v>Data-Centric</v>
      </c>
      <c r="D260" s="6" t="str">
        <f>IFERROR(__xludf.DUMMYFUNCTION("""COMPUTED_VALUE"""),"Data Augmentation")</f>
        <v>Data Augmentation</v>
      </c>
    </row>
    <row r="261" ht="15.75" customHeight="1">
      <c r="A261" s="5" t="str">
        <f>IFERROR(__xludf.DUMMYFUNCTION("""COMPUTED_VALUE"""),"SCOPUS-000001")</f>
        <v>SCOPUS-000001</v>
      </c>
      <c r="B261" s="5" t="str">
        <f>IFERROR(__xludf.DUMMYFUNCTION("""COMPUTED_VALUE"""),"SCOPUS-000001-3")</f>
        <v>SCOPUS-000001-3</v>
      </c>
      <c r="C261" s="5" t="str">
        <f>IFERROR(__xludf.DUMMYFUNCTION("""COMPUTED_VALUE"""),"Data-Centric")</f>
        <v>Data-Centric</v>
      </c>
      <c r="D261" s="6" t="str">
        <f>IFERROR(__xludf.DUMMYFUNCTION("""COMPUTED_VALUE"""),"Transfer Learning")</f>
        <v>Transfer Learning</v>
      </c>
    </row>
    <row r="262" ht="15.75" customHeight="1">
      <c r="A262" s="5" t="str">
        <f>IFERROR(__xludf.DUMMYFUNCTION("""COMPUTED_VALUE"""),"SCOPUS-000012")</f>
        <v>SCOPUS-000012</v>
      </c>
      <c r="B262" s="5" t="str">
        <f>IFERROR(__xludf.DUMMYFUNCTION("""COMPUTED_VALUE"""),"SCOPUS-000012-1")</f>
        <v>SCOPUS-000012-1</v>
      </c>
      <c r="C262" s="5" t="str">
        <f>IFERROR(__xludf.DUMMYFUNCTION("""COMPUTED_VALUE"""),"Architectural")</f>
        <v>Architectural</v>
      </c>
      <c r="D262" s="6" t="str">
        <f>IFERROR(__xludf.DUMMYFUNCTION("""COMPUTED_VALUE"""),"Architecture Modification")</f>
        <v>Architecture Modification</v>
      </c>
    </row>
    <row r="263" ht="15.75" customHeight="1">
      <c r="A263" s="5" t="str">
        <f>IFERROR(__xludf.DUMMYFUNCTION("""COMPUTED_VALUE"""),"SCOPUS-000012")</f>
        <v>SCOPUS-000012</v>
      </c>
      <c r="B263" s="5" t="str">
        <f>IFERROR(__xludf.DUMMYFUNCTION("""COMPUTED_VALUE"""),"SCOPUS-000012-2")</f>
        <v>SCOPUS-000012-2</v>
      </c>
      <c r="C263" s="5" t="str">
        <f>IFERROR(__xludf.DUMMYFUNCTION("""COMPUTED_VALUE"""),"Data-Centric")</f>
        <v>Data-Centric</v>
      </c>
      <c r="D263" s="6" t="str">
        <f>IFERROR(__xludf.DUMMYFUNCTION("""COMPUTED_VALUE"""),"Data Augmentation")</f>
        <v>Data Augmentation</v>
      </c>
    </row>
    <row r="264" ht="15.75" customHeight="1">
      <c r="A264" s="5" t="str">
        <f>IFERROR(__xludf.DUMMYFUNCTION("""COMPUTED_VALUE"""),"SCOPUS-000012")</f>
        <v>SCOPUS-000012</v>
      </c>
      <c r="B264" s="5" t="str">
        <f>IFERROR(__xludf.DUMMYFUNCTION("""COMPUTED_VALUE"""),"SCOPUS-000012-3")</f>
        <v>SCOPUS-000012-3</v>
      </c>
      <c r="C264" s="5" t="str">
        <f>IFERROR(__xludf.DUMMYFUNCTION("""COMPUTED_VALUE"""),"Data-Centric")</f>
        <v>Data-Centric</v>
      </c>
      <c r="D264" s="6" t="str">
        <f>IFERROR(__xludf.DUMMYFUNCTION("""COMPUTED_VALUE"""),"Data Processing")</f>
        <v>Data Processing</v>
      </c>
    </row>
    <row r="265" ht="15.75" customHeight="1">
      <c r="A265" s="5" t="str">
        <f>IFERROR(__xludf.DUMMYFUNCTION("""COMPUTED_VALUE"""),"SCOPUS-000027")</f>
        <v>SCOPUS-000027</v>
      </c>
      <c r="B265" s="5" t="str">
        <f>IFERROR(__xludf.DUMMYFUNCTION("""COMPUTED_VALUE"""),"SCOPUS-000027-1")</f>
        <v>SCOPUS-000027-1</v>
      </c>
      <c r="C265" s="5" t="str">
        <f>IFERROR(__xludf.DUMMYFUNCTION("""COMPUTED_VALUE"""),"Architectural")</f>
        <v>Architectural</v>
      </c>
      <c r="D265" s="6" t="str">
        <f>IFERROR(__xludf.DUMMYFUNCTION("""COMPUTED_VALUE"""),"Few-Shot Learning")</f>
        <v>Few-Shot Learning</v>
      </c>
    </row>
    <row r="266" ht="15.75" customHeight="1">
      <c r="A266" s="5" t="str">
        <f>IFERROR(__xludf.DUMMYFUNCTION("""COMPUTED_VALUE"""),"SCOPUS-000027")</f>
        <v>SCOPUS-000027</v>
      </c>
      <c r="B266" s="5" t="str">
        <f>IFERROR(__xludf.DUMMYFUNCTION("""COMPUTED_VALUE"""),"SCOPUS-000027-2")</f>
        <v>SCOPUS-000027-2</v>
      </c>
      <c r="C266" s="5" t="str">
        <f>IFERROR(__xludf.DUMMYFUNCTION("""COMPUTED_VALUE"""),"Data-Centric")</f>
        <v>Data-Centric</v>
      </c>
      <c r="D266" s="6" t="str">
        <f>IFERROR(__xludf.DUMMYFUNCTION("""COMPUTED_VALUE"""),"Transfer Learning")</f>
        <v>Transfer Learning</v>
      </c>
    </row>
    <row r="267" ht="15.75" customHeight="1">
      <c r="A267" s="5" t="str">
        <f>IFERROR(__xludf.DUMMYFUNCTION("""COMPUTED_VALUE"""),"SCOPUS-000047")</f>
        <v>SCOPUS-000047</v>
      </c>
      <c r="B267" s="5" t="str">
        <f>IFERROR(__xludf.DUMMYFUNCTION("""COMPUTED_VALUE"""),"SCOPUS-000047-1")</f>
        <v>SCOPUS-000047-1</v>
      </c>
      <c r="C267" s="5" t="str">
        <f>IFERROR(__xludf.DUMMYFUNCTION("""COMPUTED_VALUE"""),"Architectural")</f>
        <v>Architectural</v>
      </c>
      <c r="D267" s="6" t="str">
        <f>IFERROR(__xludf.DUMMYFUNCTION("""COMPUTED_VALUE"""),"Architecture Modification")</f>
        <v>Architecture Modification</v>
      </c>
    </row>
    <row r="268" ht="15.75" customHeight="1">
      <c r="A268" s="5" t="str">
        <f>IFERROR(__xludf.DUMMYFUNCTION("""COMPUTED_VALUE"""),"SCOPUS-000047")</f>
        <v>SCOPUS-000047</v>
      </c>
      <c r="B268" s="5" t="str">
        <f>IFERROR(__xludf.DUMMYFUNCTION("""COMPUTED_VALUE"""),"SCOPUS-000047-2")</f>
        <v>SCOPUS-000047-2</v>
      </c>
      <c r="C268" s="5" t="str">
        <f>IFERROR(__xludf.DUMMYFUNCTION("""COMPUTED_VALUE"""),"Architectural")</f>
        <v>Architectural</v>
      </c>
      <c r="D268" s="6" t="str">
        <f>IFERROR(__xludf.DUMMYFUNCTION("""COMPUTED_VALUE"""),"Attention Mechanism")</f>
        <v>Attention Mechanism</v>
      </c>
    </row>
    <row r="269" ht="15.75" customHeight="1">
      <c r="A269" s="5" t="str">
        <f>IFERROR(__xludf.DUMMYFUNCTION("""COMPUTED_VALUE"""),"SCOPUS-000047")</f>
        <v>SCOPUS-000047</v>
      </c>
      <c r="B269" s="5" t="str">
        <f>IFERROR(__xludf.DUMMYFUNCTION("""COMPUTED_VALUE"""),"SCOPUS-000047-3")</f>
        <v>SCOPUS-000047-3</v>
      </c>
      <c r="C269" s="5" t="str">
        <f>IFERROR(__xludf.DUMMYFUNCTION("""COMPUTED_VALUE"""),"Data-Centric")</f>
        <v>Data-Centric</v>
      </c>
      <c r="D269" s="6" t="str">
        <f>IFERROR(__xludf.DUMMYFUNCTION("""COMPUTED_VALUE"""),"Data Augmentation")</f>
        <v>Data Augmentation</v>
      </c>
    </row>
    <row r="270" ht="15.75" customHeight="1">
      <c r="A270" s="5" t="str">
        <f>IFERROR(__xludf.DUMMYFUNCTION("""COMPUTED_VALUE"""),"SCOPUS-000047")</f>
        <v>SCOPUS-000047</v>
      </c>
      <c r="B270" s="5" t="str">
        <f>IFERROR(__xludf.DUMMYFUNCTION("""COMPUTED_VALUE"""),"SCOPUS-000047-4")</f>
        <v>SCOPUS-000047-4</v>
      </c>
      <c r="C270" s="5" t="str">
        <f>IFERROR(__xludf.DUMMYFUNCTION("""COMPUTED_VALUE"""),"Architectural")</f>
        <v>Architectural</v>
      </c>
      <c r="D270" s="6" t="str">
        <f>IFERROR(__xludf.DUMMYFUNCTION("""COMPUTED_VALUE"""),"Inference Optimization (TensorRT)")</f>
        <v>Inference Optimization (TensorRT)</v>
      </c>
    </row>
    <row r="271" ht="15.75" customHeight="1">
      <c r="A271" s="5" t="str">
        <f>IFERROR(__xludf.DUMMYFUNCTION("""COMPUTED_VALUE"""),"SCOPUS-000049")</f>
        <v>SCOPUS-000049</v>
      </c>
      <c r="B271" s="5" t="str">
        <f>IFERROR(__xludf.DUMMYFUNCTION("""COMPUTED_VALUE"""),"SCOPUS-000049-1")</f>
        <v>SCOPUS-000049-1</v>
      </c>
      <c r="C271" s="5" t="str">
        <f>IFERROR(__xludf.DUMMYFUNCTION("""COMPUTED_VALUE"""),"Architectural")</f>
        <v>Architectural</v>
      </c>
      <c r="D271" s="6" t="str">
        <f>IFERROR(__xludf.DUMMYFUNCTION("""COMPUTED_VALUE"""),"Architecture Modification")</f>
        <v>Architecture Modification</v>
      </c>
    </row>
    <row r="272" ht="15.75" customHeight="1">
      <c r="A272" s="5" t="str">
        <f>IFERROR(__xludf.DUMMYFUNCTION("""COMPUTED_VALUE"""),"SCOPUS-000049")</f>
        <v>SCOPUS-000049</v>
      </c>
      <c r="B272" s="5" t="str">
        <f>IFERROR(__xludf.DUMMYFUNCTION("""COMPUTED_VALUE"""),"SCOPUS-000049-2")</f>
        <v>SCOPUS-000049-2</v>
      </c>
      <c r="C272" s="5" t="str">
        <f>IFERROR(__xludf.DUMMYFUNCTION("""COMPUTED_VALUE"""),"Architectural")</f>
        <v>Architectural</v>
      </c>
      <c r="D272" s="6" t="str">
        <f>IFERROR(__xludf.DUMMYFUNCTION("""COMPUTED_VALUE"""),"Attention Mechanism")</f>
        <v>Attention Mechanism</v>
      </c>
    </row>
    <row r="273" ht="15.75" customHeight="1">
      <c r="A273" s="5" t="str">
        <f>IFERROR(__xludf.DUMMYFUNCTION("""COMPUTED_VALUE"""),"SCOPUS-000049")</f>
        <v>SCOPUS-000049</v>
      </c>
      <c r="B273" s="5" t="str">
        <f>IFERROR(__xludf.DUMMYFUNCTION("""COMPUTED_VALUE"""),"SCOPUS-000049-3")</f>
        <v>SCOPUS-000049-3</v>
      </c>
      <c r="C273" s="5" t="str">
        <f>IFERROR(__xludf.DUMMYFUNCTION("""COMPUTED_VALUE"""),"Architectural")</f>
        <v>Architectural</v>
      </c>
      <c r="D273" s="6" t="str">
        <f>IFERROR(__xludf.DUMMYFUNCTION("""COMPUTED_VALUE"""),"Loss Function Modification")</f>
        <v>Loss Function Modification</v>
      </c>
    </row>
    <row r="274" ht="15.75" customHeight="1">
      <c r="A274" s="5" t="str">
        <f>IFERROR(__xludf.DUMMYFUNCTION("""COMPUTED_VALUE"""),"SCOPUS-000049")</f>
        <v>SCOPUS-000049</v>
      </c>
      <c r="B274" s="5" t="str">
        <f>IFERROR(__xludf.DUMMYFUNCTION("""COMPUTED_VALUE"""),"SCOPUS-000049-4")</f>
        <v>SCOPUS-000049-4</v>
      </c>
      <c r="C274" s="5" t="str">
        <f>IFERROR(__xludf.DUMMYFUNCTION("""COMPUTED_VALUE"""),"Data-Centric")</f>
        <v>Data-Centric</v>
      </c>
      <c r="D274" s="6" t="str">
        <f>IFERROR(__xludf.DUMMYFUNCTION("""COMPUTED_VALUE"""),"Data Augmentation")</f>
        <v>Data Augmentation</v>
      </c>
    </row>
    <row r="275" ht="15.75" customHeight="1">
      <c r="A275" s="5" t="str">
        <f>IFERROR(__xludf.DUMMYFUNCTION("""COMPUTED_VALUE"""),"SCOPUS-000049")</f>
        <v>SCOPUS-000049</v>
      </c>
      <c r="B275" s="5" t="str">
        <f>IFERROR(__xludf.DUMMYFUNCTION("""COMPUTED_VALUE"""),"SCOPUS-000049-5")</f>
        <v>SCOPUS-000049-5</v>
      </c>
      <c r="C275" s="5" t="str">
        <f>IFERROR(__xludf.DUMMYFUNCTION("""COMPUTED_VALUE"""),"Data-Centric")</f>
        <v>Data-Centric</v>
      </c>
      <c r="D275" s="6" t="str">
        <f>IFERROR(__xludf.DUMMYFUNCTION("""COMPUTED_VALUE"""),"Transfer Learning")</f>
        <v>Transfer Learning</v>
      </c>
    </row>
    <row r="276" ht="15.75" customHeight="1">
      <c r="A276" s="5" t="str">
        <f>IFERROR(__xludf.DUMMYFUNCTION("""COMPUTED_VALUE"""),"SCOPUS-000059")</f>
        <v>SCOPUS-000059</v>
      </c>
      <c r="B276" s="5" t="str">
        <f>IFERROR(__xludf.DUMMYFUNCTION("""COMPUTED_VALUE"""),"SCOPUS-000059-1")</f>
        <v>SCOPUS-000059-1</v>
      </c>
      <c r="C276" s="5" t="str">
        <f>IFERROR(__xludf.DUMMYFUNCTION("""COMPUTED_VALUE"""),"Architectural")</f>
        <v>Architectural</v>
      </c>
      <c r="D276" s="6" t="str">
        <f>IFERROR(__xludf.DUMMYFUNCTION("""COMPUTED_VALUE"""),"Architecture Modification")</f>
        <v>Architecture Modification</v>
      </c>
    </row>
    <row r="277" ht="15.75" customHeight="1">
      <c r="A277" s="5" t="str">
        <f>IFERROR(__xludf.DUMMYFUNCTION("""COMPUTED_VALUE"""),"SCOPUS-000059")</f>
        <v>SCOPUS-000059</v>
      </c>
      <c r="B277" s="5" t="str">
        <f>IFERROR(__xludf.DUMMYFUNCTION("""COMPUTED_VALUE"""),"SCOPUS-000059-2")</f>
        <v>SCOPUS-000059-2</v>
      </c>
      <c r="C277" s="5" t="str">
        <f>IFERROR(__xludf.DUMMYFUNCTION("""COMPUTED_VALUE"""),"Data-Centric")</f>
        <v>Data-Centric</v>
      </c>
      <c r="D277" s="6" t="str">
        <f>IFERROR(__xludf.DUMMYFUNCTION("""COMPUTED_VALUE"""),"Transfer Learning")</f>
        <v>Transfer Learning</v>
      </c>
    </row>
    <row r="278" ht="15.75" customHeight="1">
      <c r="A278" s="5" t="str">
        <f>IFERROR(__xludf.DUMMYFUNCTION("""COMPUTED_VALUE"""),"SCOPUS-000067")</f>
        <v>SCOPUS-000067</v>
      </c>
      <c r="B278" s="5" t="str">
        <f>IFERROR(__xludf.DUMMYFUNCTION("""COMPUTED_VALUE"""),"SCOPUS-000067-1")</f>
        <v>SCOPUS-000067-1</v>
      </c>
      <c r="C278" s="5" t="str">
        <f>IFERROR(__xludf.DUMMYFUNCTION("""COMPUTED_VALUE"""),"Data-Centric")</f>
        <v>Data-Centric</v>
      </c>
      <c r="D278" s="6" t="str">
        <f>IFERROR(__xludf.DUMMYFUNCTION("""COMPUTED_VALUE"""),"Data Processing")</f>
        <v>Data Processing</v>
      </c>
    </row>
    <row r="279" ht="15.75" customHeight="1">
      <c r="A279" s="5" t="str">
        <f>IFERROR(__xludf.DUMMYFUNCTION("""COMPUTED_VALUE"""),"SCOPUS-000067")</f>
        <v>SCOPUS-000067</v>
      </c>
      <c r="B279" s="5" t="str">
        <f>IFERROR(__xludf.DUMMYFUNCTION("""COMPUTED_VALUE"""),"SCOPUS-000067-2")</f>
        <v>SCOPUS-000067-2</v>
      </c>
      <c r="C279" s="5" t="str">
        <f>IFERROR(__xludf.DUMMYFUNCTION("""COMPUTED_VALUE"""),"Data-Centric")</f>
        <v>Data-Centric</v>
      </c>
      <c r="D279" s="6" t="str">
        <f>IFERROR(__xludf.DUMMYFUNCTION("""COMPUTED_VALUE"""),"Feature Extraction")</f>
        <v>Feature Extraction</v>
      </c>
    </row>
    <row r="280" ht="15.75" customHeight="1">
      <c r="A280" s="5" t="str">
        <f>IFERROR(__xludf.DUMMYFUNCTION("""COMPUTED_VALUE"""),"SCOPUS-000067")</f>
        <v>SCOPUS-000067</v>
      </c>
      <c r="B280" s="5" t="str">
        <f>IFERROR(__xludf.DUMMYFUNCTION("""COMPUTED_VALUE"""),"SCOPUS-000067-3")</f>
        <v>SCOPUS-000067-3</v>
      </c>
      <c r="C280" s="5" t="str">
        <f>IFERROR(__xludf.DUMMYFUNCTION("""COMPUTED_VALUE"""),"Data-Centric")</f>
        <v>Data-Centric</v>
      </c>
      <c r="D280" s="6" t="str">
        <f>IFERROR(__xludf.DUMMYFUNCTION("""COMPUTED_VALUE"""),"Dimensionality Reduction")</f>
        <v>Dimensionality Reduction</v>
      </c>
    </row>
    <row r="281" ht="15.75" customHeight="1">
      <c r="A281" s="5" t="str">
        <f>IFERROR(__xludf.DUMMYFUNCTION("""COMPUTED_VALUE"""),"SCOPUS-000067")</f>
        <v>SCOPUS-000067</v>
      </c>
      <c r="B281" s="5" t="str">
        <f>IFERROR(__xludf.DUMMYFUNCTION("""COMPUTED_VALUE"""),"SCOPUS-000067-4")</f>
        <v>SCOPUS-000067-4</v>
      </c>
      <c r="C281" s="5" t="str">
        <f>IFERROR(__xludf.DUMMYFUNCTION("""COMPUTED_VALUE"""),"Architectural")</f>
        <v>Architectural</v>
      </c>
      <c r="D281" s="6" t="str">
        <f>IFERROR(__xludf.DUMMYFUNCTION("""COMPUTED_VALUE"""),"Machine Learning")</f>
        <v>Machine Learning</v>
      </c>
    </row>
    <row r="282" ht="15.75" customHeight="1">
      <c r="A282" s="5" t="str">
        <f>IFERROR(__xludf.DUMMYFUNCTION("""COMPUTED_VALUE"""),"SCOPUS-000076")</f>
        <v>SCOPUS-000076</v>
      </c>
      <c r="B282" s="5" t="str">
        <f>IFERROR(__xludf.DUMMYFUNCTION("""COMPUTED_VALUE"""),"SCOPUS-000076-1")</f>
        <v>SCOPUS-000076-1</v>
      </c>
      <c r="C282" s="5" t="str">
        <f>IFERROR(__xludf.DUMMYFUNCTION("""COMPUTED_VALUE"""),"Architectural")</f>
        <v>Architectural</v>
      </c>
      <c r="D282" s="6" t="str">
        <f>IFERROR(__xludf.DUMMYFUNCTION("""COMPUTED_VALUE"""),"Architecture Modification")</f>
        <v>Architecture Modification</v>
      </c>
    </row>
    <row r="283" ht="15.75" customHeight="1">
      <c r="A283" s="5" t="str">
        <f>IFERROR(__xludf.DUMMYFUNCTION("""COMPUTED_VALUE"""),"SCOPUS-000076")</f>
        <v>SCOPUS-000076</v>
      </c>
      <c r="B283" s="5" t="str">
        <f>IFERROR(__xludf.DUMMYFUNCTION("""COMPUTED_VALUE"""),"SCOPUS-000076-2")</f>
        <v>SCOPUS-000076-2</v>
      </c>
      <c r="C283" s="5" t="str">
        <f>IFERROR(__xludf.DUMMYFUNCTION("""COMPUTED_VALUE"""),"Architectural")</f>
        <v>Architectural</v>
      </c>
      <c r="D283" s="6" t="str">
        <f>IFERROR(__xludf.DUMMYFUNCTION("""COMPUTED_VALUE"""),"Attention Mechanism")</f>
        <v>Attention Mechanism</v>
      </c>
    </row>
    <row r="284" ht="15.75" customHeight="1">
      <c r="A284" s="5" t="str">
        <f>IFERROR(__xludf.DUMMYFUNCTION("""COMPUTED_VALUE"""),"SCOPUS-000076")</f>
        <v>SCOPUS-000076</v>
      </c>
      <c r="B284" s="5" t="str">
        <f>IFERROR(__xludf.DUMMYFUNCTION("""COMPUTED_VALUE"""),"SCOPUS-000076-3")</f>
        <v>SCOPUS-000076-3</v>
      </c>
      <c r="C284" s="5" t="str">
        <f>IFERROR(__xludf.DUMMYFUNCTION("""COMPUTED_VALUE"""),"Data-Centric")</f>
        <v>Data-Centric</v>
      </c>
      <c r="D284" s="6" t="str">
        <f>IFERROR(__xludf.DUMMYFUNCTION("""COMPUTED_VALUE"""),"Transfer Learning")</f>
        <v>Transfer Learning</v>
      </c>
    </row>
    <row r="285" ht="15.75" customHeight="1">
      <c r="A285" s="5" t="str">
        <f>IFERROR(__xludf.DUMMYFUNCTION("""COMPUTED_VALUE"""),"SCOPUS-000087")</f>
        <v>SCOPUS-000087</v>
      </c>
      <c r="B285" s="5" t="str">
        <f>IFERROR(__xludf.DUMMYFUNCTION("""COMPUTED_VALUE"""),"SCOPUS-000087-1")</f>
        <v>SCOPUS-000087-1</v>
      </c>
      <c r="C285" s="5" t="str">
        <f>IFERROR(__xludf.DUMMYFUNCTION("""COMPUTED_VALUE"""),"Architectural")</f>
        <v>Architectural</v>
      </c>
      <c r="D285" s="6" t="str">
        <f>IFERROR(__xludf.DUMMYFUNCTION("""COMPUTED_VALUE"""),"Architecture Modification")</f>
        <v>Architecture Modification</v>
      </c>
    </row>
    <row r="286" ht="15.75" customHeight="1">
      <c r="A286" s="5" t="str">
        <f>IFERROR(__xludf.DUMMYFUNCTION("""COMPUTED_VALUE"""),"SCOPUS-000087")</f>
        <v>SCOPUS-000087</v>
      </c>
      <c r="B286" s="5" t="str">
        <f>IFERROR(__xludf.DUMMYFUNCTION("""COMPUTED_VALUE"""),"SCOPUS-000087-2")</f>
        <v>SCOPUS-000087-2</v>
      </c>
      <c r="C286" s="5" t="str">
        <f>IFERROR(__xludf.DUMMYFUNCTION("""COMPUTED_VALUE"""),"Data-Centric")</f>
        <v>Data-Centric</v>
      </c>
      <c r="D286" s="6" t="str">
        <f>IFERROR(__xludf.DUMMYFUNCTION("""COMPUTED_VALUE"""),"Transfer Learning")</f>
        <v>Transfer Learning</v>
      </c>
    </row>
    <row r="287" ht="15.75" customHeight="1">
      <c r="A287" s="5" t="str">
        <f>IFERROR(__xludf.DUMMYFUNCTION("""COMPUTED_VALUE"""),"SCOPUS-000087")</f>
        <v>SCOPUS-000087</v>
      </c>
      <c r="B287" s="5" t="str">
        <f>IFERROR(__xludf.DUMMYFUNCTION("""COMPUTED_VALUE"""),"SCOPUS-000087-3")</f>
        <v>SCOPUS-000087-3</v>
      </c>
      <c r="C287" s="5" t="str">
        <f>IFERROR(__xludf.DUMMYFUNCTION("""COMPUTED_VALUE"""),"Data-Centric")</f>
        <v>Data-Centric</v>
      </c>
      <c r="D287" s="6" t="str">
        <f>IFERROR(__xludf.DUMMYFUNCTION("""COMPUTED_VALUE"""),"Data Augmentation")</f>
        <v>Data Augmentation</v>
      </c>
    </row>
    <row r="288" ht="15.75" customHeight="1">
      <c r="A288" s="5" t="str">
        <f>IFERROR(__xludf.DUMMYFUNCTION("""COMPUTED_VALUE"""),"SCOPUS-000089")</f>
        <v>SCOPUS-000089</v>
      </c>
      <c r="B288" s="5" t="str">
        <f>IFERROR(__xludf.DUMMYFUNCTION("""COMPUTED_VALUE"""),"SCOPUS-000089-1")</f>
        <v>SCOPUS-000089-1</v>
      </c>
      <c r="C288" s="5" t="str">
        <f>IFERROR(__xludf.DUMMYFUNCTION("""COMPUTED_VALUE"""),"Architectural")</f>
        <v>Architectural</v>
      </c>
      <c r="D288" s="6" t="str">
        <f>IFERROR(__xludf.DUMMYFUNCTION("""COMPUTED_VALUE"""),"Machine Learning")</f>
        <v>Machine Learning</v>
      </c>
    </row>
    <row r="289" ht="15.75" customHeight="1">
      <c r="A289" s="5" t="str">
        <f>IFERROR(__xludf.DUMMYFUNCTION("""COMPUTED_VALUE"""),"SCOPUS-000089")</f>
        <v>SCOPUS-000089</v>
      </c>
      <c r="B289" s="5" t="str">
        <f>IFERROR(__xludf.DUMMYFUNCTION("""COMPUTED_VALUE"""),"SCOPUS-000089-2")</f>
        <v>SCOPUS-000089-2</v>
      </c>
      <c r="C289" s="5" t="str">
        <f>IFERROR(__xludf.DUMMYFUNCTION("""COMPUTED_VALUE"""),"Data-Centric")</f>
        <v>Data-Centric</v>
      </c>
      <c r="D289" s="6" t="str">
        <f>IFERROR(__xludf.DUMMYFUNCTION("""COMPUTED_VALUE"""),"Dimensionality Reduction")</f>
        <v>Dimensionality Reduction</v>
      </c>
    </row>
    <row r="290" ht="15.75" customHeight="1">
      <c r="A290" s="5" t="str">
        <f>IFERROR(__xludf.DUMMYFUNCTION("""COMPUTED_VALUE"""),"SCOPUS-000089")</f>
        <v>SCOPUS-000089</v>
      </c>
      <c r="B290" s="5" t="str">
        <f>IFERROR(__xludf.DUMMYFUNCTION("""COMPUTED_VALUE"""),"SCOPUS-000089-3")</f>
        <v>SCOPUS-000089-3</v>
      </c>
      <c r="C290" s="5" t="str">
        <f>IFERROR(__xludf.DUMMYFUNCTION("""COMPUTED_VALUE"""),"Data-Centric")</f>
        <v>Data-Centric</v>
      </c>
      <c r="D290" s="6" t="str">
        <f>IFERROR(__xludf.DUMMYFUNCTION("""COMPUTED_VALUE"""),"Feature Extraction")</f>
        <v>Feature Extraction</v>
      </c>
    </row>
    <row r="291" ht="15.75" customHeight="1">
      <c r="A291" s="5" t="str">
        <f>IFERROR(__xludf.DUMMYFUNCTION("""COMPUTED_VALUE"""),"SCOPUS-000089")</f>
        <v>SCOPUS-000089</v>
      </c>
      <c r="B291" s="5" t="str">
        <f>IFERROR(__xludf.DUMMYFUNCTION("""COMPUTED_VALUE"""),"SCOPUS-000089-4")</f>
        <v>SCOPUS-000089-4</v>
      </c>
      <c r="C291" s="5" t="str">
        <f>IFERROR(__xludf.DUMMYFUNCTION("""COMPUTED_VALUE"""),"Data-Centric")</f>
        <v>Data-Centric</v>
      </c>
      <c r="D291" s="6" t="str">
        <f>IFERROR(__xludf.DUMMYFUNCTION("""COMPUTED_VALUE"""),"Data Augmentation")</f>
        <v>Data Augmentation</v>
      </c>
    </row>
    <row r="292" ht="15.75" customHeight="1">
      <c r="A292" s="5" t="str">
        <f>IFERROR(__xludf.DUMMYFUNCTION("""COMPUTED_VALUE"""),"SCOPUS-000140")</f>
        <v>SCOPUS-000140</v>
      </c>
      <c r="B292" s="5" t="str">
        <f>IFERROR(__xludf.DUMMYFUNCTION("""COMPUTED_VALUE"""),"SCOPUS-000140-1")</f>
        <v>SCOPUS-000140-1</v>
      </c>
      <c r="C292" s="5" t="str">
        <f>IFERROR(__xludf.DUMMYFUNCTION("""COMPUTED_VALUE"""),"Architectural")</f>
        <v>Architectural</v>
      </c>
      <c r="D292" s="6" t="str">
        <f>IFERROR(__xludf.DUMMYFUNCTION("""COMPUTED_VALUE"""),"Architecture Modification")</f>
        <v>Architecture Modification</v>
      </c>
    </row>
    <row r="293" ht="15.75" customHeight="1">
      <c r="A293" s="5" t="str">
        <f>IFERROR(__xludf.DUMMYFUNCTION("""COMPUTED_VALUE"""),"SCOPUS-000140")</f>
        <v>SCOPUS-000140</v>
      </c>
      <c r="B293" s="5" t="str">
        <f>IFERROR(__xludf.DUMMYFUNCTION("""COMPUTED_VALUE"""),"SCOPUS-000140-2")</f>
        <v>SCOPUS-000140-2</v>
      </c>
      <c r="C293" s="5" t="str">
        <f>IFERROR(__xludf.DUMMYFUNCTION("""COMPUTED_VALUE"""),"Data-Centric")</f>
        <v>Data-Centric</v>
      </c>
      <c r="D293" s="6" t="str">
        <f>IFERROR(__xludf.DUMMYFUNCTION("""COMPUTED_VALUE"""),"Transfer Learning")</f>
        <v>Transfer Learning</v>
      </c>
    </row>
    <row r="294" ht="15.75" customHeight="1">
      <c r="A294" s="5" t="str">
        <f>IFERROR(__xludf.DUMMYFUNCTION("""COMPUTED_VALUE"""),"SCOPUS-000140")</f>
        <v>SCOPUS-000140</v>
      </c>
      <c r="B294" s="5" t="str">
        <f>IFERROR(__xludf.DUMMYFUNCTION("""COMPUTED_VALUE"""),"SCOPUS-000140-3")</f>
        <v>SCOPUS-000140-3</v>
      </c>
      <c r="C294" s="5" t="str">
        <f>IFERROR(__xludf.DUMMYFUNCTION("""COMPUTED_VALUE"""),"Data-Centric")</f>
        <v>Data-Centric</v>
      </c>
      <c r="D294" s="6" t="str">
        <f>IFERROR(__xludf.DUMMYFUNCTION("""COMPUTED_VALUE"""),"Data Augmentation")</f>
        <v>Data Augmentation</v>
      </c>
    </row>
    <row r="295" ht="15.75" customHeight="1">
      <c r="A295" s="5" t="str">
        <f>IFERROR(__xludf.DUMMYFUNCTION("""COMPUTED_VALUE"""),"SCOPUS-000140")</f>
        <v>SCOPUS-000140</v>
      </c>
      <c r="B295" s="5" t="str">
        <f>IFERROR(__xludf.DUMMYFUNCTION("""COMPUTED_VALUE"""),"SCOPUS-000140-4")</f>
        <v>SCOPUS-000140-4</v>
      </c>
      <c r="C295" s="5" t="str">
        <f>IFERROR(__xludf.DUMMYFUNCTION("""COMPUTED_VALUE"""),"Architectural")</f>
        <v>Architectural</v>
      </c>
      <c r="D295" s="6" t="str">
        <f>IFERROR(__xludf.DUMMYFUNCTION("""COMPUTED_VALUE"""),"Loss Function Modification")</f>
        <v>Loss Function Modification</v>
      </c>
    </row>
    <row r="296" ht="15.75" customHeight="1">
      <c r="A296" s="5" t="str">
        <f>IFERROR(__xludf.DUMMYFUNCTION("""COMPUTED_VALUE"""),"SCOPUS-000148")</f>
        <v>SCOPUS-000148</v>
      </c>
      <c r="B296" s="5" t="str">
        <f>IFERROR(__xludf.DUMMYFUNCTION("""COMPUTED_VALUE"""),"SCOPUS-000148-1")</f>
        <v>SCOPUS-000148-1</v>
      </c>
      <c r="C296" s="5" t="str">
        <f>IFERROR(__xludf.DUMMYFUNCTION("""COMPUTED_VALUE"""),"Architectural")</f>
        <v>Architectural</v>
      </c>
      <c r="D296" s="6" t="str">
        <f>IFERROR(__xludf.DUMMYFUNCTION("""COMPUTED_VALUE"""),"Architecture Modification")</f>
        <v>Architecture Modification</v>
      </c>
    </row>
    <row r="297" ht="15.75" customHeight="1">
      <c r="A297" s="5" t="str">
        <f>IFERROR(__xludf.DUMMYFUNCTION("""COMPUTED_VALUE"""),"SCOPUS-000148")</f>
        <v>SCOPUS-000148</v>
      </c>
      <c r="B297" s="5" t="str">
        <f>IFERROR(__xludf.DUMMYFUNCTION("""COMPUTED_VALUE"""),"SCOPUS-000148-2")</f>
        <v>SCOPUS-000148-2</v>
      </c>
      <c r="C297" s="5" t="str">
        <f>IFERROR(__xludf.DUMMYFUNCTION("""COMPUTED_VALUE"""),"Architectural")</f>
        <v>Architectural</v>
      </c>
      <c r="D297" s="6" t="str">
        <f>IFERROR(__xludf.DUMMYFUNCTION("""COMPUTED_VALUE"""),"Attention Mechanism")</f>
        <v>Attention Mechanism</v>
      </c>
    </row>
    <row r="298" ht="15.75" customHeight="1">
      <c r="A298" s="5" t="str">
        <f>IFERROR(__xludf.DUMMYFUNCTION("""COMPUTED_VALUE"""),"SCOPUS-000156")</f>
        <v>SCOPUS-000156</v>
      </c>
      <c r="B298" s="5" t="str">
        <f>IFERROR(__xludf.DUMMYFUNCTION("""COMPUTED_VALUE"""),"SCOPUS-000156-1")</f>
        <v>SCOPUS-000156-1</v>
      </c>
      <c r="C298" s="5" t="str">
        <f>IFERROR(__xludf.DUMMYFUNCTION("""COMPUTED_VALUE"""),"Data-Centric")</f>
        <v>Data-Centric</v>
      </c>
      <c r="D298" s="6" t="str">
        <f>IFERROR(__xludf.DUMMYFUNCTION("""COMPUTED_VALUE"""),"Data Processing")</f>
        <v>Data Processing</v>
      </c>
    </row>
    <row r="299" ht="15.75" customHeight="1">
      <c r="A299" s="5" t="str">
        <f>IFERROR(__xludf.DUMMYFUNCTION("""COMPUTED_VALUE"""),"SCOPUS-000156")</f>
        <v>SCOPUS-000156</v>
      </c>
      <c r="B299" s="5" t="str">
        <f>IFERROR(__xludf.DUMMYFUNCTION("""COMPUTED_VALUE"""),"SCOPUS-000156-2")</f>
        <v>SCOPUS-000156-2</v>
      </c>
      <c r="C299" s="5" t="str">
        <f>IFERROR(__xludf.DUMMYFUNCTION("""COMPUTED_VALUE"""),"Data-Centric")</f>
        <v>Data-Centric</v>
      </c>
      <c r="D299" s="6" t="str">
        <f>IFERROR(__xludf.DUMMYFUNCTION("""COMPUTED_VALUE"""),"Data Augmentation")</f>
        <v>Data Augmentation</v>
      </c>
    </row>
    <row r="300" ht="15.75" customHeight="1">
      <c r="A300" s="5" t="str">
        <f>IFERROR(__xludf.DUMMYFUNCTION("""COMPUTED_VALUE"""),"SCOPUS-000166")</f>
        <v>SCOPUS-000166</v>
      </c>
      <c r="B300" s="5" t="str">
        <f>IFERROR(__xludf.DUMMYFUNCTION("""COMPUTED_VALUE"""),"SCOPUS-000166-1")</f>
        <v>SCOPUS-000166-1</v>
      </c>
      <c r="C300" s="5" t="str">
        <f>IFERROR(__xludf.DUMMYFUNCTION("""COMPUTED_VALUE"""),"Architectural")</f>
        <v>Architectural</v>
      </c>
      <c r="D300" s="6" t="str">
        <f>IFERROR(__xludf.DUMMYFUNCTION("""COMPUTED_VALUE"""),"Architecture Modification")</f>
        <v>Architecture Modification</v>
      </c>
    </row>
    <row r="301" ht="15.75" customHeight="1">
      <c r="A301" s="5" t="str">
        <f>IFERROR(__xludf.DUMMYFUNCTION("""COMPUTED_VALUE"""),"SCOPUS-000166")</f>
        <v>SCOPUS-000166</v>
      </c>
      <c r="B301" s="5" t="str">
        <f>IFERROR(__xludf.DUMMYFUNCTION("""COMPUTED_VALUE"""),"SCOPUS-000166-2")</f>
        <v>SCOPUS-000166-2</v>
      </c>
      <c r="C301" s="5" t="str">
        <f>IFERROR(__xludf.DUMMYFUNCTION("""COMPUTED_VALUE"""),"Architectural")</f>
        <v>Architectural</v>
      </c>
      <c r="D301" s="6" t="str">
        <f>IFERROR(__xludf.DUMMYFUNCTION("""COMPUTED_VALUE"""),"Attention Mechanism")</f>
        <v>Attention Mechanism</v>
      </c>
    </row>
    <row r="302" ht="15.75" customHeight="1">
      <c r="A302" s="5" t="str">
        <f>IFERROR(__xludf.DUMMYFUNCTION("""COMPUTED_VALUE"""),"SCOPUS-000166")</f>
        <v>SCOPUS-000166</v>
      </c>
      <c r="B302" s="5" t="str">
        <f>IFERROR(__xludf.DUMMYFUNCTION("""COMPUTED_VALUE"""),"SCOPUS-000166-3")</f>
        <v>SCOPUS-000166-3</v>
      </c>
      <c r="C302" s="5" t="str">
        <f>IFERROR(__xludf.DUMMYFUNCTION("""COMPUTED_VALUE"""),"Data-Centric")</f>
        <v>Data-Centric</v>
      </c>
      <c r="D302" s="6" t="str">
        <f>IFERROR(__xludf.DUMMYFUNCTION("""COMPUTED_VALUE"""),"Data Augmentation")</f>
        <v>Data Augmentation</v>
      </c>
    </row>
    <row r="303" ht="15.75" customHeight="1">
      <c r="A303" s="5" t="str">
        <f>IFERROR(__xludf.DUMMYFUNCTION("""COMPUTED_VALUE"""),"SCOPUS-000184")</f>
        <v>SCOPUS-000184</v>
      </c>
      <c r="B303" s="5" t="str">
        <f>IFERROR(__xludf.DUMMYFUNCTION("""COMPUTED_VALUE"""),"SCOPUS-000184-1")</f>
        <v>SCOPUS-000184-1</v>
      </c>
      <c r="C303" s="5" t="str">
        <f>IFERROR(__xludf.DUMMYFUNCTION("""COMPUTED_VALUE"""),"Architectural")</f>
        <v>Architectural</v>
      </c>
      <c r="D303" s="6" t="str">
        <f>IFERROR(__xludf.DUMMYFUNCTION("""COMPUTED_VALUE"""),"Architecture Modification")</f>
        <v>Architecture Modification</v>
      </c>
    </row>
    <row r="304" ht="15.75" customHeight="1">
      <c r="A304" s="5" t="str">
        <f>IFERROR(__xludf.DUMMYFUNCTION("""COMPUTED_VALUE"""),"SCOPUS-000184")</f>
        <v>SCOPUS-000184</v>
      </c>
      <c r="B304" s="5" t="str">
        <f>IFERROR(__xludf.DUMMYFUNCTION("""COMPUTED_VALUE"""),"SCOPUS-000184-2")</f>
        <v>SCOPUS-000184-2</v>
      </c>
      <c r="C304" s="5" t="str">
        <f>IFERROR(__xludf.DUMMYFUNCTION("""COMPUTED_VALUE"""),"Data-Centric")</f>
        <v>Data-Centric</v>
      </c>
      <c r="D304" s="6" t="str">
        <f>IFERROR(__xludf.DUMMYFUNCTION("""COMPUTED_VALUE"""),"Data Augmentation")</f>
        <v>Data Augmentation</v>
      </c>
    </row>
    <row r="305" ht="15.75" customHeight="1">
      <c r="A305" s="5" t="str">
        <f>IFERROR(__xludf.DUMMYFUNCTION("""COMPUTED_VALUE"""),"SCOPUS-000184")</f>
        <v>SCOPUS-000184</v>
      </c>
      <c r="B305" s="5" t="str">
        <f>IFERROR(__xludf.DUMMYFUNCTION("""COMPUTED_VALUE"""),"SCOPUS-000184-3")</f>
        <v>SCOPUS-000184-3</v>
      </c>
      <c r="C305" s="5" t="str">
        <f>IFERROR(__xludf.DUMMYFUNCTION("""COMPUTED_VALUE"""),"Data-Centric")</f>
        <v>Data-Centric</v>
      </c>
      <c r="D305" s="6" t="str">
        <f>IFERROR(__xludf.DUMMYFUNCTION("""COMPUTED_VALUE"""),"Transfer Learning")</f>
        <v>Transfer Learning</v>
      </c>
    </row>
    <row r="306" ht="15.75" customHeight="1">
      <c r="A306" s="5" t="str">
        <f>IFERROR(__xludf.DUMMYFUNCTION("""COMPUTED_VALUE"""),"SCOPUS-000184")</f>
        <v>SCOPUS-000184</v>
      </c>
      <c r="B306" s="5" t="str">
        <f>IFERROR(__xludf.DUMMYFUNCTION("""COMPUTED_VALUE"""),"SCOPUS-000184-4")</f>
        <v>SCOPUS-000184-4</v>
      </c>
      <c r="C306" s="5" t="str">
        <f>IFERROR(__xludf.DUMMYFUNCTION("""COMPUTED_VALUE"""),"Architectural")</f>
        <v>Architectural</v>
      </c>
      <c r="D306" s="6" t="str">
        <f>IFERROR(__xludf.DUMMYFUNCTION("""COMPUTED_VALUE"""),"Inference Optimization (TensorRT)")</f>
        <v>Inference Optimization (TensorRT)</v>
      </c>
    </row>
    <row r="307" ht="15.75" customHeight="1">
      <c r="A307" s="5" t="str">
        <f>IFERROR(__xludf.DUMMYFUNCTION("""COMPUTED_VALUE"""),"SCOPUS-000192")</f>
        <v>SCOPUS-000192</v>
      </c>
      <c r="B307" s="5" t="str">
        <f>IFERROR(__xludf.DUMMYFUNCTION("""COMPUTED_VALUE"""),"SCOPUS-000192-1")</f>
        <v>SCOPUS-000192-1</v>
      </c>
      <c r="C307" s="5" t="str">
        <f>IFERROR(__xludf.DUMMYFUNCTION("""COMPUTED_VALUE"""),"Architectural")</f>
        <v>Architectural</v>
      </c>
      <c r="D307" s="6" t="str">
        <f>IFERROR(__xludf.DUMMYFUNCTION("""COMPUTED_VALUE"""),"Architecture Modification")</f>
        <v>Architecture Modification</v>
      </c>
    </row>
    <row r="308" ht="15.75" customHeight="1">
      <c r="A308" s="5" t="str">
        <f>IFERROR(__xludf.DUMMYFUNCTION("""COMPUTED_VALUE"""),"SCOPUS-000192")</f>
        <v>SCOPUS-000192</v>
      </c>
      <c r="B308" s="5" t="str">
        <f>IFERROR(__xludf.DUMMYFUNCTION("""COMPUTED_VALUE"""),"SCOPUS-000192-2")</f>
        <v>SCOPUS-000192-2</v>
      </c>
      <c r="C308" s="5" t="str">
        <f>IFERROR(__xludf.DUMMYFUNCTION("""COMPUTED_VALUE"""),"Architectural")</f>
        <v>Architectural</v>
      </c>
      <c r="D308" s="6" t="str">
        <f>IFERROR(__xludf.DUMMYFUNCTION("""COMPUTED_VALUE"""),"Model Compression (Quantization)")</f>
        <v>Model Compression (Quantization)</v>
      </c>
    </row>
    <row r="309" ht="15.75" customHeight="1">
      <c r="A309" s="5" t="str">
        <f>IFERROR(__xludf.DUMMYFUNCTION("""COMPUTED_VALUE"""),"SCOPUS-000192")</f>
        <v>SCOPUS-000192</v>
      </c>
      <c r="B309" s="5" t="str">
        <f>IFERROR(__xludf.DUMMYFUNCTION("""COMPUTED_VALUE"""),"SCOPUS-000192-3")</f>
        <v>SCOPUS-000192-3</v>
      </c>
      <c r="C309" s="5" t="str">
        <f>IFERROR(__xludf.DUMMYFUNCTION("""COMPUTED_VALUE"""),"Data-Centric")</f>
        <v>Data-Centric</v>
      </c>
      <c r="D309" s="6" t="str">
        <f>IFERROR(__xludf.DUMMYFUNCTION("""COMPUTED_VALUE"""),"Data Augmentation")</f>
        <v>Data Augmentation</v>
      </c>
    </row>
    <row r="310" ht="15.75" customHeight="1">
      <c r="A310" s="5" t="str">
        <f>IFERROR(__xludf.DUMMYFUNCTION("""COMPUTED_VALUE"""),"SCOPUS-000192")</f>
        <v>SCOPUS-000192</v>
      </c>
      <c r="B310" s="5" t="str">
        <f>IFERROR(__xludf.DUMMYFUNCTION("""COMPUTED_VALUE"""),"SCOPUS-000192-4")</f>
        <v>SCOPUS-000192-4</v>
      </c>
      <c r="C310" s="5" t="str">
        <f>IFERROR(__xludf.DUMMYFUNCTION("""COMPUTED_VALUE"""),"Architectural")</f>
        <v>Architectural</v>
      </c>
      <c r="D310" s="6" t="str">
        <f>IFERROR(__xludf.DUMMYFUNCTION("""COMPUTED_VALUE"""),"Loss Function Modification")</f>
        <v>Loss Function Modification</v>
      </c>
    </row>
    <row r="311" ht="15.75" customHeight="1">
      <c r="A311" s="5" t="str">
        <f>IFERROR(__xludf.DUMMYFUNCTION("""COMPUTED_VALUE"""),"SCOPUS-000192")</f>
        <v>SCOPUS-000192</v>
      </c>
      <c r="B311" s="5" t="str">
        <f>IFERROR(__xludf.DUMMYFUNCTION("""COMPUTED_VALUE"""),"SCOPUS-000192-5")</f>
        <v>SCOPUS-000192-5</v>
      </c>
      <c r="C311" s="5" t="str">
        <f>IFERROR(__xludf.DUMMYFUNCTION("""COMPUTED_VALUE"""),"Data-Centric")</f>
        <v>Data-Centric</v>
      </c>
      <c r="D311" s="6" t="str">
        <f>IFERROR(__xludf.DUMMYFUNCTION("""COMPUTED_VALUE"""),"Transfer Learning")</f>
        <v>Transfer Learning</v>
      </c>
    </row>
    <row r="312" ht="15.75" customHeight="1">
      <c r="A312" s="5" t="str">
        <f>IFERROR(__xludf.DUMMYFUNCTION("""COMPUTED_VALUE"""),"SCOPUS-000192")</f>
        <v>SCOPUS-000192</v>
      </c>
      <c r="B312" s="5" t="str">
        <f>IFERROR(__xludf.DUMMYFUNCTION("""COMPUTED_VALUE"""),"SCOPUS-000192-6")</f>
        <v>SCOPUS-000192-6</v>
      </c>
      <c r="C312" s="5" t="str">
        <f>IFERROR(__xludf.DUMMYFUNCTION("""COMPUTED_VALUE"""),"Architectural")</f>
        <v>Architectural</v>
      </c>
      <c r="D312" s="6" t="str">
        <f>IFERROR(__xludf.DUMMYFUNCTION("""COMPUTED_VALUE"""),"Instance Segmentation")</f>
        <v>Instance Segmentation</v>
      </c>
    </row>
    <row r="313" ht="15.75" customHeight="1">
      <c r="A313" s="5" t="str">
        <f>IFERROR(__xludf.DUMMYFUNCTION("""COMPUTED_VALUE"""),"SCOPUS-000221")</f>
        <v>SCOPUS-000221</v>
      </c>
      <c r="B313" s="5" t="str">
        <f>IFERROR(__xludf.DUMMYFUNCTION("""COMPUTED_VALUE"""),"SCOPUS-000221-1")</f>
        <v>SCOPUS-000221-1</v>
      </c>
      <c r="C313" s="5" t="str">
        <f>IFERROR(__xludf.DUMMYFUNCTION("""COMPUTED_VALUE"""),"Data-Centric")</f>
        <v>Data-Centric</v>
      </c>
      <c r="D313" s="6" t="str">
        <f>IFERROR(__xludf.DUMMYFUNCTION("""COMPUTED_VALUE"""),"Data Augmentation")</f>
        <v>Data Augmentation</v>
      </c>
    </row>
    <row r="314" ht="15.75" customHeight="1">
      <c r="A314" s="5" t="str">
        <f>IFERROR(__xludf.DUMMYFUNCTION("""COMPUTED_VALUE"""),"SCOPUS-000221")</f>
        <v>SCOPUS-000221</v>
      </c>
      <c r="B314" s="5" t="str">
        <f>IFERROR(__xludf.DUMMYFUNCTION("""COMPUTED_VALUE"""),"SCOPUS-000221-2")</f>
        <v>SCOPUS-000221-2</v>
      </c>
      <c r="C314" s="5" t="str">
        <f>IFERROR(__xludf.DUMMYFUNCTION("""COMPUTED_VALUE"""),"Data-Centric")</f>
        <v>Data-Centric</v>
      </c>
      <c r="D314" s="6" t="str">
        <f>IFERROR(__xludf.DUMMYFUNCTION("""COMPUTED_VALUE"""),"Transfer Learning")</f>
        <v>Transfer Learning</v>
      </c>
    </row>
    <row r="315" ht="15.75" customHeight="1">
      <c r="A315" s="5" t="str">
        <f>IFERROR(__xludf.DUMMYFUNCTION("""COMPUTED_VALUE"""),"SCOPUS-000221")</f>
        <v>SCOPUS-000221</v>
      </c>
      <c r="B315" s="5" t="str">
        <f>IFERROR(__xludf.DUMMYFUNCTION("""COMPUTED_VALUE"""),"SCOPUS-000221-3")</f>
        <v>SCOPUS-000221-3</v>
      </c>
      <c r="C315" s="5" t="str">
        <f>IFERROR(__xludf.DUMMYFUNCTION("""COMPUTED_VALUE"""),"Architectural")</f>
        <v>Architectural</v>
      </c>
      <c r="D315" s="6" t="str">
        <f>IFERROR(__xludf.DUMMYFUNCTION("""COMPUTED_VALUE"""),"Architecture Modification")</f>
        <v>Architecture Modification</v>
      </c>
    </row>
    <row r="316" ht="15.75" customHeight="1">
      <c r="A316" s="5" t="str">
        <f>IFERROR(__xludf.DUMMYFUNCTION("""COMPUTED_VALUE"""),"SCOPUS-000224")</f>
        <v>SCOPUS-000224</v>
      </c>
      <c r="B316" s="5" t="str">
        <f>IFERROR(__xludf.DUMMYFUNCTION("""COMPUTED_VALUE"""),"SCOPUS-000224-1")</f>
        <v>SCOPUS-000224-1</v>
      </c>
      <c r="C316" s="5" t="str">
        <f>IFERROR(__xludf.DUMMYFUNCTION("""COMPUTED_VALUE"""),"Architectural")</f>
        <v>Architectural</v>
      </c>
      <c r="D316" s="6" t="str">
        <f>IFERROR(__xludf.DUMMYFUNCTION("""COMPUTED_VALUE"""),"Architecture Modification")</f>
        <v>Architecture Modification</v>
      </c>
    </row>
    <row r="317" ht="15.75" customHeight="1">
      <c r="A317" s="5" t="str">
        <f>IFERROR(__xludf.DUMMYFUNCTION("""COMPUTED_VALUE"""),"SCOPUS-000224")</f>
        <v>SCOPUS-000224</v>
      </c>
      <c r="B317" s="5" t="str">
        <f>IFERROR(__xludf.DUMMYFUNCTION("""COMPUTED_VALUE"""),"SCOPUS-000224-2")</f>
        <v>SCOPUS-000224-2</v>
      </c>
      <c r="C317" s="5" t="str">
        <f>IFERROR(__xludf.DUMMYFUNCTION("""COMPUTED_VALUE"""),"Architectural")</f>
        <v>Architectural</v>
      </c>
      <c r="D317" s="6" t="str">
        <f>IFERROR(__xludf.DUMMYFUNCTION("""COMPUTED_VALUE"""),"Attention Mechanism")</f>
        <v>Attention Mechanism</v>
      </c>
    </row>
    <row r="318" ht="15.75" customHeight="1">
      <c r="A318" s="5" t="str">
        <f>IFERROR(__xludf.DUMMYFUNCTION("""COMPUTED_VALUE"""),"SCOPUS-000224")</f>
        <v>SCOPUS-000224</v>
      </c>
      <c r="B318" s="5" t="str">
        <f>IFERROR(__xludf.DUMMYFUNCTION("""COMPUTED_VALUE"""),"SCOPUS-000224-3")</f>
        <v>SCOPUS-000224-3</v>
      </c>
      <c r="C318" s="5" t="str">
        <f>IFERROR(__xludf.DUMMYFUNCTION("""COMPUTED_VALUE"""),"Data-Centric")</f>
        <v>Data-Centric</v>
      </c>
      <c r="D318" s="6" t="str">
        <f>IFERROR(__xludf.DUMMYFUNCTION("""COMPUTED_VALUE"""),"Data Augmentation")</f>
        <v>Data Augmentation</v>
      </c>
    </row>
    <row r="319" ht="15.75" customHeight="1">
      <c r="A319" s="5" t="str">
        <f>IFERROR(__xludf.DUMMYFUNCTION("""COMPUTED_VALUE"""),"SCOPUS-000227")</f>
        <v>SCOPUS-000227</v>
      </c>
      <c r="B319" s="5" t="str">
        <f>IFERROR(__xludf.DUMMYFUNCTION("""COMPUTED_VALUE"""),"SCOPUS-000227-1")</f>
        <v>SCOPUS-000227-1</v>
      </c>
      <c r="C319" s="5" t="str">
        <f>IFERROR(__xludf.DUMMYFUNCTION("""COMPUTED_VALUE"""),"Data-Centric")</f>
        <v>Data-Centric</v>
      </c>
      <c r="D319" s="6" t="str">
        <f>IFERROR(__xludf.DUMMYFUNCTION("""COMPUTED_VALUE"""),"Domain Adaptation")</f>
        <v>Domain Adaptation</v>
      </c>
    </row>
    <row r="320" ht="15.75" customHeight="1">
      <c r="A320" s="5" t="str">
        <f>IFERROR(__xludf.DUMMYFUNCTION("""COMPUTED_VALUE"""),"SCOPUS-000227")</f>
        <v>SCOPUS-000227</v>
      </c>
      <c r="B320" s="5" t="str">
        <f>IFERROR(__xludf.DUMMYFUNCTION("""COMPUTED_VALUE"""),"SCOPUS-000227-2")</f>
        <v>SCOPUS-000227-2</v>
      </c>
      <c r="C320" s="5" t="str">
        <f>IFERROR(__xludf.DUMMYFUNCTION("""COMPUTED_VALUE"""),"Architectural")</f>
        <v>Architectural</v>
      </c>
      <c r="D320" s="6" t="str">
        <f>IFERROR(__xludf.DUMMYFUNCTION("""COMPUTED_VALUE"""),"Architecture Modification")</f>
        <v>Architecture Modification</v>
      </c>
    </row>
    <row r="321" ht="15.75" customHeight="1">
      <c r="A321" s="5" t="str">
        <f>IFERROR(__xludf.DUMMYFUNCTION("""COMPUTED_VALUE"""),"SCOPUS-000227")</f>
        <v>SCOPUS-000227</v>
      </c>
      <c r="B321" s="5" t="str">
        <f>IFERROR(__xludf.DUMMYFUNCTION("""COMPUTED_VALUE"""),"SCOPUS-000227-3")</f>
        <v>SCOPUS-000227-3</v>
      </c>
      <c r="C321" s="5" t="str">
        <f>IFERROR(__xludf.DUMMYFUNCTION("""COMPUTED_VALUE"""),"Data-Centric")</f>
        <v>Data-Centric</v>
      </c>
      <c r="D321" s="6" t="str">
        <f>IFERROR(__xludf.DUMMYFUNCTION("""COMPUTED_VALUE"""),"Transfer Learning")</f>
        <v>Transfer Learning</v>
      </c>
    </row>
    <row r="322" ht="15.75" customHeight="1">
      <c r="A322" s="5" t="str">
        <f>IFERROR(__xludf.DUMMYFUNCTION("""COMPUTED_VALUE"""),"SCOPUS-000238")</f>
        <v>SCOPUS-000238</v>
      </c>
      <c r="B322" s="5" t="str">
        <f>IFERROR(__xludf.DUMMYFUNCTION("""COMPUTED_VALUE"""),"SCOPUS-000238-1")</f>
        <v>SCOPUS-000238-1</v>
      </c>
      <c r="C322" s="5" t="str">
        <f>IFERROR(__xludf.DUMMYFUNCTION("""COMPUTED_VALUE"""),"Data-Centric")</f>
        <v>Data-Centric</v>
      </c>
      <c r="D322" s="6" t="str">
        <f>IFERROR(__xludf.DUMMYFUNCTION("""COMPUTED_VALUE"""),"Data Processing")</f>
        <v>Data Processing</v>
      </c>
    </row>
    <row r="323" ht="15.75" customHeight="1">
      <c r="A323" s="5" t="str">
        <f>IFERROR(__xludf.DUMMYFUNCTION("""COMPUTED_VALUE"""),"SCOPUS-000238")</f>
        <v>SCOPUS-000238</v>
      </c>
      <c r="B323" s="5" t="str">
        <f>IFERROR(__xludf.DUMMYFUNCTION("""COMPUTED_VALUE"""),"SCOPUS-000238-2")</f>
        <v>SCOPUS-000238-2</v>
      </c>
      <c r="C323" s="5" t="str">
        <f>IFERROR(__xludf.DUMMYFUNCTION("""COMPUTED_VALUE"""),"Data-Centric")</f>
        <v>Data-Centric</v>
      </c>
      <c r="D323" s="6" t="str">
        <f>IFERROR(__xludf.DUMMYFUNCTION("""COMPUTED_VALUE"""),"Data Augmentation")</f>
        <v>Data Augmentation</v>
      </c>
    </row>
    <row r="324" ht="15.75" customHeight="1">
      <c r="A324" s="5" t="str">
        <f>IFERROR(__xludf.DUMMYFUNCTION("""COMPUTED_VALUE"""),"SCOPUS-000238")</f>
        <v>SCOPUS-000238</v>
      </c>
      <c r="B324" s="5" t="str">
        <f>IFERROR(__xludf.DUMMYFUNCTION("""COMPUTED_VALUE"""),"SCOPUS-000238-3")</f>
        <v>SCOPUS-000238-3</v>
      </c>
      <c r="C324" s="5" t="str">
        <f>IFERROR(__xludf.DUMMYFUNCTION("""COMPUTED_VALUE"""),"Data-Centric")</f>
        <v>Data-Centric</v>
      </c>
      <c r="D324" s="6" t="str">
        <f>IFERROR(__xludf.DUMMYFUNCTION("""COMPUTED_VALUE"""),"Transfer Learning")</f>
        <v>Transfer Learning</v>
      </c>
    </row>
    <row r="325" ht="15.75" customHeight="1">
      <c r="A325" s="5" t="str">
        <f>IFERROR(__xludf.DUMMYFUNCTION("""COMPUTED_VALUE"""),"SCOPUS-000238")</f>
        <v>SCOPUS-000238</v>
      </c>
      <c r="B325" s="5" t="str">
        <f>IFERROR(__xludf.DUMMYFUNCTION("""COMPUTED_VALUE"""),"SCOPUS-000238-4")</f>
        <v>SCOPUS-000238-4</v>
      </c>
      <c r="C325" s="5" t="str">
        <f>IFERROR(__xludf.DUMMYFUNCTION("""COMPUTED_VALUE"""),"Architectural")</f>
        <v>Architectural</v>
      </c>
      <c r="D325" s="6" t="str">
        <f>IFERROR(__xludf.DUMMYFUNCTION("""COMPUTED_VALUE"""),"Inference Optimization (TensorRT)")</f>
        <v>Inference Optimization (TensorRT)</v>
      </c>
    </row>
    <row r="326" ht="15.75" customHeight="1">
      <c r="A326" s="5" t="str">
        <f>IFERROR(__xludf.DUMMYFUNCTION("""COMPUTED_VALUE"""),"SCOPUS-000251")</f>
        <v>SCOPUS-000251</v>
      </c>
      <c r="B326" s="5" t="str">
        <f>IFERROR(__xludf.DUMMYFUNCTION("""COMPUTED_VALUE"""),"SCOPUS-000251-1")</f>
        <v>SCOPUS-000251-1</v>
      </c>
      <c r="C326" s="5" t="str">
        <f>IFERROR(__xludf.DUMMYFUNCTION("""COMPUTED_VALUE"""),"Data-Centric")</f>
        <v>Data-Centric</v>
      </c>
      <c r="D326" s="6" t="str">
        <f>IFERROR(__xludf.DUMMYFUNCTION("""COMPUTED_VALUE"""),"Data Processing")</f>
        <v>Data Processing</v>
      </c>
    </row>
    <row r="327" ht="15.75" customHeight="1">
      <c r="A327" s="5" t="str">
        <f>IFERROR(__xludf.DUMMYFUNCTION("""COMPUTED_VALUE"""),"SCOPUS-000251")</f>
        <v>SCOPUS-000251</v>
      </c>
      <c r="B327" s="5" t="str">
        <f>IFERROR(__xludf.DUMMYFUNCTION("""COMPUTED_VALUE"""),"SCOPUS-000251-2")</f>
        <v>SCOPUS-000251-2</v>
      </c>
      <c r="C327" s="5" t="str">
        <f>IFERROR(__xludf.DUMMYFUNCTION("""COMPUTED_VALUE"""),"Data-Centric")</f>
        <v>Data-Centric</v>
      </c>
      <c r="D327" s="6" t="str">
        <f>IFERROR(__xludf.DUMMYFUNCTION("""COMPUTED_VALUE"""),"Data Augmentation")</f>
        <v>Data Augmentation</v>
      </c>
    </row>
    <row r="328" ht="15.75" customHeight="1">
      <c r="A328" s="5" t="str">
        <f>IFERROR(__xludf.DUMMYFUNCTION("""COMPUTED_VALUE"""),"SCOPUS-000257")</f>
        <v>SCOPUS-000257</v>
      </c>
      <c r="B328" s="5" t="str">
        <f>IFERROR(__xludf.DUMMYFUNCTION("""COMPUTED_VALUE"""),"SCOPUS-000257-1")</f>
        <v>SCOPUS-000257-1</v>
      </c>
      <c r="C328" s="5" t="str">
        <f>IFERROR(__xludf.DUMMYFUNCTION("""COMPUTED_VALUE"""),"Architectural")</f>
        <v>Architectural</v>
      </c>
      <c r="D328" s="6" t="str">
        <f>IFERROR(__xludf.DUMMYFUNCTION("""COMPUTED_VALUE"""),"Architecture Modification")</f>
        <v>Architecture Modification</v>
      </c>
    </row>
    <row r="329" ht="15.75" customHeight="1">
      <c r="A329" s="5" t="str">
        <f>IFERROR(__xludf.DUMMYFUNCTION("""COMPUTED_VALUE"""),"SCOPUS-000257")</f>
        <v>SCOPUS-000257</v>
      </c>
      <c r="B329" s="5" t="str">
        <f>IFERROR(__xludf.DUMMYFUNCTION("""COMPUTED_VALUE"""),"SCOPUS-000257-2")</f>
        <v>SCOPUS-000257-2</v>
      </c>
      <c r="C329" s="5" t="str">
        <f>IFERROR(__xludf.DUMMYFUNCTION("""COMPUTED_VALUE"""),"Data-Centric")</f>
        <v>Data-Centric</v>
      </c>
      <c r="D329" s="6" t="str">
        <f>IFERROR(__xludf.DUMMYFUNCTION("""COMPUTED_VALUE"""),"Data Augmentation")</f>
        <v>Data Augmentation</v>
      </c>
    </row>
    <row r="330" ht="15.75" customHeight="1">
      <c r="A330" s="5" t="str">
        <f>IFERROR(__xludf.DUMMYFUNCTION("""COMPUTED_VALUE"""),"SCOPUS-000258")</f>
        <v>SCOPUS-000258</v>
      </c>
      <c r="B330" s="5" t="str">
        <f>IFERROR(__xludf.DUMMYFUNCTION("""COMPUTED_VALUE"""),"SCOPUS-000258-1")</f>
        <v>SCOPUS-000258-1</v>
      </c>
      <c r="C330" s="5" t="str">
        <f>IFERROR(__xludf.DUMMYFUNCTION("""COMPUTED_VALUE"""),"Data-Centric")</f>
        <v>Data-Centric</v>
      </c>
      <c r="D330" s="6" t="str">
        <f>IFERROR(__xludf.DUMMYFUNCTION("""COMPUTED_VALUE"""),"Transfer Learning")</f>
        <v>Transfer Learning</v>
      </c>
    </row>
    <row r="331" ht="15.75" customHeight="1">
      <c r="A331" s="5" t="str">
        <f>IFERROR(__xludf.DUMMYFUNCTION("""COMPUTED_VALUE"""),"SCOPUS-000258")</f>
        <v>SCOPUS-000258</v>
      </c>
      <c r="B331" s="5" t="str">
        <f>IFERROR(__xludf.DUMMYFUNCTION("""COMPUTED_VALUE"""),"SCOPUS-000258-2")</f>
        <v>SCOPUS-000258-2</v>
      </c>
      <c r="C331" s="5" t="str">
        <f>IFERROR(__xludf.DUMMYFUNCTION("""COMPUTED_VALUE"""),"Architectural")</f>
        <v>Architectural</v>
      </c>
      <c r="D331" s="6" t="str">
        <f>IFERROR(__xludf.DUMMYFUNCTION("""COMPUTED_VALUE"""),"Architecture Modification")</f>
        <v>Architecture Modification</v>
      </c>
    </row>
    <row r="332" ht="15.75" customHeight="1">
      <c r="A332" s="5" t="str">
        <f>IFERROR(__xludf.DUMMYFUNCTION("""COMPUTED_VALUE"""),"SCOPUS-000262")</f>
        <v>SCOPUS-000262</v>
      </c>
      <c r="B332" s="5" t="str">
        <f>IFERROR(__xludf.DUMMYFUNCTION("""COMPUTED_VALUE"""),"SCOPUS-000262-1")</f>
        <v>SCOPUS-000262-1</v>
      </c>
      <c r="C332" s="5" t="str">
        <f>IFERROR(__xludf.DUMMYFUNCTION("""COMPUTED_VALUE"""),"Data-Centric")</f>
        <v>Data-Centric</v>
      </c>
      <c r="D332" s="6" t="str">
        <f>IFERROR(__xludf.DUMMYFUNCTION("""COMPUTED_VALUE"""),"Data Processing")</f>
        <v>Data Processing</v>
      </c>
    </row>
    <row r="333" ht="15.75" customHeight="1">
      <c r="A333" s="5" t="str">
        <f>IFERROR(__xludf.DUMMYFUNCTION("""COMPUTED_VALUE"""),"SCOPUS-000262")</f>
        <v>SCOPUS-000262</v>
      </c>
      <c r="B333" s="5" t="str">
        <f>IFERROR(__xludf.DUMMYFUNCTION("""COMPUTED_VALUE"""),"SCOPUS-000262-2")</f>
        <v>SCOPUS-000262-2</v>
      </c>
      <c r="C333" s="5" t="str">
        <f>IFERROR(__xludf.DUMMYFUNCTION("""COMPUTED_VALUE"""),"Data-Centric")</f>
        <v>Data-Centric</v>
      </c>
      <c r="D333" s="6" t="str">
        <f>IFERROR(__xludf.DUMMYFUNCTION("""COMPUTED_VALUE"""),"Color Space Transformation")</f>
        <v>Color Space Transformation</v>
      </c>
    </row>
    <row r="334" ht="15.75" customHeight="1">
      <c r="A334" s="5" t="str">
        <f>IFERROR(__xludf.DUMMYFUNCTION("""COMPUTED_VALUE"""),"SCOPUS-000262")</f>
        <v>SCOPUS-000262</v>
      </c>
      <c r="B334" s="5" t="str">
        <f>IFERROR(__xludf.DUMMYFUNCTION("""COMPUTED_VALUE"""),"SCOPUS-000262-3")</f>
        <v>SCOPUS-000262-3</v>
      </c>
      <c r="C334" s="5" t="str">
        <f>IFERROR(__xludf.DUMMYFUNCTION("""COMPUTED_VALUE"""),"Data-Centric")</f>
        <v>Data-Centric</v>
      </c>
      <c r="D334" s="6" t="str">
        <f>IFERROR(__xludf.DUMMYFUNCTION("""COMPUTED_VALUE"""),"Data Augmentation")</f>
        <v>Data Augmentation</v>
      </c>
    </row>
    <row r="335" ht="15.75" customHeight="1">
      <c r="A335" s="5" t="str">
        <f>IFERROR(__xludf.DUMMYFUNCTION("""COMPUTED_VALUE"""),"SCOPUS-000262")</f>
        <v>SCOPUS-000262</v>
      </c>
      <c r="B335" s="5" t="str">
        <f>IFERROR(__xludf.DUMMYFUNCTION("""COMPUTED_VALUE"""),"SCOPUS-000262-4")</f>
        <v>SCOPUS-000262-4</v>
      </c>
      <c r="C335" s="5" t="str">
        <f>IFERROR(__xludf.DUMMYFUNCTION("""COMPUTED_VALUE"""),"Architectural")</f>
        <v>Architectural</v>
      </c>
      <c r="D335" s="6" t="str">
        <f>IFERROR(__xludf.DUMMYFUNCTION("""COMPUTED_VALUE"""),"Architecture Modification")</f>
        <v>Architecture Modification</v>
      </c>
    </row>
    <row r="336" ht="15.75" customHeight="1">
      <c r="A336" s="5" t="str">
        <f>IFERROR(__xludf.DUMMYFUNCTION("""COMPUTED_VALUE"""),"SCOPUS-000281")</f>
        <v>SCOPUS-000281</v>
      </c>
      <c r="B336" s="5" t="str">
        <f>IFERROR(__xludf.DUMMYFUNCTION("""COMPUTED_VALUE"""),"SCOPUS-000281-1")</f>
        <v>SCOPUS-000281-1</v>
      </c>
      <c r="C336" s="5" t="str">
        <f>IFERROR(__xludf.DUMMYFUNCTION("""COMPUTED_VALUE"""),"Architectural")</f>
        <v>Architectural</v>
      </c>
      <c r="D336" s="6" t="str">
        <f>IFERROR(__xludf.DUMMYFUNCTION("""COMPUTED_VALUE"""),"Architecture Modification")</f>
        <v>Architecture Modification</v>
      </c>
    </row>
    <row r="337" ht="15.75" customHeight="1">
      <c r="A337" s="5" t="str">
        <f>IFERROR(__xludf.DUMMYFUNCTION("""COMPUTED_VALUE"""),"SCOPUS-000281")</f>
        <v>SCOPUS-000281</v>
      </c>
      <c r="B337" s="5" t="str">
        <f>IFERROR(__xludf.DUMMYFUNCTION("""COMPUTED_VALUE"""),"SCOPUS-000281-2")</f>
        <v>SCOPUS-000281-2</v>
      </c>
      <c r="C337" s="5" t="str">
        <f>IFERROR(__xludf.DUMMYFUNCTION("""COMPUTED_VALUE"""),"Architectural")</f>
        <v>Architectural</v>
      </c>
      <c r="D337" s="6" t="str">
        <f>IFERROR(__xludf.DUMMYFUNCTION("""COMPUTED_VALUE"""),"Attention Mechanism")</f>
        <v>Attention Mechanism</v>
      </c>
    </row>
    <row r="338" ht="15.75" customHeight="1">
      <c r="A338" s="5" t="str">
        <f>IFERROR(__xludf.DUMMYFUNCTION("""COMPUTED_VALUE"""),"SCOPUS-000281")</f>
        <v>SCOPUS-000281</v>
      </c>
      <c r="B338" s="5" t="str">
        <f>IFERROR(__xludf.DUMMYFUNCTION("""COMPUTED_VALUE"""),"SCOPUS-000281-3")</f>
        <v>SCOPUS-000281-3</v>
      </c>
      <c r="C338" s="5" t="str">
        <f>IFERROR(__xludf.DUMMYFUNCTION("""COMPUTED_VALUE"""),"Data-Centric")</f>
        <v>Data-Centric</v>
      </c>
      <c r="D338" s="6" t="str">
        <f>IFERROR(__xludf.DUMMYFUNCTION("""COMPUTED_VALUE"""),"Data Processing")</f>
        <v>Data Processing</v>
      </c>
    </row>
    <row r="339" ht="15.75" customHeight="1">
      <c r="A339" s="5" t="str">
        <f>IFERROR(__xludf.DUMMYFUNCTION("""COMPUTED_VALUE"""),"SCOPUS-000281")</f>
        <v>SCOPUS-000281</v>
      </c>
      <c r="B339" s="5" t="str">
        <f>IFERROR(__xludf.DUMMYFUNCTION("""COMPUTED_VALUE"""),"SCOPUS-000281-4")</f>
        <v>SCOPUS-000281-4</v>
      </c>
      <c r="C339" s="5" t="str">
        <f>IFERROR(__xludf.DUMMYFUNCTION("""COMPUTED_VALUE"""),"Data-Centric")</f>
        <v>Data-Centric</v>
      </c>
      <c r="D339" s="6" t="str">
        <f>IFERROR(__xludf.DUMMYFUNCTION("""COMPUTED_VALUE"""),"Data Augmentation")</f>
        <v>Data Augmentation</v>
      </c>
    </row>
    <row r="340" ht="15.75" customHeight="1">
      <c r="A340" s="5" t="str">
        <f>IFERROR(__xludf.DUMMYFUNCTION("""COMPUTED_VALUE"""),"SCOPUS-000281")</f>
        <v>SCOPUS-000281</v>
      </c>
      <c r="B340" s="5" t="str">
        <f>IFERROR(__xludf.DUMMYFUNCTION("""COMPUTED_VALUE"""),"SCOPUS-000281-5")</f>
        <v>SCOPUS-000281-5</v>
      </c>
      <c r="C340" s="5" t="str">
        <f>IFERROR(__xludf.DUMMYFUNCTION("""COMPUTED_VALUE"""),"Data-Centric")</f>
        <v>Data-Centric</v>
      </c>
      <c r="D340" s="6" t="str">
        <f>IFERROR(__xludf.DUMMYFUNCTION("""COMPUTED_VALUE"""),"Transfer Learning")</f>
        <v>Transfer Learning</v>
      </c>
    </row>
    <row r="341" ht="15.75" customHeight="1">
      <c r="A341" s="5" t="str">
        <f>IFERROR(__xludf.DUMMYFUNCTION("""COMPUTED_VALUE"""),"SCOPUS-000288")</f>
        <v>SCOPUS-000288</v>
      </c>
      <c r="B341" s="5" t="str">
        <f>IFERROR(__xludf.DUMMYFUNCTION("""COMPUTED_VALUE"""),"SCOPUS-000288-1")</f>
        <v>SCOPUS-000288-1</v>
      </c>
      <c r="C341" s="5" t="str">
        <f>IFERROR(__xludf.DUMMYFUNCTION("""COMPUTED_VALUE"""),"Data-Centric")</f>
        <v>Data-Centric</v>
      </c>
      <c r="D341" s="6" t="str">
        <f>IFERROR(__xludf.DUMMYFUNCTION("""COMPUTED_VALUE"""),"Transfer Learning")</f>
        <v>Transfer Learning</v>
      </c>
    </row>
    <row r="342" ht="15.75" customHeight="1">
      <c r="A342" s="5" t="str">
        <f>IFERROR(__xludf.DUMMYFUNCTION("""COMPUTED_VALUE"""),"SCOPUS-000288")</f>
        <v>SCOPUS-000288</v>
      </c>
      <c r="B342" s="5" t="str">
        <f>IFERROR(__xludf.DUMMYFUNCTION("""COMPUTED_VALUE"""),"SCOPUS-000288-2")</f>
        <v>SCOPUS-000288-2</v>
      </c>
      <c r="C342" s="5" t="str">
        <f>IFERROR(__xludf.DUMMYFUNCTION("""COMPUTED_VALUE"""),"Architectural")</f>
        <v>Architectural</v>
      </c>
      <c r="D342" s="6" t="str">
        <f>IFERROR(__xludf.DUMMYFUNCTION("""COMPUTED_VALUE"""),"Architecture Modification")</f>
        <v>Architecture Modification</v>
      </c>
    </row>
    <row r="343" ht="15.75" customHeight="1">
      <c r="A343" s="5" t="str">
        <f>IFERROR(__xludf.DUMMYFUNCTION("""COMPUTED_VALUE"""),"SCOPUS-000288")</f>
        <v>SCOPUS-000288</v>
      </c>
      <c r="B343" s="5" t="str">
        <f>IFERROR(__xludf.DUMMYFUNCTION("""COMPUTED_VALUE"""),"SCOPUS-000288-3")</f>
        <v>SCOPUS-000288-3</v>
      </c>
      <c r="C343" s="5" t="str">
        <f>IFERROR(__xludf.DUMMYFUNCTION("""COMPUTED_VALUE"""),"Architectural")</f>
        <v>Architectural</v>
      </c>
      <c r="D343" s="6" t="str">
        <f>IFERROR(__xludf.DUMMYFUNCTION("""COMPUTED_VALUE"""),"Attention Mechanism")</f>
        <v>Attention Mechanism</v>
      </c>
    </row>
    <row r="344" ht="15.75" customHeight="1">
      <c r="A344" s="5" t="str">
        <f>IFERROR(__xludf.DUMMYFUNCTION("""COMPUTED_VALUE"""),"SCOPUS-000288")</f>
        <v>SCOPUS-000288</v>
      </c>
      <c r="B344" s="5" t="str">
        <f>IFERROR(__xludf.DUMMYFUNCTION("""COMPUTED_VALUE"""),"SCOPUS-000288-4")</f>
        <v>SCOPUS-000288-4</v>
      </c>
      <c r="C344" s="5" t="str">
        <f>IFERROR(__xludf.DUMMYFUNCTION("""COMPUTED_VALUE"""),"Data-Centric")</f>
        <v>Data-Centric</v>
      </c>
      <c r="D344" s="6" t="str">
        <f>IFERROR(__xludf.DUMMYFUNCTION("""COMPUTED_VALUE"""),"Data Processing")</f>
        <v>Data Processing</v>
      </c>
    </row>
    <row r="345" ht="15.75" customHeight="1">
      <c r="A345" s="5" t="str">
        <f>IFERROR(__xludf.DUMMYFUNCTION("""COMPUTED_VALUE"""),"SCOPUS-000288")</f>
        <v>SCOPUS-000288</v>
      </c>
      <c r="B345" s="5" t="str">
        <f>IFERROR(__xludf.DUMMYFUNCTION("""COMPUTED_VALUE"""),"SCOPUS-000288-5")</f>
        <v>SCOPUS-000288-5</v>
      </c>
      <c r="C345" s="5" t="str">
        <f>IFERROR(__xludf.DUMMYFUNCTION("""COMPUTED_VALUE"""),"Data-Centric")</f>
        <v>Data-Centric</v>
      </c>
      <c r="D345" s="6" t="str">
        <f>IFERROR(__xludf.DUMMYFUNCTION("""COMPUTED_VALUE"""),"Feature Extraction")</f>
        <v>Feature Extraction</v>
      </c>
    </row>
    <row r="346" ht="15.75" customHeight="1">
      <c r="A346" s="5" t="str">
        <f>IFERROR(__xludf.DUMMYFUNCTION("""COMPUTED_VALUE"""),"SCOPUS-000288")</f>
        <v>SCOPUS-000288</v>
      </c>
      <c r="B346" s="5" t="str">
        <f>IFERROR(__xludf.DUMMYFUNCTION("""COMPUTED_VALUE"""),"SCOPUS-000288-6")</f>
        <v>SCOPUS-000288-6</v>
      </c>
      <c r="C346" s="5" t="str">
        <f>IFERROR(__xludf.DUMMYFUNCTION("""COMPUTED_VALUE"""),"Data-Centric")</f>
        <v>Data-Centric</v>
      </c>
      <c r="D346" s="6" t="str">
        <f>IFERROR(__xludf.DUMMYFUNCTION("""COMPUTED_VALUE"""),"Data Augmentation")</f>
        <v>Data Augmentation</v>
      </c>
    </row>
    <row r="347" ht="15.75" customHeight="1">
      <c r="A347" s="5" t="str">
        <f>IFERROR(__xludf.DUMMYFUNCTION("""COMPUTED_VALUE"""),"SCOPUS-000289")</f>
        <v>SCOPUS-000289</v>
      </c>
      <c r="B347" s="5" t="str">
        <f>IFERROR(__xludf.DUMMYFUNCTION("""COMPUTED_VALUE"""),"SCOPUS-000289-1")</f>
        <v>SCOPUS-000289-1</v>
      </c>
      <c r="C347" s="5" t="str">
        <f>IFERROR(__xludf.DUMMYFUNCTION("""COMPUTED_VALUE"""),"Architectural")</f>
        <v>Architectural</v>
      </c>
      <c r="D347" s="6" t="str">
        <f>IFERROR(__xludf.DUMMYFUNCTION("""COMPUTED_VALUE"""),"Architecture Modification")</f>
        <v>Architecture Modification</v>
      </c>
    </row>
    <row r="348" ht="15.75" customHeight="1">
      <c r="A348" s="5" t="str">
        <f>IFERROR(__xludf.DUMMYFUNCTION("""COMPUTED_VALUE"""),"SCOPUS-000289")</f>
        <v>SCOPUS-000289</v>
      </c>
      <c r="B348" s="5" t="str">
        <f>IFERROR(__xludf.DUMMYFUNCTION("""COMPUTED_VALUE"""),"SCOPUS-000289-2")</f>
        <v>SCOPUS-000289-2</v>
      </c>
      <c r="C348" s="5" t="str">
        <f>IFERROR(__xludf.DUMMYFUNCTION("""COMPUTED_VALUE"""),"Data-Centric")</f>
        <v>Data-Centric</v>
      </c>
      <c r="D348" s="6" t="str">
        <f>IFERROR(__xludf.DUMMYFUNCTION("""COMPUTED_VALUE"""),"Transfer Learning")</f>
        <v>Transfer Learning</v>
      </c>
    </row>
    <row r="349" ht="15.75" customHeight="1">
      <c r="A349" s="5" t="str">
        <f>IFERROR(__xludf.DUMMYFUNCTION("""COMPUTED_VALUE"""),"SCOPUS-000289")</f>
        <v>SCOPUS-000289</v>
      </c>
      <c r="B349" s="5" t="str">
        <f>IFERROR(__xludf.DUMMYFUNCTION("""COMPUTED_VALUE"""),"SCOPUS-000289-3")</f>
        <v>SCOPUS-000289-3</v>
      </c>
      <c r="C349" s="5" t="str">
        <f>IFERROR(__xludf.DUMMYFUNCTION("""COMPUTED_VALUE"""),"Data-Centric")</f>
        <v>Data-Centric</v>
      </c>
      <c r="D349" s="6" t="str">
        <f>IFERROR(__xludf.DUMMYFUNCTION("""COMPUTED_VALUE"""),"Data Processing")</f>
        <v>Data Processing</v>
      </c>
    </row>
    <row r="350" ht="15.75" customHeight="1">
      <c r="A350" s="5" t="str">
        <f>IFERROR(__xludf.DUMMYFUNCTION("""COMPUTED_VALUE"""),"SCOPUS-000306")</f>
        <v>SCOPUS-000306</v>
      </c>
      <c r="B350" s="5" t="str">
        <f>IFERROR(__xludf.DUMMYFUNCTION("""COMPUTED_VALUE"""),"SCOPUS-000306-1")</f>
        <v>SCOPUS-000306-1</v>
      </c>
      <c r="C350" s="5" t="str">
        <f>IFERROR(__xludf.DUMMYFUNCTION("""COMPUTED_VALUE"""),"Architectural")</f>
        <v>Architectural</v>
      </c>
      <c r="D350" s="6" t="str">
        <f>IFERROR(__xludf.DUMMYFUNCTION("""COMPUTED_VALUE"""),"Instance Segmentation")</f>
        <v>Instance Segmentation</v>
      </c>
    </row>
    <row r="351" ht="15.75" customHeight="1">
      <c r="A351" s="5" t="str">
        <f>IFERROR(__xludf.DUMMYFUNCTION("""COMPUTED_VALUE"""),"SCOPUS-000306")</f>
        <v>SCOPUS-000306</v>
      </c>
      <c r="B351" s="5" t="str">
        <f>IFERROR(__xludf.DUMMYFUNCTION("""COMPUTED_VALUE"""),"SCOPUS-000306-2")</f>
        <v>SCOPUS-000306-2</v>
      </c>
      <c r="C351" s="5" t="str">
        <f>IFERROR(__xludf.DUMMYFUNCTION("""COMPUTED_VALUE"""),"Data-Centric")</f>
        <v>Data-Centric</v>
      </c>
      <c r="D351" s="6" t="str">
        <f>IFERROR(__xludf.DUMMYFUNCTION("""COMPUTED_VALUE"""),"Data Processing")</f>
        <v>Data Processing</v>
      </c>
    </row>
    <row r="352" ht="15.75" customHeight="1">
      <c r="A352" s="5" t="str">
        <f>IFERROR(__xludf.DUMMYFUNCTION("""COMPUTED_VALUE"""),"SCOPUS-000306")</f>
        <v>SCOPUS-000306</v>
      </c>
      <c r="B352" s="5" t="str">
        <f>IFERROR(__xludf.DUMMYFUNCTION("""COMPUTED_VALUE"""),"SCOPUS-000306-3")</f>
        <v>SCOPUS-000306-3</v>
      </c>
      <c r="C352" s="5" t="str">
        <f>IFERROR(__xludf.DUMMYFUNCTION("""COMPUTED_VALUE"""),"Data-Centric")</f>
        <v>Data-Centric</v>
      </c>
      <c r="D352" s="6" t="str">
        <f>IFERROR(__xludf.DUMMYFUNCTION("""COMPUTED_VALUE"""),"Data Augmentation")</f>
        <v>Data Augmentation</v>
      </c>
    </row>
    <row r="353" ht="15.75" customHeight="1">
      <c r="A353" s="5" t="str">
        <f>IFERROR(__xludf.DUMMYFUNCTION("""COMPUTED_VALUE"""),"SCOPUS-000306")</f>
        <v>SCOPUS-000306</v>
      </c>
      <c r="B353" s="5" t="str">
        <f>IFERROR(__xludf.DUMMYFUNCTION("""COMPUTED_VALUE"""),"SCOPUS-000306-4")</f>
        <v>SCOPUS-000306-4</v>
      </c>
      <c r="C353" s="5" t="str">
        <f>IFERROR(__xludf.DUMMYFUNCTION("""COMPUTED_VALUE"""),"Data-Centric")</f>
        <v>Data-Centric</v>
      </c>
      <c r="D353" s="6" t="str">
        <f>IFERROR(__xludf.DUMMYFUNCTION("""COMPUTED_VALUE"""),"Transfer Learning")</f>
        <v>Transfer Learning</v>
      </c>
    </row>
    <row r="354" ht="15.75" customHeight="1">
      <c r="A354" s="5" t="str">
        <f>IFERROR(__xludf.DUMMYFUNCTION("""COMPUTED_VALUE"""),"SCOPUS-000319")</f>
        <v>SCOPUS-000319</v>
      </c>
      <c r="B354" s="5" t="str">
        <f>IFERROR(__xludf.DUMMYFUNCTION("""COMPUTED_VALUE"""),"SCOPUS-000319-1")</f>
        <v>SCOPUS-000319-1</v>
      </c>
      <c r="C354" s="5" t="str">
        <f>IFERROR(__xludf.DUMMYFUNCTION("""COMPUTED_VALUE"""),"Data-Centric")</f>
        <v>Data-Centric</v>
      </c>
      <c r="D354" s="6" t="str">
        <f>IFERROR(__xludf.DUMMYFUNCTION("""COMPUTED_VALUE"""),"Transfer Learning")</f>
        <v>Transfer Learning</v>
      </c>
    </row>
    <row r="355" ht="15.75" customHeight="1">
      <c r="A355" s="5" t="str">
        <f>IFERROR(__xludf.DUMMYFUNCTION("""COMPUTED_VALUE"""),"SCOPUS-000319")</f>
        <v>SCOPUS-000319</v>
      </c>
      <c r="B355" s="5" t="str">
        <f>IFERROR(__xludf.DUMMYFUNCTION("""COMPUTED_VALUE"""),"SCOPUS-000319-2")</f>
        <v>SCOPUS-000319-2</v>
      </c>
      <c r="C355" s="5" t="str">
        <f>IFERROR(__xludf.DUMMYFUNCTION("""COMPUTED_VALUE"""),"Data-Centric")</f>
        <v>Data-Centric</v>
      </c>
      <c r="D355" s="6" t="str">
        <f>IFERROR(__xludf.DUMMYFUNCTION("""COMPUTED_VALUE"""),"Data Augmentation")</f>
        <v>Data Augmentation</v>
      </c>
    </row>
    <row r="356" ht="15.75" customHeight="1">
      <c r="A356" s="5" t="str">
        <f>IFERROR(__xludf.DUMMYFUNCTION("""COMPUTED_VALUE"""),"SCOPUS-000319")</f>
        <v>SCOPUS-000319</v>
      </c>
      <c r="B356" s="5" t="str">
        <f>IFERROR(__xludf.DUMMYFUNCTION("""COMPUTED_VALUE"""),"SCOPUS-000319-3")</f>
        <v>SCOPUS-000319-3</v>
      </c>
      <c r="C356" s="5" t="str">
        <f>IFERROR(__xludf.DUMMYFUNCTION("""COMPUTED_VALUE"""),"Architectural")</f>
        <v>Architectural</v>
      </c>
      <c r="D356" s="6" t="str">
        <f>IFERROR(__xludf.DUMMYFUNCTION("""COMPUTED_VALUE"""),"Architecture Modification")</f>
        <v>Architecture Modification</v>
      </c>
    </row>
    <row r="357" ht="15.75" customHeight="1">
      <c r="A357" s="5" t="str">
        <f>IFERROR(__xludf.DUMMYFUNCTION("""COMPUTED_VALUE"""),"SCOPUS-000344")</f>
        <v>SCOPUS-000344</v>
      </c>
      <c r="B357" s="5" t="str">
        <f>IFERROR(__xludf.DUMMYFUNCTION("""COMPUTED_VALUE"""),"SCOPUS-000344-1")</f>
        <v>SCOPUS-000344-1</v>
      </c>
      <c r="C357" s="5" t="str">
        <f>IFERROR(__xludf.DUMMYFUNCTION("""COMPUTED_VALUE"""),"Data-Centric")</f>
        <v>Data-Centric</v>
      </c>
      <c r="D357" s="6" t="str">
        <f>IFERROR(__xludf.DUMMYFUNCTION("""COMPUTED_VALUE"""),"Color Space Transformation")</f>
        <v>Color Space Transformation</v>
      </c>
    </row>
    <row r="358" ht="15.75" customHeight="1">
      <c r="A358" s="5" t="str">
        <f>IFERROR(__xludf.DUMMYFUNCTION("""COMPUTED_VALUE"""),"SCOPUS-000344")</f>
        <v>SCOPUS-000344</v>
      </c>
      <c r="B358" s="5" t="str">
        <f>IFERROR(__xludf.DUMMYFUNCTION("""COMPUTED_VALUE"""),"SCOPUS-000344-2")</f>
        <v>SCOPUS-000344-2</v>
      </c>
      <c r="C358" s="5" t="str">
        <f>IFERROR(__xludf.DUMMYFUNCTION("""COMPUTED_VALUE"""),"Data-Centric")</f>
        <v>Data-Centric</v>
      </c>
      <c r="D358" s="6" t="str">
        <f>IFERROR(__xludf.DUMMYFUNCTION("""COMPUTED_VALUE"""),"Transfer Learning")</f>
        <v>Transfer Learning</v>
      </c>
    </row>
    <row r="359" ht="15.75" customHeight="1">
      <c r="A359" s="5" t="str">
        <f>IFERROR(__xludf.DUMMYFUNCTION("""COMPUTED_VALUE"""),"SCOPUS-000344")</f>
        <v>SCOPUS-000344</v>
      </c>
      <c r="B359" s="5" t="str">
        <f>IFERROR(__xludf.DUMMYFUNCTION("""COMPUTED_VALUE"""),"SCOPUS-000344-3")</f>
        <v>SCOPUS-000344-3</v>
      </c>
      <c r="C359" s="5" t="str">
        <f>IFERROR(__xludf.DUMMYFUNCTION("""COMPUTED_VALUE"""),"Data-Centric")</f>
        <v>Data-Centric</v>
      </c>
      <c r="D359" s="6" t="str">
        <f>IFERROR(__xludf.DUMMYFUNCTION("""COMPUTED_VALUE"""),"Data Augmentation")</f>
        <v>Data Augmentation</v>
      </c>
    </row>
    <row r="360" ht="15.75" customHeight="1">
      <c r="A360" s="5" t="str">
        <f>IFERROR(__xludf.DUMMYFUNCTION("""COMPUTED_VALUE"""),"SCOPUS-000344")</f>
        <v>SCOPUS-000344</v>
      </c>
      <c r="B360" s="5" t="str">
        <f>IFERROR(__xludf.DUMMYFUNCTION("""COMPUTED_VALUE"""),"SCOPUS-000344-4")</f>
        <v>SCOPUS-000344-4</v>
      </c>
      <c r="C360" s="5" t="str">
        <f>IFERROR(__xludf.DUMMYFUNCTION("""COMPUTED_VALUE"""),"Data-Centric")</f>
        <v>Data-Centric</v>
      </c>
      <c r="D360" s="6" t="str">
        <f>IFERROR(__xludf.DUMMYFUNCTION("""COMPUTED_VALUE"""),"Feature Extraction")</f>
        <v>Feature Extraction</v>
      </c>
    </row>
    <row r="361" ht="15.75" customHeight="1">
      <c r="A361" s="5" t="str">
        <f>IFERROR(__xludf.DUMMYFUNCTION("""COMPUTED_VALUE"""),"SCOPUS-000364")</f>
        <v>SCOPUS-000364</v>
      </c>
      <c r="B361" s="5" t="str">
        <f>IFERROR(__xludf.DUMMYFUNCTION("""COMPUTED_VALUE"""),"SCOPUS-000364-1")</f>
        <v>SCOPUS-000364-1</v>
      </c>
      <c r="C361" s="5" t="str">
        <f>IFERROR(__xludf.DUMMYFUNCTION("""COMPUTED_VALUE"""),"Data-Centric")</f>
        <v>Data-Centric</v>
      </c>
      <c r="D361" s="6" t="str">
        <f>IFERROR(__xludf.DUMMYFUNCTION("""COMPUTED_VALUE"""),"Transfer Learning")</f>
        <v>Transfer Learning</v>
      </c>
    </row>
    <row r="362" ht="15.75" customHeight="1">
      <c r="A362" s="5" t="str">
        <f>IFERROR(__xludf.DUMMYFUNCTION("""COMPUTED_VALUE"""),"SCOPUS-000364")</f>
        <v>SCOPUS-000364</v>
      </c>
      <c r="B362" s="5" t="str">
        <f>IFERROR(__xludf.DUMMYFUNCTION("""COMPUTED_VALUE"""),"SCOPUS-000364-2")</f>
        <v>SCOPUS-000364-2</v>
      </c>
      <c r="C362" s="5" t="str">
        <f>IFERROR(__xludf.DUMMYFUNCTION("""COMPUTED_VALUE"""),"Data-Centric")</f>
        <v>Data-Centric</v>
      </c>
      <c r="D362" s="6" t="str">
        <f>IFERROR(__xludf.DUMMYFUNCTION("""COMPUTED_VALUE"""),"Data Augmentation")</f>
        <v>Data Augmentation</v>
      </c>
    </row>
    <row r="363" ht="15.75" customHeight="1">
      <c r="A363" s="5" t="str">
        <f>IFERROR(__xludf.DUMMYFUNCTION("""COMPUTED_VALUE"""),"SCOPUS-000364")</f>
        <v>SCOPUS-000364</v>
      </c>
      <c r="B363" s="5" t="str">
        <f>IFERROR(__xludf.DUMMYFUNCTION("""COMPUTED_VALUE"""),"SCOPUS-000364-3")</f>
        <v>SCOPUS-000364-3</v>
      </c>
      <c r="C363" s="5" t="str">
        <f>IFERROR(__xludf.DUMMYFUNCTION("""COMPUTED_VALUE"""),"Architectural")</f>
        <v>Architectural</v>
      </c>
      <c r="D363" s="6" t="str">
        <f>IFERROR(__xludf.DUMMYFUNCTION("""COMPUTED_VALUE"""),"Architecture Modification")</f>
        <v>Architecture Modification</v>
      </c>
    </row>
    <row r="364" ht="15.75" customHeight="1">
      <c r="A364" s="5" t="str">
        <f>IFERROR(__xludf.DUMMYFUNCTION("""COMPUTED_VALUE"""),"SCOPUS-000364")</f>
        <v>SCOPUS-000364</v>
      </c>
      <c r="B364" s="5" t="str">
        <f>IFERROR(__xludf.DUMMYFUNCTION("""COMPUTED_VALUE"""),"SCOPUS-000364-4")</f>
        <v>SCOPUS-000364-4</v>
      </c>
      <c r="C364" s="5" t="str">
        <f>IFERROR(__xludf.DUMMYFUNCTION("""COMPUTED_VALUE"""),"Architectural")</f>
        <v>Architectural</v>
      </c>
      <c r="D364" s="6" t="str">
        <f>IFERROR(__xludf.DUMMYFUNCTION("""COMPUTED_VALUE"""),"Loss Function Modification")</f>
        <v>Loss Function Modification</v>
      </c>
    </row>
    <row r="365" ht="15.75" customHeight="1">
      <c r="A365" s="5" t="str">
        <f>IFERROR(__xludf.DUMMYFUNCTION("""COMPUTED_VALUE"""),"SCOPUS-000372")</f>
        <v>SCOPUS-000372</v>
      </c>
      <c r="B365" s="5" t="str">
        <f>IFERROR(__xludf.DUMMYFUNCTION("""COMPUTED_VALUE"""),"SCOPUS-000372-1")</f>
        <v>SCOPUS-000372-1</v>
      </c>
      <c r="C365" s="5" t="str">
        <f>IFERROR(__xludf.DUMMYFUNCTION("""COMPUTED_VALUE"""),"Architectural")</f>
        <v>Architectural</v>
      </c>
      <c r="D365" s="6" t="str">
        <f>IFERROR(__xludf.DUMMYFUNCTION("""COMPUTED_VALUE"""),"Architecture Modification")</f>
        <v>Architecture Modification</v>
      </c>
    </row>
    <row r="366" ht="15.75" customHeight="1">
      <c r="A366" s="5" t="str">
        <f>IFERROR(__xludf.DUMMYFUNCTION("""COMPUTED_VALUE"""),"SCOPUS-000372")</f>
        <v>SCOPUS-000372</v>
      </c>
      <c r="B366" s="5" t="str">
        <f>IFERROR(__xludf.DUMMYFUNCTION("""COMPUTED_VALUE"""),"SCOPUS-000372-2")</f>
        <v>SCOPUS-000372-2</v>
      </c>
      <c r="C366" s="5" t="str">
        <f>IFERROR(__xludf.DUMMYFUNCTION("""COMPUTED_VALUE"""),"Data-Centric")</f>
        <v>Data-Centric</v>
      </c>
      <c r="D366" s="6" t="str">
        <f>IFERROR(__xludf.DUMMYFUNCTION("""COMPUTED_VALUE"""),"Feature Extraction")</f>
        <v>Feature Extraction</v>
      </c>
    </row>
    <row r="367" ht="15.75" customHeight="1">
      <c r="A367" s="5" t="str">
        <f>IFERROR(__xludf.DUMMYFUNCTION("""COMPUTED_VALUE"""),"SCOPUS-000372")</f>
        <v>SCOPUS-000372</v>
      </c>
      <c r="B367" s="5" t="str">
        <f>IFERROR(__xludf.DUMMYFUNCTION("""COMPUTED_VALUE"""),"SCOPUS-000372-3")</f>
        <v>SCOPUS-000372-3</v>
      </c>
      <c r="C367" s="5" t="str">
        <f>IFERROR(__xludf.DUMMYFUNCTION("""COMPUTED_VALUE"""),"Data-Centric")</f>
        <v>Data-Centric</v>
      </c>
      <c r="D367" s="6" t="str">
        <f>IFERROR(__xludf.DUMMYFUNCTION("""COMPUTED_VALUE"""),"Data Augmentation")</f>
        <v>Data Augmentation</v>
      </c>
    </row>
    <row r="368" ht="15.75" customHeight="1">
      <c r="A368" s="5" t="str">
        <f>IFERROR(__xludf.DUMMYFUNCTION("""COMPUTED_VALUE"""),"SCOPUS-000379")</f>
        <v>SCOPUS-000379</v>
      </c>
      <c r="B368" s="5" t="str">
        <f>IFERROR(__xludf.DUMMYFUNCTION("""COMPUTED_VALUE"""),"SCOPUS-000379-1")</f>
        <v>SCOPUS-000379-1</v>
      </c>
      <c r="C368" s="5" t="str">
        <f>IFERROR(__xludf.DUMMYFUNCTION("""COMPUTED_VALUE"""),"Data-Centric")</f>
        <v>Data-Centric</v>
      </c>
      <c r="D368" s="6" t="str">
        <f>IFERROR(__xludf.DUMMYFUNCTION("""COMPUTED_VALUE"""),"Color Space Transformation")</f>
        <v>Color Space Transformation</v>
      </c>
    </row>
    <row r="369" ht="15.75" customHeight="1">
      <c r="A369" s="5" t="str">
        <f>IFERROR(__xludf.DUMMYFUNCTION("""COMPUTED_VALUE"""),"SCOPUS-000379")</f>
        <v>SCOPUS-000379</v>
      </c>
      <c r="B369" s="5" t="str">
        <f>IFERROR(__xludf.DUMMYFUNCTION("""COMPUTED_VALUE"""),"SCOPUS-000379-2")</f>
        <v>SCOPUS-000379-2</v>
      </c>
      <c r="C369" s="5" t="str">
        <f>IFERROR(__xludf.DUMMYFUNCTION("""COMPUTED_VALUE"""),"Data-Centric")</f>
        <v>Data-Centric</v>
      </c>
      <c r="D369" s="6" t="str">
        <f>IFERROR(__xludf.DUMMYFUNCTION("""COMPUTED_VALUE"""),"Data Processing")</f>
        <v>Data Processing</v>
      </c>
    </row>
    <row r="370" ht="15.75" customHeight="1">
      <c r="A370" s="5" t="str">
        <f>IFERROR(__xludf.DUMMYFUNCTION("""COMPUTED_VALUE"""),"SCOPUS-000379")</f>
        <v>SCOPUS-000379</v>
      </c>
      <c r="B370" s="5" t="str">
        <f>IFERROR(__xludf.DUMMYFUNCTION("""COMPUTED_VALUE"""),"SCOPUS-000379-3")</f>
        <v>SCOPUS-000379-3</v>
      </c>
      <c r="C370" s="5" t="str">
        <f>IFERROR(__xludf.DUMMYFUNCTION("""COMPUTED_VALUE"""),"Data-Centric")</f>
        <v>Data-Centric</v>
      </c>
      <c r="D370" s="6" t="str">
        <f>IFERROR(__xludf.DUMMYFUNCTION("""COMPUTED_VALUE"""),"Transfer Learning")</f>
        <v>Transfer Learning</v>
      </c>
    </row>
    <row r="371" ht="15.75" customHeight="1">
      <c r="A371" s="5" t="str">
        <f>IFERROR(__xludf.DUMMYFUNCTION("""COMPUTED_VALUE"""),"SCOPUS-000379")</f>
        <v>SCOPUS-000379</v>
      </c>
      <c r="B371" s="5" t="str">
        <f>IFERROR(__xludf.DUMMYFUNCTION("""COMPUTED_VALUE"""),"SCOPUS-000379-4")</f>
        <v>SCOPUS-000379-4</v>
      </c>
      <c r="C371" s="5" t="str">
        <f>IFERROR(__xludf.DUMMYFUNCTION("""COMPUTED_VALUE"""),"Architectural")</f>
        <v>Architectural</v>
      </c>
      <c r="D371" s="6" t="str">
        <f>IFERROR(__xludf.DUMMYFUNCTION("""COMPUTED_VALUE"""),"Architecture Modification")</f>
        <v>Architecture Modification</v>
      </c>
    </row>
    <row r="372" ht="15.75" customHeight="1">
      <c r="A372" s="5" t="str">
        <f>IFERROR(__xludf.DUMMYFUNCTION("""COMPUTED_VALUE"""),"SCOPUS-000383")</f>
        <v>SCOPUS-000383</v>
      </c>
      <c r="B372" s="5" t="str">
        <f>IFERROR(__xludf.DUMMYFUNCTION("""COMPUTED_VALUE"""),"SCOPUS-000383-1")</f>
        <v>SCOPUS-000383-1</v>
      </c>
      <c r="C372" s="5" t="str">
        <f>IFERROR(__xludf.DUMMYFUNCTION("""COMPUTED_VALUE"""),"Data-Centric")</f>
        <v>Data-Centric</v>
      </c>
      <c r="D372" s="6" t="str">
        <f>IFERROR(__xludf.DUMMYFUNCTION("""COMPUTED_VALUE"""),"Data Processing")</f>
        <v>Data Processing</v>
      </c>
    </row>
    <row r="373" ht="15.75" customHeight="1">
      <c r="A373" s="5" t="str">
        <f>IFERROR(__xludf.DUMMYFUNCTION("""COMPUTED_VALUE"""),"SCOPUS-000383")</f>
        <v>SCOPUS-000383</v>
      </c>
      <c r="B373" s="5" t="str">
        <f>IFERROR(__xludf.DUMMYFUNCTION("""COMPUTED_VALUE"""),"SCOPUS-000383-2")</f>
        <v>SCOPUS-000383-2</v>
      </c>
      <c r="C373" s="5" t="str">
        <f>IFERROR(__xludf.DUMMYFUNCTION("""COMPUTED_VALUE"""),"Data-Centric")</f>
        <v>Data-Centric</v>
      </c>
      <c r="D373" s="6" t="str">
        <f>IFERROR(__xludf.DUMMYFUNCTION("""COMPUTED_VALUE"""),"Data Augmentation")</f>
        <v>Data Augmentation</v>
      </c>
    </row>
    <row r="374" ht="15.75" customHeight="1">
      <c r="A374" s="5" t="str">
        <f>IFERROR(__xludf.DUMMYFUNCTION("""COMPUTED_VALUE"""),"SCOPUS-000383")</f>
        <v>SCOPUS-000383</v>
      </c>
      <c r="B374" s="5" t="str">
        <f>IFERROR(__xludf.DUMMYFUNCTION("""COMPUTED_VALUE"""),"SCOPUS-000383-3")</f>
        <v>SCOPUS-000383-3</v>
      </c>
      <c r="C374" s="5" t="str">
        <f>IFERROR(__xludf.DUMMYFUNCTION("""COMPUTED_VALUE"""),"Data-Centric")</f>
        <v>Data-Centric</v>
      </c>
      <c r="D374" s="6" t="str">
        <f>IFERROR(__xludf.DUMMYFUNCTION("""COMPUTED_VALUE"""),"Transfer Learning")</f>
        <v>Transfer Learning</v>
      </c>
    </row>
    <row r="375" ht="15.75" customHeight="1">
      <c r="A375" s="5" t="str">
        <f>IFERROR(__xludf.DUMMYFUNCTION("""COMPUTED_VALUE"""),"SCOPUS-000402")</f>
        <v>SCOPUS-000402</v>
      </c>
      <c r="B375" s="5" t="str">
        <f>IFERROR(__xludf.DUMMYFUNCTION("""COMPUTED_VALUE"""),"SCOPUS-000402-1")</f>
        <v>SCOPUS-000402-1</v>
      </c>
      <c r="C375" s="5" t="str">
        <f>IFERROR(__xludf.DUMMYFUNCTION("""COMPUTED_VALUE"""),"Data-Centric")</f>
        <v>Data-Centric</v>
      </c>
      <c r="D375" s="6" t="str">
        <f>IFERROR(__xludf.DUMMYFUNCTION("""COMPUTED_VALUE"""),"Data Augmentation")</f>
        <v>Data Augmentation</v>
      </c>
    </row>
    <row r="376" ht="15.75" customHeight="1">
      <c r="A376" s="5" t="str">
        <f>IFERROR(__xludf.DUMMYFUNCTION("""COMPUTED_VALUE"""),"SCOPUS-000402")</f>
        <v>SCOPUS-000402</v>
      </c>
      <c r="B376" s="5" t="str">
        <f>IFERROR(__xludf.DUMMYFUNCTION("""COMPUTED_VALUE"""),"SCOPUS-000402-2")</f>
        <v>SCOPUS-000402-2</v>
      </c>
      <c r="C376" s="5" t="str">
        <f>IFERROR(__xludf.DUMMYFUNCTION("""COMPUTED_VALUE"""),"Data-Centric")</f>
        <v>Data-Centric</v>
      </c>
      <c r="D376" s="6" t="str">
        <f>IFERROR(__xludf.DUMMYFUNCTION("""COMPUTED_VALUE"""),"Transfer Learning")</f>
        <v>Transfer Learning</v>
      </c>
    </row>
    <row r="377" ht="15.75" customHeight="1">
      <c r="A377" s="5" t="str">
        <f>IFERROR(__xludf.DUMMYFUNCTION("""COMPUTED_VALUE"""),"SCOPUS-000402")</f>
        <v>SCOPUS-000402</v>
      </c>
      <c r="B377" s="5" t="str">
        <f>IFERROR(__xludf.DUMMYFUNCTION("""COMPUTED_VALUE"""),"SCOPUS-000402-3")</f>
        <v>SCOPUS-000402-3</v>
      </c>
      <c r="C377" s="5" t="str">
        <f>IFERROR(__xludf.DUMMYFUNCTION("""COMPUTED_VALUE"""),"Architectural")</f>
        <v>Architectural</v>
      </c>
      <c r="D377" s="6" t="str">
        <f>IFERROR(__xludf.DUMMYFUNCTION("""COMPUTED_VALUE"""),"Architecture Modification")</f>
        <v>Architecture Modification</v>
      </c>
    </row>
    <row r="378" ht="15.75" customHeight="1">
      <c r="A378" s="5" t="str">
        <f>IFERROR(__xludf.DUMMYFUNCTION("""COMPUTED_VALUE"""),"SCOPUS-000415")</f>
        <v>SCOPUS-000415</v>
      </c>
      <c r="B378" s="5" t="str">
        <f>IFERROR(__xludf.DUMMYFUNCTION("""COMPUTED_VALUE"""),"SCOPUS-000415-1")</f>
        <v>SCOPUS-000415-1</v>
      </c>
      <c r="C378" s="5" t="str">
        <f>IFERROR(__xludf.DUMMYFUNCTION("""COMPUTED_VALUE"""),"Data-Centric")</f>
        <v>Data-Centric</v>
      </c>
      <c r="D378" s="6" t="str">
        <f>IFERROR(__xludf.DUMMYFUNCTION("""COMPUTED_VALUE"""),"Transfer Learning")</f>
        <v>Transfer Learning</v>
      </c>
    </row>
    <row r="379" ht="15.75" customHeight="1">
      <c r="A379" s="5" t="str">
        <f>IFERROR(__xludf.DUMMYFUNCTION("""COMPUTED_VALUE"""),"SCOPUS-000415")</f>
        <v>SCOPUS-000415</v>
      </c>
      <c r="B379" s="5" t="str">
        <f>IFERROR(__xludf.DUMMYFUNCTION("""COMPUTED_VALUE"""),"SCOPUS-000415-2")</f>
        <v>SCOPUS-000415-2</v>
      </c>
      <c r="C379" s="5" t="str">
        <f>IFERROR(__xludf.DUMMYFUNCTION("""COMPUTED_VALUE"""),"Data-Centric")</f>
        <v>Data-Centric</v>
      </c>
      <c r="D379" s="6" t="str">
        <f>IFERROR(__xludf.DUMMYFUNCTION("""COMPUTED_VALUE"""),"Data Augmentation")</f>
        <v>Data Augmentation</v>
      </c>
    </row>
    <row r="380" ht="15.75" customHeight="1">
      <c r="A380" s="5" t="str">
        <f>IFERROR(__xludf.DUMMYFUNCTION("""COMPUTED_VALUE"""),"SCOPUS-000415")</f>
        <v>SCOPUS-000415</v>
      </c>
      <c r="B380" s="5" t="str">
        <f>IFERROR(__xludf.DUMMYFUNCTION("""COMPUTED_VALUE"""),"SCOPUS-000415-3")</f>
        <v>SCOPUS-000415-3</v>
      </c>
      <c r="C380" s="5" t="str">
        <f>IFERROR(__xludf.DUMMYFUNCTION("""COMPUTED_VALUE"""),"Architectural")</f>
        <v>Architectural</v>
      </c>
      <c r="D380" s="6" t="str">
        <f>IFERROR(__xludf.DUMMYFUNCTION("""COMPUTED_VALUE"""),"Loss Function Modification")</f>
        <v>Loss Function Modification</v>
      </c>
    </row>
    <row r="381" ht="15.75" customHeight="1">
      <c r="A381" s="5" t="str">
        <f>IFERROR(__xludf.DUMMYFUNCTION("""COMPUTED_VALUE"""),"SCOPUS-000415")</f>
        <v>SCOPUS-000415</v>
      </c>
      <c r="B381" s="5" t="str">
        <f>IFERROR(__xludf.DUMMYFUNCTION("""COMPUTED_VALUE"""),"SCOPUS-000415-4")</f>
        <v>SCOPUS-000415-4</v>
      </c>
      <c r="C381" s="5" t="str">
        <f>IFERROR(__xludf.DUMMYFUNCTION("""COMPUTED_VALUE"""),"Data-Centric")</f>
        <v>Data-Centric</v>
      </c>
      <c r="D381" s="6" t="str">
        <f>IFERROR(__xludf.DUMMYFUNCTION("""COMPUTED_VALUE"""),"Data Processing")</f>
        <v>Data Processing</v>
      </c>
    </row>
    <row r="382" ht="15.75" customHeight="1">
      <c r="A382" s="5" t="str">
        <f>IFERROR(__xludf.DUMMYFUNCTION("""COMPUTED_VALUE"""),"SCOPUS-000421")</f>
        <v>SCOPUS-000421</v>
      </c>
      <c r="B382" s="5" t="str">
        <f>IFERROR(__xludf.DUMMYFUNCTION("""COMPUTED_VALUE"""),"SCOPUS-000421-1")</f>
        <v>SCOPUS-000421-1</v>
      </c>
      <c r="C382" s="5" t="str">
        <f>IFERROR(__xludf.DUMMYFUNCTION("""COMPUTED_VALUE"""),"Architectural")</f>
        <v>Architectural</v>
      </c>
      <c r="D382" s="6" t="str">
        <f>IFERROR(__xludf.DUMMYFUNCTION("""COMPUTED_VALUE"""),"Architecture Modification")</f>
        <v>Architecture Modification</v>
      </c>
    </row>
    <row r="383" ht="15.75" customHeight="1">
      <c r="A383" s="5" t="str">
        <f>IFERROR(__xludf.DUMMYFUNCTION("""COMPUTED_VALUE"""),"SCOPUS-000421")</f>
        <v>SCOPUS-000421</v>
      </c>
      <c r="B383" s="5" t="str">
        <f>IFERROR(__xludf.DUMMYFUNCTION("""COMPUTED_VALUE"""),"SCOPUS-000421-2")</f>
        <v>SCOPUS-000421-2</v>
      </c>
      <c r="C383" s="5" t="str">
        <f>IFERROR(__xludf.DUMMYFUNCTION("""COMPUTED_VALUE"""),"Data-Centric")</f>
        <v>Data-Centric</v>
      </c>
      <c r="D383" s="6" t="str">
        <f>IFERROR(__xludf.DUMMYFUNCTION("""COMPUTED_VALUE"""),"Transfer Learning")</f>
        <v>Transfer Learning</v>
      </c>
    </row>
    <row r="384" ht="15.75" customHeight="1">
      <c r="A384" s="5" t="str">
        <f>IFERROR(__xludf.DUMMYFUNCTION("""COMPUTED_VALUE"""),"SCOPUS-000421")</f>
        <v>SCOPUS-000421</v>
      </c>
      <c r="B384" s="5" t="str">
        <f>IFERROR(__xludf.DUMMYFUNCTION("""COMPUTED_VALUE"""),"SCOPUS-000421-3")</f>
        <v>SCOPUS-000421-3</v>
      </c>
      <c r="C384" s="5" t="str">
        <f>IFERROR(__xludf.DUMMYFUNCTION("""COMPUTED_VALUE"""),"Data-Centric")</f>
        <v>Data-Centric</v>
      </c>
      <c r="D384" s="6" t="str">
        <f>IFERROR(__xludf.DUMMYFUNCTION("""COMPUTED_VALUE"""),"Data Augmentation")</f>
        <v>Data Augmentation</v>
      </c>
    </row>
    <row r="385" ht="15.75" customHeight="1">
      <c r="A385" s="5" t="str">
        <f>IFERROR(__xludf.DUMMYFUNCTION("""COMPUTED_VALUE"""),"SCOPUS-000429")</f>
        <v>SCOPUS-000429</v>
      </c>
      <c r="B385" s="5" t="str">
        <f>IFERROR(__xludf.DUMMYFUNCTION("""COMPUTED_VALUE"""),"SCOPUS-000429-1")</f>
        <v>SCOPUS-000429-1</v>
      </c>
      <c r="C385" s="5" t="str">
        <f>IFERROR(__xludf.DUMMYFUNCTION("""COMPUTED_VALUE"""),"Architectural")</f>
        <v>Architectural</v>
      </c>
      <c r="D385" s="6" t="str">
        <f>IFERROR(__xludf.DUMMYFUNCTION("""COMPUTED_VALUE"""),"Architecture Modification")</f>
        <v>Architecture Modification</v>
      </c>
    </row>
    <row r="386" ht="15.75" customHeight="1">
      <c r="A386" s="5" t="str">
        <f>IFERROR(__xludf.DUMMYFUNCTION("""COMPUTED_VALUE"""),"SCOPUS-000441")</f>
        <v>SCOPUS-000441</v>
      </c>
      <c r="B386" s="5" t="str">
        <f>IFERROR(__xludf.DUMMYFUNCTION("""COMPUTED_VALUE"""),"SCOPUS-000441-1")</f>
        <v>SCOPUS-000441-1</v>
      </c>
      <c r="C386" s="5" t="str">
        <f>IFERROR(__xludf.DUMMYFUNCTION("""COMPUTED_VALUE"""),"Architectural")</f>
        <v>Architectural</v>
      </c>
      <c r="D386" s="6" t="str">
        <f>IFERROR(__xludf.DUMMYFUNCTION("""COMPUTED_VALUE"""),"Architecture Modification")</f>
        <v>Architecture Modification</v>
      </c>
    </row>
    <row r="387" ht="15.75" customHeight="1">
      <c r="A387" s="5" t="str">
        <f>IFERROR(__xludf.DUMMYFUNCTION("""COMPUTED_VALUE"""),"SCOPUS-000441")</f>
        <v>SCOPUS-000441</v>
      </c>
      <c r="B387" s="5" t="str">
        <f>IFERROR(__xludf.DUMMYFUNCTION("""COMPUTED_VALUE"""),"SCOPUS-000441-2")</f>
        <v>SCOPUS-000441-2</v>
      </c>
      <c r="C387" s="5" t="str">
        <f>IFERROR(__xludf.DUMMYFUNCTION("""COMPUTED_VALUE"""),"Architectural")</f>
        <v>Architectural</v>
      </c>
      <c r="D387" s="6" t="str">
        <f>IFERROR(__xludf.DUMMYFUNCTION("""COMPUTED_VALUE"""),"Attention Mechanism")</f>
        <v>Attention Mechanism</v>
      </c>
    </row>
    <row r="388" ht="15.75" customHeight="1">
      <c r="A388" s="5" t="str">
        <f>IFERROR(__xludf.DUMMYFUNCTION("""COMPUTED_VALUE"""),"SCOPUS-000441")</f>
        <v>SCOPUS-000441</v>
      </c>
      <c r="B388" s="5" t="str">
        <f>IFERROR(__xludf.DUMMYFUNCTION("""COMPUTED_VALUE"""),"SCOPUS-000441-3")</f>
        <v>SCOPUS-000441-3</v>
      </c>
      <c r="C388" s="5" t="str">
        <f>IFERROR(__xludf.DUMMYFUNCTION("""COMPUTED_VALUE"""),"Data-Centric")</f>
        <v>Data-Centric</v>
      </c>
      <c r="D388" s="6" t="str">
        <f>IFERROR(__xludf.DUMMYFUNCTION("""COMPUTED_VALUE"""),"Data Augmentation")</f>
        <v>Data Augmentation</v>
      </c>
    </row>
    <row r="389" ht="15.75" customHeight="1">
      <c r="A389" s="5" t="str">
        <f>IFERROR(__xludf.DUMMYFUNCTION("""COMPUTED_VALUE"""),"SCOPUS-000454")</f>
        <v>SCOPUS-000454</v>
      </c>
      <c r="B389" s="5" t="str">
        <f>IFERROR(__xludf.DUMMYFUNCTION("""COMPUTED_VALUE"""),"SCOPUS-000454-1")</f>
        <v>SCOPUS-000454-1</v>
      </c>
      <c r="C389" s="5" t="str">
        <f>IFERROR(__xludf.DUMMYFUNCTION("""COMPUTED_VALUE"""),"Data-Centric")</f>
        <v>Data-Centric</v>
      </c>
      <c r="D389" s="6" t="str">
        <f>IFERROR(__xludf.DUMMYFUNCTION("""COMPUTED_VALUE"""),"Synthetic Data Generation")</f>
        <v>Synthetic Data Generation</v>
      </c>
    </row>
    <row r="390" ht="15.75" customHeight="1">
      <c r="A390" s="5" t="str">
        <f>IFERROR(__xludf.DUMMYFUNCTION("""COMPUTED_VALUE"""),"SCOPUS-000454")</f>
        <v>SCOPUS-000454</v>
      </c>
      <c r="B390" s="5" t="str">
        <f>IFERROR(__xludf.DUMMYFUNCTION("""COMPUTED_VALUE"""),"SCOPUS-000454-2")</f>
        <v>SCOPUS-000454-2</v>
      </c>
      <c r="C390" s="5" t="str">
        <f>IFERROR(__xludf.DUMMYFUNCTION("""COMPUTED_VALUE"""),"Data-Centric")</f>
        <v>Data-Centric</v>
      </c>
      <c r="D390" s="6" t="str">
        <f>IFERROR(__xludf.DUMMYFUNCTION("""COMPUTED_VALUE"""),"Data Augmentation")</f>
        <v>Data Augmentation</v>
      </c>
    </row>
    <row r="391" ht="15.75" customHeight="1">
      <c r="A391" s="5" t="str">
        <f>IFERROR(__xludf.DUMMYFUNCTION("""COMPUTED_VALUE"""),"SCOPUS-000454")</f>
        <v>SCOPUS-000454</v>
      </c>
      <c r="B391" s="5" t="str">
        <f>IFERROR(__xludf.DUMMYFUNCTION("""COMPUTED_VALUE"""),"SCOPUS-000454-3")</f>
        <v>SCOPUS-000454-3</v>
      </c>
      <c r="C391" s="5" t="str">
        <f>IFERROR(__xludf.DUMMYFUNCTION("""COMPUTED_VALUE"""),"Data-Centric")</f>
        <v>Data-Centric</v>
      </c>
      <c r="D391" s="6" t="str">
        <f>IFERROR(__xludf.DUMMYFUNCTION("""COMPUTED_VALUE"""),"Transfer Learning")</f>
        <v>Transfer Learning</v>
      </c>
    </row>
    <row r="392" ht="15.75" customHeight="1">
      <c r="A392" s="5" t="str">
        <f>IFERROR(__xludf.DUMMYFUNCTION("""COMPUTED_VALUE"""),"SCOPUS-000454")</f>
        <v>SCOPUS-000454</v>
      </c>
      <c r="B392" s="5" t="str">
        <f>IFERROR(__xludf.DUMMYFUNCTION("""COMPUTED_VALUE"""),"SCOPUS-000454-4")</f>
        <v>SCOPUS-000454-4</v>
      </c>
      <c r="C392" s="5" t="str">
        <f>IFERROR(__xludf.DUMMYFUNCTION("""COMPUTED_VALUE"""),"Data-Centric")</f>
        <v>Data-Centric</v>
      </c>
      <c r="D392" s="6" t="str">
        <f>IFERROR(__xludf.DUMMYFUNCTION("""COMPUTED_VALUE"""),"Data Processing")</f>
        <v>Data Processing</v>
      </c>
    </row>
    <row r="393" ht="15.75" customHeight="1">
      <c r="A393" s="5" t="str">
        <f>IFERROR(__xludf.DUMMYFUNCTION("""COMPUTED_VALUE"""),"SCOPUS-000459")</f>
        <v>SCOPUS-000459</v>
      </c>
      <c r="B393" s="5" t="str">
        <f>IFERROR(__xludf.DUMMYFUNCTION("""COMPUTED_VALUE"""),"SCOPUS-000459-1")</f>
        <v>SCOPUS-000459-1</v>
      </c>
      <c r="C393" s="5" t="str">
        <f>IFERROR(__xludf.DUMMYFUNCTION("""COMPUTED_VALUE"""),"Data-Centric")</f>
        <v>Data-Centric</v>
      </c>
      <c r="D393" s="6" t="str">
        <f>IFERROR(__xludf.DUMMYFUNCTION("""COMPUTED_VALUE"""),"Transfer Learning")</f>
        <v>Transfer Learning</v>
      </c>
    </row>
    <row r="394" ht="15.75" customHeight="1">
      <c r="A394" s="5" t="str">
        <f>IFERROR(__xludf.DUMMYFUNCTION("""COMPUTED_VALUE"""),"SCOPUS-000459")</f>
        <v>SCOPUS-000459</v>
      </c>
      <c r="B394" s="5" t="str">
        <f>IFERROR(__xludf.DUMMYFUNCTION("""COMPUTED_VALUE"""),"SCOPUS-000459-2")</f>
        <v>SCOPUS-000459-2</v>
      </c>
      <c r="C394" s="5" t="str">
        <f>IFERROR(__xludf.DUMMYFUNCTION("""COMPUTED_VALUE"""),"Architectural")</f>
        <v>Architectural</v>
      </c>
      <c r="D394" s="6" t="str">
        <f>IFERROR(__xludf.DUMMYFUNCTION("""COMPUTED_VALUE"""),"Architecture Modification")</f>
        <v>Architecture Modification</v>
      </c>
    </row>
    <row r="395" ht="15.75" customHeight="1">
      <c r="A395" s="5" t="str">
        <f>IFERROR(__xludf.DUMMYFUNCTION("""COMPUTED_VALUE"""),"SCOPUS-000459")</f>
        <v>SCOPUS-000459</v>
      </c>
      <c r="B395" s="5" t="str">
        <f>IFERROR(__xludf.DUMMYFUNCTION("""COMPUTED_VALUE"""),"SCOPUS-000459-3")</f>
        <v>SCOPUS-000459-3</v>
      </c>
      <c r="C395" s="5" t="str">
        <f>IFERROR(__xludf.DUMMYFUNCTION("""COMPUTED_VALUE"""),"Data-Centric")</f>
        <v>Data-Centric</v>
      </c>
      <c r="D395" s="6" t="str">
        <f>IFERROR(__xludf.DUMMYFUNCTION("""COMPUTED_VALUE"""),"Data Augmentation")</f>
        <v>Data Augmentation</v>
      </c>
    </row>
    <row r="396" ht="15.75" customHeight="1">
      <c r="A396" s="5" t="str">
        <f>IFERROR(__xludf.DUMMYFUNCTION("""COMPUTED_VALUE"""),"SCOPUS-000471")</f>
        <v>SCOPUS-000471</v>
      </c>
      <c r="B396" s="5" t="str">
        <f>IFERROR(__xludf.DUMMYFUNCTION("""COMPUTED_VALUE"""),"SCOPUS-000471-1")</f>
        <v>SCOPUS-000471-1</v>
      </c>
      <c r="C396" s="5" t="str">
        <f>IFERROR(__xludf.DUMMYFUNCTION("""COMPUTED_VALUE"""),"Data-Centric")</f>
        <v>Data-Centric</v>
      </c>
      <c r="D396" s="6" t="str">
        <f>IFERROR(__xludf.DUMMYFUNCTION("""COMPUTED_VALUE"""),"Synthetic Data Generation")</f>
        <v>Synthetic Data Generation</v>
      </c>
    </row>
    <row r="397" ht="15.75" customHeight="1">
      <c r="A397" s="5" t="str">
        <f>IFERROR(__xludf.DUMMYFUNCTION("""COMPUTED_VALUE"""),"SCOPUS-000471")</f>
        <v>SCOPUS-000471</v>
      </c>
      <c r="B397" s="5" t="str">
        <f>IFERROR(__xludf.DUMMYFUNCTION("""COMPUTED_VALUE"""),"SCOPUS-000471-2")</f>
        <v>SCOPUS-000471-2</v>
      </c>
      <c r="C397" s="5" t="str">
        <f>IFERROR(__xludf.DUMMYFUNCTION("""COMPUTED_VALUE"""),"Architectural")</f>
        <v>Architectural</v>
      </c>
      <c r="D397" s="6" t="str">
        <f>IFERROR(__xludf.DUMMYFUNCTION("""COMPUTED_VALUE"""),"Architecture Modification")</f>
        <v>Architecture Modification</v>
      </c>
    </row>
    <row r="398" ht="15.75" customHeight="1">
      <c r="A398" s="5" t="str">
        <f>IFERROR(__xludf.DUMMYFUNCTION("""COMPUTED_VALUE"""),"SCOPUS-000480")</f>
        <v>SCOPUS-000480</v>
      </c>
      <c r="B398" s="5" t="str">
        <f>IFERROR(__xludf.DUMMYFUNCTION("""COMPUTED_VALUE"""),"SCOPUS-000480-1")</f>
        <v>SCOPUS-000480-1</v>
      </c>
      <c r="C398" s="5" t="str">
        <f>IFERROR(__xludf.DUMMYFUNCTION("""COMPUTED_VALUE"""),"Data-Centric")</f>
        <v>Data-Centric</v>
      </c>
      <c r="D398" s="6" t="str">
        <f>IFERROR(__xludf.DUMMYFUNCTION("""COMPUTED_VALUE"""),"Data Augmentation")</f>
        <v>Data Augmentation</v>
      </c>
    </row>
    <row r="399" ht="15.75" customHeight="1">
      <c r="A399" s="5" t="str">
        <f>IFERROR(__xludf.DUMMYFUNCTION("""COMPUTED_VALUE"""),"SCOPUS-000480")</f>
        <v>SCOPUS-000480</v>
      </c>
      <c r="B399" s="5" t="str">
        <f>IFERROR(__xludf.DUMMYFUNCTION("""COMPUTED_VALUE"""),"SCOPUS-000480-2")</f>
        <v>SCOPUS-000480-2</v>
      </c>
      <c r="C399" s="5" t="str">
        <f>IFERROR(__xludf.DUMMYFUNCTION("""COMPUTED_VALUE"""),"Data-Centric")</f>
        <v>Data-Centric</v>
      </c>
      <c r="D399" s="6" t="str">
        <f>IFERROR(__xludf.DUMMYFUNCTION("""COMPUTED_VALUE"""),"Transfer Learning")</f>
        <v>Transfer Learning</v>
      </c>
    </row>
    <row r="400" ht="15.75" customHeight="1">
      <c r="A400" s="5" t="str">
        <f>IFERROR(__xludf.DUMMYFUNCTION("""COMPUTED_VALUE"""),"SCOPUS-000480")</f>
        <v>SCOPUS-000480</v>
      </c>
      <c r="B400" s="5" t="str">
        <f>IFERROR(__xludf.DUMMYFUNCTION("""COMPUTED_VALUE"""),"SCOPUS-000480-3")</f>
        <v>SCOPUS-000480-3</v>
      </c>
      <c r="C400" s="5" t="str">
        <f>IFERROR(__xludf.DUMMYFUNCTION("""COMPUTED_VALUE"""),"Architectural")</f>
        <v>Architectural</v>
      </c>
      <c r="D400" s="6" t="str">
        <f>IFERROR(__xludf.DUMMYFUNCTION("""COMPUTED_VALUE"""),"Architecture Modification")</f>
        <v>Architecture Modification</v>
      </c>
    </row>
    <row r="401" ht="15.75" customHeight="1">
      <c r="A401" s="5" t="str">
        <f>IFERROR(__xludf.DUMMYFUNCTION("""COMPUTED_VALUE"""),"SCOPUS-000492")</f>
        <v>SCOPUS-000492</v>
      </c>
      <c r="B401" s="5" t="str">
        <f>IFERROR(__xludf.DUMMYFUNCTION("""COMPUTED_VALUE"""),"SCOPUS-000492-1")</f>
        <v>SCOPUS-000492-1</v>
      </c>
      <c r="C401" s="5" t="str">
        <f>IFERROR(__xludf.DUMMYFUNCTION("""COMPUTED_VALUE"""),"Data-Centric")</f>
        <v>Data-Centric</v>
      </c>
      <c r="D401" s="6" t="str">
        <f>IFERROR(__xludf.DUMMYFUNCTION("""COMPUTED_VALUE"""),"Synthetic Data Generation")</f>
        <v>Synthetic Data Generation</v>
      </c>
    </row>
    <row r="402" ht="15.75" customHeight="1">
      <c r="A402" s="5" t="str">
        <f>IFERROR(__xludf.DUMMYFUNCTION("""COMPUTED_VALUE"""),"SCOPUS-000492")</f>
        <v>SCOPUS-000492</v>
      </c>
      <c r="B402" s="5" t="str">
        <f>IFERROR(__xludf.DUMMYFUNCTION("""COMPUTED_VALUE"""),"SCOPUS-000492-2")</f>
        <v>SCOPUS-000492-2</v>
      </c>
      <c r="C402" s="5" t="str">
        <f>IFERROR(__xludf.DUMMYFUNCTION("""COMPUTED_VALUE"""),"Data-Centric")</f>
        <v>Data-Centric</v>
      </c>
      <c r="D402" s="6" t="str">
        <f>IFERROR(__xludf.DUMMYFUNCTION("""COMPUTED_VALUE"""),"Transfer Learning")</f>
        <v>Transfer Learning</v>
      </c>
    </row>
    <row r="403" ht="15.75" customHeight="1">
      <c r="A403" s="5" t="str">
        <f>IFERROR(__xludf.DUMMYFUNCTION("""COMPUTED_VALUE"""),"SCOPUS-000492")</f>
        <v>SCOPUS-000492</v>
      </c>
      <c r="B403" s="5" t="str">
        <f>IFERROR(__xludf.DUMMYFUNCTION("""COMPUTED_VALUE"""),"SCOPUS-000492-3")</f>
        <v>SCOPUS-000492-3</v>
      </c>
      <c r="C403" s="5" t="str">
        <f>IFERROR(__xludf.DUMMYFUNCTION("""COMPUTED_VALUE"""),"Data-Centric")</f>
        <v>Data-Centric</v>
      </c>
      <c r="D403" s="6" t="str">
        <f>IFERROR(__xludf.DUMMYFUNCTION("""COMPUTED_VALUE"""),"Data Augmentation")</f>
        <v>Data Augmentation</v>
      </c>
    </row>
    <row r="404" ht="15.75" customHeight="1">
      <c r="A404" s="5" t="str">
        <f>IFERROR(__xludf.DUMMYFUNCTION("""COMPUTED_VALUE"""),"SCOPUS-000492")</f>
        <v>SCOPUS-000492</v>
      </c>
      <c r="B404" s="5" t="str">
        <f>IFERROR(__xludf.DUMMYFUNCTION("""COMPUTED_VALUE"""),"SCOPUS-000492-4")</f>
        <v>SCOPUS-000492-4</v>
      </c>
      <c r="C404" s="5" t="str">
        <f>IFERROR(__xludf.DUMMYFUNCTION("""COMPUTED_VALUE"""),"Data-Centric")</f>
        <v>Data-Centric</v>
      </c>
      <c r="D404" s="6" t="str">
        <f>IFERROR(__xludf.DUMMYFUNCTION("""COMPUTED_VALUE"""),"Feature Extraction")</f>
        <v>Feature Extraction</v>
      </c>
    </row>
    <row r="405" ht="15.75" customHeight="1">
      <c r="A405" s="5" t="str">
        <f>IFERROR(__xludf.DUMMYFUNCTION("""COMPUTED_VALUE"""),"SCOPUS-000492")</f>
        <v>SCOPUS-000492</v>
      </c>
      <c r="B405" s="5" t="str">
        <f>IFERROR(__xludf.DUMMYFUNCTION("""COMPUTED_VALUE"""),"SCOPUS-000492-5")</f>
        <v>SCOPUS-000492-5</v>
      </c>
      <c r="C405" s="5" t="str">
        <f>IFERROR(__xludf.DUMMYFUNCTION("""COMPUTED_VALUE"""),"Data-Centric")</f>
        <v>Data-Centric</v>
      </c>
      <c r="D405" s="6" t="str">
        <f>IFERROR(__xludf.DUMMYFUNCTION("""COMPUTED_VALUE"""),"Dimensionality Reduction")</f>
        <v>Dimensionality Reduction</v>
      </c>
    </row>
    <row r="406" ht="15.75" customHeight="1">
      <c r="A406" s="5" t="str">
        <f>IFERROR(__xludf.DUMMYFUNCTION("""COMPUTED_VALUE"""),"SCOPUS-000492")</f>
        <v>SCOPUS-000492</v>
      </c>
      <c r="B406" s="5" t="str">
        <f>IFERROR(__xludf.DUMMYFUNCTION("""COMPUTED_VALUE"""),"SCOPUS-000492-6")</f>
        <v>SCOPUS-000492-6</v>
      </c>
      <c r="C406" s="5" t="str">
        <f>IFERROR(__xludf.DUMMYFUNCTION("""COMPUTED_VALUE"""),"Architectural")</f>
        <v>Architectural</v>
      </c>
      <c r="D406" s="6" t="str">
        <f>IFERROR(__xludf.DUMMYFUNCTION("""COMPUTED_VALUE"""),"Machine Learning")</f>
        <v>Machine Learning</v>
      </c>
    </row>
    <row r="407" ht="15.75" customHeight="1">
      <c r="A407" s="5" t="str">
        <f>IFERROR(__xludf.DUMMYFUNCTION("""COMPUTED_VALUE"""),"SCOPUS-000493")</f>
        <v>SCOPUS-000493</v>
      </c>
      <c r="B407" s="5" t="str">
        <f>IFERROR(__xludf.DUMMYFUNCTION("""COMPUTED_VALUE"""),"SCOPUS-000493-1")</f>
        <v>SCOPUS-000493-1</v>
      </c>
      <c r="C407" s="5" t="str">
        <f>IFERROR(__xludf.DUMMYFUNCTION("""COMPUTED_VALUE"""),"Data-Centric")</f>
        <v>Data-Centric</v>
      </c>
      <c r="D407" s="6" t="str">
        <f>IFERROR(__xludf.DUMMYFUNCTION("""COMPUTED_VALUE"""),"Transfer Learning")</f>
        <v>Transfer Learning</v>
      </c>
    </row>
    <row r="408" ht="15.75" customHeight="1">
      <c r="A408" s="5" t="str">
        <f>IFERROR(__xludf.DUMMYFUNCTION("""COMPUTED_VALUE"""),"SCOPUS-000493")</f>
        <v>SCOPUS-000493</v>
      </c>
      <c r="B408" s="5" t="str">
        <f>IFERROR(__xludf.DUMMYFUNCTION("""COMPUTED_VALUE"""),"SCOPUS-000493-2")</f>
        <v>SCOPUS-000493-2</v>
      </c>
      <c r="C408" s="5" t="str">
        <f>IFERROR(__xludf.DUMMYFUNCTION("""COMPUTED_VALUE"""),"Data-Centric")</f>
        <v>Data-Centric</v>
      </c>
      <c r="D408" s="6" t="str">
        <f>IFERROR(__xludf.DUMMYFUNCTION("""COMPUTED_VALUE"""),"Data Augmentation")</f>
        <v>Data Augmentation</v>
      </c>
    </row>
    <row r="409" ht="15.75" customHeight="1">
      <c r="A409" s="5" t="str">
        <f>IFERROR(__xludf.DUMMYFUNCTION("""COMPUTED_VALUE"""),"SCOPUS-000493")</f>
        <v>SCOPUS-000493</v>
      </c>
      <c r="B409" s="5" t="str">
        <f>IFERROR(__xludf.DUMMYFUNCTION("""COMPUTED_VALUE"""),"SCOPUS-000493-3")</f>
        <v>SCOPUS-000493-3</v>
      </c>
      <c r="C409" s="5" t="str">
        <f>IFERROR(__xludf.DUMMYFUNCTION("""COMPUTED_VALUE"""),"Architectural")</f>
        <v>Architectural</v>
      </c>
      <c r="D409" s="6" t="str">
        <f>IFERROR(__xludf.DUMMYFUNCTION("""COMPUTED_VALUE"""),"Architecture Modification")</f>
        <v>Architecture Modification</v>
      </c>
    </row>
    <row r="410" ht="15.75" customHeight="1">
      <c r="A410" s="5" t="str">
        <f>IFERROR(__xludf.DUMMYFUNCTION("""COMPUTED_VALUE"""),"SCOPUS-000493")</f>
        <v>SCOPUS-000493</v>
      </c>
      <c r="B410" s="5" t="str">
        <f>IFERROR(__xludf.DUMMYFUNCTION("""COMPUTED_VALUE"""),"SCOPUS-000493-4")</f>
        <v>SCOPUS-000493-4</v>
      </c>
      <c r="C410" s="5" t="str">
        <f>IFERROR(__xludf.DUMMYFUNCTION("""COMPUTED_VALUE"""),"Architectural")</f>
        <v>Architectural</v>
      </c>
      <c r="D410" s="6" t="str">
        <f>IFERROR(__xludf.DUMMYFUNCTION("""COMPUTED_VALUE"""),"Attention Mechanism")</f>
        <v>Attention Mechanism</v>
      </c>
    </row>
    <row r="411" ht="15.75" customHeight="1">
      <c r="A411" s="5" t="str">
        <f>IFERROR(__xludf.DUMMYFUNCTION("""COMPUTED_VALUE"""),"SCOPUS-000493")</f>
        <v>SCOPUS-000493</v>
      </c>
      <c r="B411" s="5" t="str">
        <f>IFERROR(__xludf.DUMMYFUNCTION("""COMPUTED_VALUE"""),"SCOPUS-000493-5")</f>
        <v>SCOPUS-000493-5</v>
      </c>
      <c r="C411" s="5" t="str">
        <f>IFERROR(__xludf.DUMMYFUNCTION("""COMPUTED_VALUE"""),"Architectural")</f>
        <v>Architectural</v>
      </c>
      <c r="D411" s="6" t="str">
        <f>IFERROR(__xludf.DUMMYFUNCTION("""COMPUTED_VALUE"""),"Patch-Based Classification")</f>
        <v>Patch-Based Classification</v>
      </c>
    </row>
    <row r="412" ht="15.75" customHeight="1">
      <c r="A412" s="5" t="str">
        <f>IFERROR(__xludf.DUMMYFUNCTION("""COMPUTED_VALUE"""),"SCOPUS-000505")</f>
        <v>SCOPUS-000505</v>
      </c>
      <c r="B412" s="5" t="str">
        <f>IFERROR(__xludf.DUMMYFUNCTION("""COMPUTED_VALUE"""),"SCOPUS-000505-1")</f>
        <v>SCOPUS-000505-1</v>
      </c>
      <c r="C412" s="5" t="str">
        <f>IFERROR(__xludf.DUMMYFUNCTION("""COMPUTED_VALUE"""),"Data-Centric")</f>
        <v>Data-Centric</v>
      </c>
      <c r="D412" s="6" t="str">
        <f>IFERROR(__xludf.DUMMYFUNCTION("""COMPUTED_VALUE"""),"Transfer Learning")</f>
        <v>Transfer Learning</v>
      </c>
    </row>
    <row r="413" ht="15.75" customHeight="1">
      <c r="A413" s="5" t="str">
        <f>IFERROR(__xludf.DUMMYFUNCTION("""COMPUTED_VALUE"""),"SCOPUS-000505")</f>
        <v>SCOPUS-000505</v>
      </c>
      <c r="B413" s="5" t="str">
        <f>IFERROR(__xludf.DUMMYFUNCTION("""COMPUTED_VALUE"""),"SCOPUS-000505-2")</f>
        <v>SCOPUS-000505-2</v>
      </c>
      <c r="C413" s="5" t="str">
        <f>IFERROR(__xludf.DUMMYFUNCTION("""COMPUTED_VALUE"""),"Data-Centric")</f>
        <v>Data-Centric</v>
      </c>
      <c r="D413" s="6" t="str">
        <f>IFERROR(__xludf.DUMMYFUNCTION("""COMPUTED_VALUE"""),"Feature Extraction")</f>
        <v>Feature Extraction</v>
      </c>
    </row>
    <row r="414" ht="15.75" customHeight="1">
      <c r="A414" s="5" t="str">
        <f>IFERROR(__xludf.DUMMYFUNCTION("""COMPUTED_VALUE"""),"SCOPUS-000505")</f>
        <v>SCOPUS-000505</v>
      </c>
      <c r="B414" s="5" t="str">
        <f>IFERROR(__xludf.DUMMYFUNCTION("""COMPUTED_VALUE"""),"SCOPUS-000505-3")</f>
        <v>SCOPUS-000505-3</v>
      </c>
      <c r="C414" s="5" t="str">
        <f>IFERROR(__xludf.DUMMYFUNCTION("""COMPUTED_VALUE"""),"Data-Centric")</f>
        <v>Data-Centric</v>
      </c>
      <c r="D414" s="6" t="str">
        <f>IFERROR(__xludf.DUMMYFUNCTION("""COMPUTED_VALUE"""),"Dimensionality Reduction")</f>
        <v>Dimensionality Reduction</v>
      </c>
    </row>
    <row r="415" ht="15.75" customHeight="1">
      <c r="A415" s="5" t="str">
        <f>IFERROR(__xludf.DUMMYFUNCTION("""COMPUTED_VALUE"""),"SCOPUS-000505")</f>
        <v>SCOPUS-000505</v>
      </c>
      <c r="B415" s="5" t="str">
        <f>IFERROR(__xludf.DUMMYFUNCTION("""COMPUTED_VALUE"""),"SCOPUS-000505-4")</f>
        <v>SCOPUS-000505-4</v>
      </c>
      <c r="C415" s="5" t="str">
        <f>IFERROR(__xludf.DUMMYFUNCTION("""COMPUTED_VALUE"""),"Architectural")</f>
        <v>Architectural</v>
      </c>
      <c r="D415" s="6" t="str">
        <f>IFERROR(__xludf.DUMMYFUNCTION("""COMPUTED_VALUE"""),"Machine Learning")</f>
        <v>Machine Learning</v>
      </c>
    </row>
    <row r="416" ht="15.75" customHeight="1">
      <c r="A416" s="5" t="str">
        <f>IFERROR(__xludf.DUMMYFUNCTION("""COMPUTED_VALUE"""),"SCOPUS-000532")</f>
        <v>SCOPUS-000532</v>
      </c>
      <c r="B416" s="5" t="str">
        <f>IFERROR(__xludf.DUMMYFUNCTION("""COMPUTED_VALUE"""),"SCOPUS-000532-1")</f>
        <v>SCOPUS-000532-1</v>
      </c>
      <c r="C416" s="5" t="str">
        <f>IFERROR(__xludf.DUMMYFUNCTION("""COMPUTED_VALUE"""),"Data-Centric")</f>
        <v>Data-Centric</v>
      </c>
      <c r="D416" s="6" t="str">
        <f>IFERROR(__xludf.DUMMYFUNCTION("""COMPUTED_VALUE"""),"Data Processing")</f>
        <v>Data Processing</v>
      </c>
    </row>
    <row r="417" ht="15.75" customHeight="1">
      <c r="A417" s="5" t="str">
        <f>IFERROR(__xludf.DUMMYFUNCTION("""COMPUTED_VALUE"""),"SCOPUS-000532")</f>
        <v>SCOPUS-000532</v>
      </c>
      <c r="B417" s="5" t="str">
        <f>IFERROR(__xludf.DUMMYFUNCTION("""COMPUTED_VALUE"""),"SCOPUS-000532-2")</f>
        <v>SCOPUS-000532-2</v>
      </c>
      <c r="C417" s="5" t="str">
        <f>IFERROR(__xludf.DUMMYFUNCTION("""COMPUTED_VALUE"""),"Architectural")</f>
        <v>Architectural</v>
      </c>
      <c r="D417" s="6" t="str">
        <f>IFERROR(__xludf.DUMMYFUNCTION("""COMPUTED_VALUE"""),"Architecture Modification")</f>
        <v>Architecture Modification</v>
      </c>
    </row>
    <row r="418" ht="15.75" customHeight="1">
      <c r="A418" s="5" t="str">
        <f>IFERROR(__xludf.DUMMYFUNCTION("""COMPUTED_VALUE"""),"SCOPUS-000532")</f>
        <v>SCOPUS-000532</v>
      </c>
      <c r="B418" s="5" t="str">
        <f>IFERROR(__xludf.DUMMYFUNCTION("""COMPUTED_VALUE"""),"SCOPUS-000532-3")</f>
        <v>SCOPUS-000532-3</v>
      </c>
      <c r="C418" s="5" t="str">
        <f>IFERROR(__xludf.DUMMYFUNCTION("""COMPUTED_VALUE"""),"Architectural")</f>
        <v>Architectural</v>
      </c>
      <c r="D418" s="6" t="str">
        <f>IFERROR(__xludf.DUMMYFUNCTION("""COMPUTED_VALUE"""),"Attention Mechanism")</f>
        <v>Attention Mechanism</v>
      </c>
    </row>
    <row r="419" ht="15.75" customHeight="1">
      <c r="A419" s="5" t="str">
        <f>IFERROR(__xludf.DUMMYFUNCTION("""COMPUTED_VALUE"""),"SCOPUS-000532")</f>
        <v>SCOPUS-000532</v>
      </c>
      <c r="B419" s="5" t="str">
        <f>IFERROR(__xludf.DUMMYFUNCTION("""COMPUTED_VALUE"""),"SCOPUS-000532-4")</f>
        <v>SCOPUS-000532-4</v>
      </c>
      <c r="C419" s="5" t="str">
        <f>IFERROR(__xludf.DUMMYFUNCTION("""COMPUTED_VALUE"""),"Data-Centric")</f>
        <v>Data-Centric</v>
      </c>
      <c r="D419" s="6" t="str">
        <f>IFERROR(__xludf.DUMMYFUNCTION("""COMPUTED_VALUE"""),"Transfer Learning")</f>
        <v>Transfer Learning</v>
      </c>
    </row>
    <row r="420" ht="15.75" customHeight="1">
      <c r="A420" s="5" t="str">
        <f>IFERROR(__xludf.DUMMYFUNCTION("""COMPUTED_VALUE"""),"SCOPUS-000532")</f>
        <v>SCOPUS-000532</v>
      </c>
      <c r="B420" s="5" t="str">
        <f>IFERROR(__xludf.DUMMYFUNCTION("""COMPUTED_VALUE"""),"SCOPUS-000532-5")</f>
        <v>SCOPUS-000532-5</v>
      </c>
      <c r="C420" s="5" t="str">
        <f>IFERROR(__xludf.DUMMYFUNCTION("""COMPUTED_VALUE"""),"Data-Centric")</f>
        <v>Data-Centric</v>
      </c>
      <c r="D420" s="6" t="str">
        <f>IFERROR(__xludf.DUMMYFUNCTION("""COMPUTED_VALUE"""),"Data Augmentation")</f>
        <v>Data Augmentation</v>
      </c>
    </row>
    <row r="421" ht="15.75" customHeight="1">
      <c r="A421" s="5" t="str">
        <f>IFERROR(__xludf.DUMMYFUNCTION("""COMPUTED_VALUE"""),"SCOPUS-000542")</f>
        <v>SCOPUS-000542</v>
      </c>
      <c r="B421" s="5" t="str">
        <f>IFERROR(__xludf.DUMMYFUNCTION("""COMPUTED_VALUE"""),"SCOPUS-000542-1")</f>
        <v>SCOPUS-000542-1</v>
      </c>
      <c r="C421" s="5" t="str">
        <f>IFERROR(__xludf.DUMMYFUNCTION("""COMPUTED_VALUE"""),"Data-Centric")</f>
        <v>Data-Centric</v>
      </c>
      <c r="D421" s="6" t="str">
        <f>IFERROR(__xludf.DUMMYFUNCTION("""COMPUTED_VALUE"""),"Domain Adaptation")</f>
        <v>Domain Adaptation</v>
      </c>
    </row>
    <row r="422" ht="15.75" customHeight="1">
      <c r="A422" s="5" t="str">
        <f>IFERROR(__xludf.DUMMYFUNCTION("""COMPUTED_VALUE"""),"SCOPUS-000542")</f>
        <v>SCOPUS-000542</v>
      </c>
      <c r="B422" s="5" t="str">
        <f>IFERROR(__xludf.DUMMYFUNCTION("""COMPUTED_VALUE"""),"SCOPUS-000542-2")</f>
        <v>SCOPUS-000542-2</v>
      </c>
      <c r="C422" s="5" t="str">
        <f>IFERROR(__xludf.DUMMYFUNCTION("""COMPUTED_VALUE"""),"Data-Centric")</f>
        <v>Data-Centric</v>
      </c>
      <c r="D422" s="6" t="str">
        <f>IFERROR(__xludf.DUMMYFUNCTION("""COMPUTED_VALUE"""),"Data Augmentation")</f>
        <v>Data Augmentation</v>
      </c>
    </row>
    <row r="423" ht="15.75" customHeight="1">
      <c r="A423" s="5" t="str">
        <f>IFERROR(__xludf.DUMMYFUNCTION("""COMPUTED_VALUE"""),"SCOPUS-000542")</f>
        <v>SCOPUS-000542</v>
      </c>
      <c r="B423" s="5" t="str">
        <f>IFERROR(__xludf.DUMMYFUNCTION("""COMPUTED_VALUE"""),"SCOPUS-000542-3")</f>
        <v>SCOPUS-000542-3</v>
      </c>
      <c r="C423" s="5" t="str">
        <f>IFERROR(__xludf.DUMMYFUNCTION("""COMPUTED_VALUE"""),"Data-Centric")</f>
        <v>Data-Centric</v>
      </c>
      <c r="D423" s="6" t="str">
        <f>IFERROR(__xludf.DUMMYFUNCTION("""COMPUTED_VALUE"""),"Transfer Learning")</f>
        <v>Transfer Learning</v>
      </c>
    </row>
    <row r="424" ht="15.75" customHeight="1">
      <c r="A424" s="5" t="str">
        <f>IFERROR(__xludf.DUMMYFUNCTION("""COMPUTED_VALUE"""),"SCOPUS-000545")</f>
        <v>SCOPUS-000545</v>
      </c>
      <c r="B424" s="5" t="str">
        <f>IFERROR(__xludf.DUMMYFUNCTION("""COMPUTED_VALUE"""),"SCOPUS-000545-1")</f>
        <v>SCOPUS-000545-1</v>
      </c>
      <c r="C424" s="5" t="str">
        <f>IFERROR(__xludf.DUMMYFUNCTION("""COMPUTED_VALUE"""),"Architectural")</f>
        <v>Architectural</v>
      </c>
      <c r="D424" s="6" t="str">
        <f>IFERROR(__xludf.DUMMYFUNCTION("""COMPUTED_VALUE"""),"Attention Mechanism")</f>
        <v>Attention Mechanism</v>
      </c>
    </row>
    <row r="425" ht="15.75" customHeight="1">
      <c r="A425" s="5" t="str">
        <f>IFERROR(__xludf.DUMMYFUNCTION("""COMPUTED_VALUE"""),"SCOPUS-000545")</f>
        <v>SCOPUS-000545</v>
      </c>
      <c r="B425" s="5" t="str">
        <f>IFERROR(__xludf.DUMMYFUNCTION("""COMPUTED_VALUE"""),"SCOPUS-000545-2")</f>
        <v>SCOPUS-000545-2</v>
      </c>
      <c r="C425" s="5" t="str">
        <f>IFERROR(__xludf.DUMMYFUNCTION("""COMPUTED_VALUE"""),"Architectural")</f>
        <v>Architectural</v>
      </c>
      <c r="D425" s="6" t="str">
        <f>IFERROR(__xludf.DUMMYFUNCTION("""COMPUTED_VALUE"""),"Architecture Modification")</f>
        <v>Architecture Modification</v>
      </c>
    </row>
    <row r="426" ht="15.75" customHeight="1">
      <c r="A426" s="5" t="str">
        <f>IFERROR(__xludf.DUMMYFUNCTION("""COMPUTED_VALUE"""),"SCOPUS-000545")</f>
        <v>SCOPUS-000545</v>
      </c>
      <c r="B426" s="5" t="str">
        <f>IFERROR(__xludf.DUMMYFUNCTION("""COMPUTED_VALUE"""),"SCOPUS-000545-3")</f>
        <v>SCOPUS-000545-3</v>
      </c>
      <c r="C426" s="5" t="str">
        <f>IFERROR(__xludf.DUMMYFUNCTION("""COMPUTED_VALUE"""),"Architectural")</f>
        <v>Architectural</v>
      </c>
      <c r="D426" s="6" t="str">
        <f>IFERROR(__xludf.DUMMYFUNCTION("""COMPUTED_VALUE"""),"Loss Function Modification")</f>
        <v>Loss Function Modification</v>
      </c>
    </row>
    <row r="427" ht="15.75" customHeight="1">
      <c r="A427" s="5" t="str">
        <f>IFERROR(__xludf.DUMMYFUNCTION("""COMPUTED_VALUE"""),"SCOPUS-000545")</f>
        <v>SCOPUS-000545</v>
      </c>
      <c r="B427" s="5" t="str">
        <f>IFERROR(__xludf.DUMMYFUNCTION("""COMPUTED_VALUE"""),"SCOPUS-000545-4")</f>
        <v>SCOPUS-000545-4</v>
      </c>
      <c r="C427" s="5" t="str">
        <f>IFERROR(__xludf.DUMMYFUNCTION("""COMPUTED_VALUE"""),"Data-Centric")</f>
        <v>Data-Centric</v>
      </c>
      <c r="D427" s="6" t="str">
        <f>IFERROR(__xludf.DUMMYFUNCTION("""COMPUTED_VALUE"""),"Data Augmentation")</f>
        <v>Data Augmentation</v>
      </c>
    </row>
    <row r="428" ht="15.75" customHeight="1">
      <c r="A428" s="5" t="str">
        <f>IFERROR(__xludf.DUMMYFUNCTION("""COMPUTED_VALUE"""),"SCOPUS-000552")</f>
        <v>SCOPUS-000552</v>
      </c>
      <c r="B428" s="5" t="str">
        <f>IFERROR(__xludf.DUMMYFUNCTION("""COMPUTED_VALUE"""),"SCOPUS-000552-1")</f>
        <v>SCOPUS-000552-1</v>
      </c>
      <c r="C428" s="5" t="str">
        <f>IFERROR(__xludf.DUMMYFUNCTION("""COMPUTED_VALUE"""),"Architectural")</f>
        <v>Architectural</v>
      </c>
      <c r="D428" s="6" t="str">
        <f>IFERROR(__xludf.DUMMYFUNCTION("""COMPUTED_VALUE"""),"Architecture Modification")</f>
        <v>Architecture Modification</v>
      </c>
    </row>
    <row r="429" ht="15.75" customHeight="1">
      <c r="A429" s="5" t="str">
        <f>IFERROR(__xludf.DUMMYFUNCTION("""COMPUTED_VALUE"""),"SCOPUS-000552")</f>
        <v>SCOPUS-000552</v>
      </c>
      <c r="B429" s="5" t="str">
        <f>IFERROR(__xludf.DUMMYFUNCTION("""COMPUTED_VALUE"""),"SCOPUS-000552-2")</f>
        <v>SCOPUS-000552-2</v>
      </c>
      <c r="C429" s="5" t="str">
        <f>IFERROR(__xludf.DUMMYFUNCTION("""COMPUTED_VALUE"""),"Data-Centric")</f>
        <v>Data-Centric</v>
      </c>
      <c r="D429" s="6" t="str">
        <f>IFERROR(__xludf.DUMMYFUNCTION("""COMPUTED_VALUE"""),"Data Augmentation")</f>
        <v>Data Augmentation</v>
      </c>
    </row>
    <row r="430" ht="15.75" customHeight="1">
      <c r="A430" s="5" t="str">
        <f>IFERROR(__xludf.DUMMYFUNCTION("""COMPUTED_VALUE"""),"SCOPUS-000552")</f>
        <v>SCOPUS-000552</v>
      </c>
      <c r="B430" s="5" t="str">
        <f>IFERROR(__xludf.DUMMYFUNCTION("""COMPUTED_VALUE"""),"SCOPUS-000552-3")</f>
        <v>SCOPUS-000552-3</v>
      </c>
      <c r="C430" s="5" t="str">
        <f>IFERROR(__xludf.DUMMYFUNCTION("""COMPUTED_VALUE"""),"Data-Centric")</f>
        <v>Data-Centric</v>
      </c>
      <c r="D430" s="6" t="str">
        <f>IFERROR(__xludf.DUMMYFUNCTION("""COMPUTED_VALUE"""),"Transfer Learning")</f>
        <v>Transfer Learning</v>
      </c>
    </row>
    <row r="431" ht="15.75" customHeight="1">
      <c r="A431" s="5" t="str">
        <f>IFERROR(__xludf.DUMMYFUNCTION("""COMPUTED_VALUE"""),"SCOPUS-000582")</f>
        <v>SCOPUS-000582</v>
      </c>
      <c r="B431" s="5" t="str">
        <f>IFERROR(__xludf.DUMMYFUNCTION("""COMPUTED_VALUE"""),"SCOPUS-000582-1")</f>
        <v>SCOPUS-000582-1</v>
      </c>
      <c r="C431" s="5" t="str">
        <f>IFERROR(__xludf.DUMMYFUNCTION("""COMPUTED_VALUE"""),"Data-Centric")</f>
        <v>Data-Centric</v>
      </c>
      <c r="D431" s="6" t="str">
        <f>IFERROR(__xludf.DUMMYFUNCTION("""COMPUTED_VALUE"""),"Data Processing")</f>
        <v>Data Processing</v>
      </c>
    </row>
    <row r="432" ht="15.75" customHeight="1">
      <c r="A432" s="5" t="str">
        <f>IFERROR(__xludf.DUMMYFUNCTION("""COMPUTED_VALUE"""),"SCOPUS-000582")</f>
        <v>SCOPUS-000582</v>
      </c>
      <c r="B432" s="5" t="str">
        <f>IFERROR(__xludf.DUMMYFUNCTION("""COMPUTED_VALUE"""),"SCOPUS-000582-2")</f>
        <v>SCOPUS-000582-2</v>
      </c>
      <c r="C432" s="5" t="str">
        <f>IFERROR(__xludf.DUMMYFUNCTION("""COMPUTED_VALUE"""),"Data-Centric")</f>
        <v>Data-Centric</v>
      </c>
      <c r="D432" s="6" t="str">
        <f>IFERROR(__xludf.DUMMYFUNCTION("""COMPUTED_VALUE"""),"Feature Extraction")</f>
        <v>Feature Extraction</v>
      </c>
    </row>
    <row r="433" ht="15.75" customHeight="1">
      <c r="A433" s="5" t="str">
        <f>IFERROR(__xludf.DUMMYFUNCTION("""COMPUTED_VALUE"""),"SCOPUS-000582")</f>
        <v>SCOPUS-000582</v>
      </c>
      <c r="B433" s="5" t="str">
        <f>IFERROR(__xludf.DUMMYFUNCTION("""COMPUTED_VALUE"""),"SCOPUS-000582-3")</f>
        <v>SCOPUS-000582-3</v>
      </c>
      <c r="C433" s="5" t="str">
        <f>IFERROR(__xludf.DUMMYFUNCTION("""COMPUTED_VALUE"""),"Architectural")</f>
        <v>Architectural</v>
      </c>
      <c r="D433" s="6" t="str">
        <f>IFERROR(__xludf.DUMMYFUNCTION("""COMPUTED_VALUE"""),"Machine Learning")</f>
        <v>Machine Learning</v>
      </c>
    </row>
    <row r="434" ht="15.75" customHeight="1">
      <c r="A434" s="5" t="str">
        <f>IFERROR(__xludf.DUMMYFUNCTION("""COMPUTED_VALUE"""),"SCOPUS-000600")</f>
        <v>SCOPUS-000600</v>
      </c>
      <c r="B434" s="5" t="str">
        <f>IFERROR(__xludf.DUMMYFUNCTION("""COMPUTED_VALUE"""),"SCOPUS-000600-1")</f>
        <v>SCOPUS-000600-1</v>
      </c>
      <c r="C434" s="5" t="str">
        <f>IFERROR(__xludf.DUMMYFUNCTION("""COMPUTED_VALUE"""),"Architectural")</f>
        <v>Architectural</v>
      </c>
      <c r="D434" s="6" t="str">
        <f>IFERROR(__xludf.DUMMYFUNCTION("""COMPUTED_VALUE"""),"Architecture Modification")</f>
        <v>Architecture Modification</v>
      </c>
    </row>
    <row r="435" ht="15.75" customHeight="1">
      <c r="A435" s="5" t="str">
        <f>IFERROR(__xludf.DUMMYFUNCTION("""COMPUTED_VALUE"""),"SCOPUS-000620")</f>
        <v>SCOPUS-000620</v>
      </c>
      <c r="B435" s="5" t="str">
        <f>IFERROR(__xludf.DUMMYFUNCTION("""COMPUTED_VALUE"""),"SCOPUS-000620-1")</f>
        <v>SCOPUS-000620-1</v>
      </c>
      <c r="C435" s="5" t="str">
        <f>IFERROR(__xludf.DUMMYFUNCTION("""COMPUTED_VALUE"""),"Data-Centric")</f>
        <v>Data-Centric</v>
      </c>
      <c r="D435" s="6" t="str">
        <f>IFERROR(__xludf.DUMMYFUNCTION("""COMPUTED_VALUE"""),"Transfer Learning")</f>
        <v>Transfer Learning</v>
      </c>
    </row>
    <row r="436" ht="15.75" customHeight="1">
      <c r="A436" s="5" t="str">
        <f>IFERROR(__xludf.DUMMYFUNCTION("""COMPUTED_VALUE"""),"SCOPUS-000620")</f>
        <v>SCOPUS-000620</v>
      </c>
      <c r="B436" s="5" t="str">
        <f>IFERROR(__xludf.DUMMYFUNCTION("""COMPUTED_VALUE"""),"SCOPUS-000620-2")</f>
        <v>SCOPUS-000620-2</v>
      </c>
      <c r="C436" s="5" t="str">
        <f>IFERROR(__xludf.DUMMYFUNCTION("""COMPUTED_VALUE"""),"Architectural")</f>
        <v>Architectural</v>
      </c>
      <c r="D436" s="6" t="str">
        <f>IFERROR(__xludf.DUMMYFUNCTION("""COMPUTED_VALUE"""),"Few-Shot Learning")</f>
        <v>Few-Shot Learning</v>
      </c>
    </row>
    <row r="437" ht="15.75" customHeight="1">
      <c r="A437" s="5" t="str">
        <f>IFERROR(__xludf.DUMMYFUNCTION("""COMPUTED_VALUE"""),"SCOPUS-000620")</f>
        <v>SCOPUS-000620</v>
      </c>
      <c r="B437" s="5" t="str">
        <f>IFERROR(__xludf.DUMMYFUNCTION("""COMPUTED_VALUE"""),"SCOPUS-000620-3")</f>
        <v>SCOPUS-000620-3</v>
      </c>
      <c r="C437" s="5" t="str">
        <f>IFERROR(__xludf.DUMMYFUNCTION("""COMPUTED_VALUE"""),"Architectural")</f>
        <v>Architectural</v>
      </c>
      <c r="D437" s="6" t="str">
        <f>IFERROR(__xludf.DUMMYFUNCTION("""COMPUTED_VALUE"""),"Patch-Based Classification")</f>
        <v>Patch-Based Classification</v>
      </c>
    </row>
    <row r="438" ht="15.75" customHeight="1">
      <c r="A438" s="5" t="str">
        <f>IFERROR(__xludf.DUMMYFUNCTION("""COMPUTED_VALUE"""),"SCOPUS-000623")</f>
        <v>SCOPUS-000623</v>
      </c>
      <c r="B438" s="5" t="str">
        <f>IFERROR(__xludf.DUMMYFUNCTION("""COMPUTED_VALUE"""),"SCOPUS-000623-1")</f>
        <v>SCOPUS-000623-1</v>
      </c>
      <c r="C438" s="5" t="str">
        <f>IFERROR(__xludf.DUMMYFUNCTION("""COMPUTED_VALUE"""),"Data-Centric")</f>
        <v>Data-Centric</v>
      </c>
      <c r="D438" s="6" t="str">
        <f>IFERROR(__xludf.DUMMYFUNCTION("""COMPUTED_VALUE"""),"Transfer Learning")</f>
        <v>Transfer Learning</v>
      </c>
    </row>
    <row r="439" ht="15.75" customHeight="1">
      <c r="A439" s="5" t="str">
        <f>IFERROR(__xludf.DUMMYFUNCTION("""COMPUTED_VALUE"""),"SCOPUS-000623")</f>
        <v>SCOPUS-000623</v>
      </c>
      <c r="B439" s="5" t="str">
        <f>IFERROR(__xludf.DUMMYFUNCTION("""COMPUTED_VALUE"""),"SCOPUS-000623-2")</f>
        <v>SCOPUS-000623-2</v>
      </c>
      <c r="C439" s="5" t="str">
        <f>IFERROR(__xludf.DUMMYFUNCTION("""COMPUTED_VALUE"""),"Data-Centric")</f>
        <v>Data-Centric</v>
      </c>
      <c r="D439" s="6" t="str">
        <f>IFERROR(__xludf.DUMMYFUNCTION("""COMPUTED_VALUE"""),"Color Space Transformation")</f>
        <v>Color Space Transformation</v>
      </c>
    </row>
    <row r="440" ht="15.75" customHeight="1">
      <c r="A440" s="5" t="str">
        <f>IFERROR(__xludf.DUMMYFUNCTION("""COMPUTED_VALUE"""),"SCOPUS-000623")</f>
        <v>SCOPUS-000623</v>
      </c>
      <c r="B440" s="5" t="str">
        <f>IFERROR(__xludf.DUMMYFUNCTION("""COMPUTED_VALUE"""),"SCOPUS-000623-3")</f>
        <v>SCOPUS-000623-3</v>
      </c>
      <c r="C440" s="5" t="str">
        <f>IFERROR(__xludf.DUMMYFUNCTION("""COMPUTED_VALUE"""),"Data-Centric")</f>
        <v>Data-Centric</v>
      </c>
      <c r="D440" s="6" t="str">
        <f>IFERROR(__xludf.DUMMYFUNCTION("""COMPUTED_VALUE"""),"Data Processing")</f>
        <v>Data Processing</v>
      </c>
    </row>
    <row r="441" ht="15.75" customHeight="1">
      <c r="A441" s="5" t="str">
        <f>IFERROR(__xludf.DUMMYFUNCTION("""COMPUTED_VALUE"""),"SCOPUS-000626")</f>
        <v>SCOPUS-000626</v>
      </c>
      <c r="B441" s="5" t="str">
        <f>IFERROR(__xludf.DUMMYFUNCTION("""COMPUTED_VALUE"""),"SCOPUS-000626-1")</f>
        <v>SCOPUS-000626-1</v>
      </c>
      <c r="C441" s="5" t="str">
        <f>IFERROR(__xludf.DUMMYFUNCTION("""COMPUTED_VALUE"""),"Architectural")</f>
        <v>Architectural</v>
      </c>
      <c r="D441" s="6" t="str">
        <f>IFERROR(__xludf.DUMMYFUNCTION("""COMPUTED_VALUE"""),"Machine Learning")</f>
        <v>Machine Learning</v>
      </c>
    </row>
    <row r="442" ht="15.75" customHeight="1">
      <c r="A442" s="5" t="str">
        <f>IFERROR(__xludf.DUMMYFUNCTION("""COMPUTED_VALUE"""),"SCOPUS-000626")</f>
        <v>SCOPUS-000626</v>
      </c>
      <c r="B442" s="5" t="str">
        <f>IFERROR(__xludf.DUMMYFUNCTION("""COMPUTED_VALUE"""),"SCOPUS-000626-2")</f>
        <v>SCOPUS-000626-2</v>
      </c>
      <c r="C442" s="5" t="str">
        <f>IFERROR(__xludf.DUMMYFUNCTION("""COMPUTED_VALUE"""),"Data-Centric")</f>
        <v>Data-Centric</v>
      </c>
      <c r="D442" s="6" t="str">
        <f>IFERROR(__xludf.DUMMYFUNCTION("""COMPUTED_VALUE"""),"Feature Extraction")</f>
        <v>Feature Extraction</v>
      </c>
    </row>
    <row r="443" ht="15.75" customHeight="1">
      <c r="A443" s="5" t="str">
        <f>IFERROR(__xludf.DUMMYFUNCTION("""COMPUTED_VALUE"""),"SCOPUS-000626")</f>
        <v>SCOPUS-000626</v>
      </c>
      <c r="B443" s="5" t="str">
        <f>IFERROR(__xludf.DUMMYFUNCTION("""COMPUTED_VALUE"""),"SCOPUS-000626-3")</f>
        <v>SCOPUS-000626-3</v>
      </c>
      <c r="C443" s="5" t="str">
        <f>IFERROR(__xludf.DUMMYFUNCTION("""COMPUTED_VALUE"""),"Architectural")</f>
        <v>Architectural</v>
      </c>
      <c r="D443" s="6" t="str">
        <f>IFERROR(__xludf.DUMMYFUNCTION("""COMPUTED_VALUE"""),"Architecture Modification")</f>
        <v>Architecture Modification</v>
      </c>
    </row>
    <row r="444" ht="15.75" customHeight="1">
      <c r="A444" s="5" t="str">
        <f>IFERROR(__xludf.DUMMYFUNCTION("""COMPUTED_VALUE"""),"SCOPUS-000626")</f>
        <v>SCOPUS-000626</v>
      </c>
      <c r="B444" s="5" t="str">
        <f>IFERROR(__xludf.DUMMYFUNCTION("""COMPUTED_VALUE"""),"SCOPUS-000626-4")</f>
        <v>SCOPUS-000626-4</v>
      </c>
      <c r="C444" s="5" t="str">
        <f>IFERROR(__xludf.DUMMYFUNCTION("""COMPUTED_VALUE"""),"Data-Centric")</f>
        <v>Data-Centric</v>
      </c>
      <c r="D444" s="6" t="str">
        <f>IFERROR(__xludf.DUMMYFUNCTION("""COMPUTED_VALUE"""),"Data Augmentation")</f>
        <v>Data Augmentation</v>
      </c>
    </row>
    <row r="445" ht="15.75" customHeight="1">
      <c r="A445" s="5" t="str">
        <f>IFERROR(__xludf.DUMMYFUNCTION("""COMPUTED_VALUE"""),"SCOPUS-000628")</f>
        <v>SCOPUS-000628</v>
      </c>
      <c r="B445" s="5" t="str">
        <f>IFERROR(__xludf.DUMMYFUNCTION("""COMPUTED_VALUE"""),"SCOPUS-000628-1")</f>
        <v>SCOPUS-000628-1</v>
      </c>
      <c r="C445" s="5" t="str">
        <f>IFERROR(__xludf.DUMMYFUNCTION("""COMPUTED_VALUE"""),"Architectural")</f>
        <v>Architectural</v>
      </c>
      <c r="D445" s="6" t="str">
        <f>IFERROR(__xludf.DUMMYFUNCTION("""COMPUTED_VALUE"""),"Architecture Modification")</f>
        <v>Architecture Modification</v>
      </c>
    </row>
    <row r="446" ht="15.75" customHeight="1">
      <c r="A446" s="5" t="str">
        <f>IFERROR(__xludf.DUMMYFUNCTION("""COMPUTED_VALUE"""),"SCOPUS-000628")</f>
        <v>SCOPUS-000628</v>
      </c>
      <c r="B446" s="5" t="str">
        <f>IFERROR(__xludf.DUMMYFUNCTION("""COMPUTED_VALUE"""),"SCOPUS-000628-2")</f>
        <v>SCOPUS-000628-2</v>
      </c>
      <c r="C446" s="5" t="str">
        <f>IFERROR(__xludf.DUMMYFUNCTION("""COMPUTED_VALUE"""),"Architectural")</f>
        <v>Architectural</v>
      </c>
      <c r="D446" s="6" t="str">
        <f>IFERROR(__xludf.DUMMYFUNCTION("""COMPUTED_VALUE"""),"Instance Segmentation")</f>
        <v>Instance Segmentation</v>
      </c>
    </row>
    <row r="447" ht="15.75" customHeight="1">
      <c r="A447" s="5" t="str">
        <f>IFERROR(__xludf.DUMMYFUNCTION("""COMPUTED_VALUE"""),"SCOPUS-000628")</f>
        <v>SCOPUS-000628</v>
      </c>
      <c r="B447" s="5" t="str">
        <f>IFERROR(__xludf.DUMMYFUNCTION("""COMPUTED_VALUE"""),"SCOPUS-000628-3")</f>
        <v>SCOPUS-000628-3</v>
      </c>
      <c r="C447" s="5" t="str">
        <f>IFERROR(__xludf.DUMMYFUNCTION("""COMPUTED_VALUE"""),"Data-Centric")</f>
        <v>Data-Centric</v>
      </c>
      <c r="D447" s="6" t="str">
        <f>IFERROR(__xludf.DUMMYFUNCTION("""COMPUTED_VALUE"""),"Data Augmentation")</f>
        <v>Data Augmentation</v>
      </c>
    </row>
    <row r="448" ht="15.75" customHeight="1">
      <c r="A448" s="5" t="str">
        <f>IFERROR(__xludf.DUMMYFUNCTION("""COMPUTED_VALUE"""),"SCOPUS-000628")</f>
        <v>SCOPUS-000628</v>
      </c>
      <c r="B448" s="5" t="str">
        <f>IFERROR(__xludf.DUMMYFUNCTION("""COMPUTED_VALUE"""),"SCOPUS-000628-4")</f>
        <v>SCOPUS-000628-4</v>
      </c>
      <c r="C448" s="5" t="str">
        <f>IFERROR(__xludf.DUMMYFUNCTION("""COMPUTED_VALUE"""),"Data-Centric")</f>
        <v>Data-Centric</v>
      </c>
      <c r="D448" s="6" t="str">
        <f>IFERROR(__xludf.DUMMYFUNCTION("""COMPUTED_VALUE"""),"Data Processing")</f>
        <v>Data Processing</v>
      </c>
    </row>
    <row r="449" ht="15.75" customHeight="1">
      <c r="A449" s="5" t="str">
        <f>IFERROR(__xludf.DUMMYFUNCTION("""COMPUTED_VALUE"""),"SCOPUS-000676")</f>
        <v>SCOPUS-000676</v>
      </c>
      <c r="B449" s="5" t="str">
        <f>IFERROR(__xludf.DUMMYFUNCTION("""COMPUTED_VALUE"""),"SCOPUS-000676-1")</f>
        <v>SCOPUS-000676-1</v>
      </c>
      <c r="C449" s="5" t="str">
        <f>IFERROR(__xludf.DUMMYFUNCTION("""COMPUTED_VALUE"""),"Architectural")</f>
        <v>Architectural</v>
      </c>
      <c r="D449" s="6" t="str">
        <f>IFERROR(__xludf.DUMMYFUNCTION("""COMPUTED_VALUE"""),"Machine Learning")</f>
        <v>Machine Learning</v>
      </c>
    </row>
    <row r="450" ht="15.75" customHeight="1">
      <c r="A450" s="5" t="str">
        <f>IFERROR(__xludf.DUMMYFUNCTION("""COMPUTED_VALUE"""),"SCOPUS-000676")</f>
        <v>SCOPUS-000676</v>
      </c>
      <c r="B450" s="5" t="str">
        <f>IFERROR(__xludf.DUMMYFUNCTION("""COMPUTED_VALUE"""),"SCOPUS-000676-2")</f>
        <v>SCOPUS-000676-2</v>
      </c>
      <c r="C450" s="5" t="str">
        <f>IFERROR(__xludf.DUMMYFUNCTION("""COMPUTED_VALUE"""),"Data-Centric")</f>
        <v>Data-Centric</v>
      </c>
      <c r="D450" s="6" t="str">
        <f>IFERROR(__xludf.DUMMYFUNCTION("""COMPUTED_VALUE"""),"Data Processing")</f>
        <v>Data Processing</v>
      </c>
    </row>
    <row r="451" ht="15.75" customHeight="1">
      <c r="A451" s="5" t="str">
        <f>IFERROR(__xludf.DUMMYFUNCTION("""COMPUTED_VALUE"""),"SCOPUS-000676")</f>
        <v>SCOPUS-000676</v>
      </c>
      <c r="B451" s="5" t="str">
        <f>IFERROR(__xludf.DUMMYFUNCTION("""COMPUTED_VALUE"""),"SCOPUS-000676-3")</f>
        <v>SCOPUS-000676-3</v>
      </c>
      <c r="C451" s="5" t="str">
        <f>IFERROR(__xludf.DUMMYFUNCTION("""COMPUTED_VALUE"""),"Architectural")</f>
        <v>Architectural</v>
      </c>
      <c r="D451" s="6" t="str">
        <f>IFERROR(__xludf.DUMMYFUNCTION("""COMPUTED_VALUE"""),"Attention Mechanism")</f>
        <v>Attention Mechanism</v>
      </c>
    </row>
    <row r="452" ht="15.75" customHeight="1">
      <c r="A452" s="5" t="str">
        <f>IFERROR(__xludf.DUMMYFUNCTION("""COMPUTED_VALUE"""),"SCOPUS-000676")</f>
        <v>SCOPUS-000676</v>
      </c>
      <c r="B452" s="5" t="str">
        <f>IFERROR(__xludf.DUMMYFUNCTION("""COMPUTED_VALUE"""),"SCOPUS-000676-4")</f>
        <v>SCOPUS-000676-4</v>
      </c>
      <c r="C452" s="5" t="str">
        <f>IFERROR(__xludf.DUMMYFUNCTION("""COMPUTED_VALUE"""),"Architectural")</f>
        <v>Architectural</v>
      </c>
      <c r="D452" s="6" t="str">
        <f>IFERROR(__xludf.DUMMYFUNCTION("""COMPUTED_VALUE"""),"Architecture Modification")</f>
        <v>Architecture Modification</v>
      </c>
    </row>
    <row r="453" ht="15.75" customHeight="1">
      <c r="A453" s="5" t="str">
        <f>IFERROR(__xludf.DUMMYFUNCTION("""COMPUTED_VALUE"""),"SCOPUS-000753")</f>
        <v>SCOPUS-000753</v>
      </c>
      <c r="B453" s="5" t="str">
        <f>IFERROR(__xludf.DUMMYFUNCTION("""COMPUTED_VALUE"""),"SCOPUS-000753-1")</f>
        <v>SCOPUS-000753-1</v>
      </c>
      <c r="C453" s="5" t="str">
        <f>IFERROR(__xludf.DUMMYFUNCTION("""COMPUTED_VALUE"""),"Data-Centric")</f>
        <v>Data-Centric</v>
      </c>
      <c r="D453" s="6" t="str">
        <f>IFERROR(__xludf.DUMMYFUNCTION("""COMPUTED_VALUE"""),"Data Processing")</f>
        <v>Data Processing</v>
      </c>
    </row>
    <row r="454" ht="15.75" customHeight="1">
      <c r="A454" s="5" t="str">
        <f>IFERROR(__xludf.DUMMYFUNCTION("""COMPUTED_VALUE"""),"SCOPUS-000753")</f>
        <v>SCOPUS-000753</v>
      </c>
      <c r="B454" s="5" t="str">
        <f>IFERROR(__xludf.DUMMYFUNCTION("""COMPUTED_VALUE"""),"SCOPUS-000753-2")</f>
        <v>SCOPUS-000753-2</v>
      </c>
      <c r="C454" s="5" t="str">
        <f>IFERROR(__xludf.DUMMYFUNCTION("""COMPUTED_VALUE"""),"Data-Centric")</f>
        <v>Data-Centric</v>
      </c>
      <c r="D454" s="6" t="str">
        <f>IFERROR(__xludf.DUMMYFUNCTION("""COMPUTED_VALUE"""),"Data Augmentation")</f>
        <v>Data Augmentation</v>
      </c>
    </row>
    <row r="455" ht="15.75" customHeight="1">
      <c r="A455" s="5" t="str">
        <f>IFERROR(__xludf.DUMMYFUNCTION("""COMPUTED_VALUE"""),"SCOPUS-000753")</f>
        <v>SCOPUS-000753</v>
      </c>
      <c r="B455" s="5" t="str">
        <f>IFERROR(__xludf.DUMMYFUNCTION("""COMPUTED_VALUE"""),"SCOPUS-000753-3")</f>
        <v>SCOPUS-000753-3</v>
      </c>
      <c r="C455" s="5" t="str">
        <f>IFERROR(__xludf.DUMMYFUNCTION("""COMPUTED_VALUE"""),"Architectural")</f>
        <v>Architectural</v>
      </c>
      <c r="D455" s="6" t="str">
        <f>IFERROR(__xludf.DUMMYFUNCTION("""COMPUTED_VALUE"""),"Architecture Modification")</f>
        <v>Architecture Modification</v>
      </c>
    </row>
    <row r="456" ht="15.75" customHeight="1">
      <c r="A456" s="5" t="str">
        <f>IFERROR(__xludf.DUMMYFUNCTION("""COMPUTED_VALUE"""),"SCOPUS-000753")</f>
        <v>SCOPUS-000753</v>
      </c>
      <c r="B456" s="5" t="str">
        <f>IFERROR(__xludf.DUMMYFUNCTION("""COMPUTED_VALUE"""),"SCOPUS-000753-4")</f>
        <v>SCOPUS-000753-4</v>
      </c>
      <c r="C456" s="5" t="str">
        <f>IFERROR(__xludf.DUMMYFUNCTION("""COMPUTED_VALUE"""),"Data-Centric")</f>
        <v>Data-Centric</v>
      </c>
      <c r="D456" s="6" t="str">
        <f>IFERROR(__xludf.DUMMYFUNCTION("""COMPUTED_VALUE"""),"Feature Extraction")</f>
        <v>Feature Extraction</v>
      </c>
    </row>
    <row r="457" ht="15.75" customHeight="1">
      <c r="A457" s="5" t="str">
        <f>IFERROR(__xludf.DUMMYFUNCTION("""COMPUTED_VALUE"""),"WEBSCI-000421")</f>
        <v>WEBSCI-000421</v>
      </c>
      <c r="B457" s="5" t="str">
        <f>IFERROR(__xludf.DUMMYFUNCTION("""COMPUTED_VALUE"""),"WEBSCI-000421-1")</f>
        <v>WEBSCI-000421-1</v>
      </c>
      <c r="C457" s="5" t="str">
        <f>IFERROR(__xludf.DUMMYFUNCTION("""COMPUTED_VALUE"""),"Data-Centric")</f>
        <v>Data-Centric</v>
      </c>
      <c r="D457" s="6" t="str">
        <f>IFERROR(__xludf.DUMMYFUNCTION("""COMPUTED_VALUE"""),"Transfer Learning")</f>
        <v>Transfer Learning</v>
      </c>
    </row>
    <row r="458" ht="15.75" customHeight="1">
      <c r="A458" s="5" t="str">
        <f>IFERROR(__xludf.DUMMYFUNCTION("""COMPUTED_VALUE"""),"WEBSCI-000421")</f>
        <v>WEBSCI-000421</v>
      </c>
      <c r="B458" s="5" t="str">
        <f>IFERROR(__xludf.DUMMYFUNCTION("""COMPUTED_VALUE"""),"WEBSCI-000421-2")</f>
        <v>WEBSCI-000421-2</v>
      </c>
      <c r="C458" s="5" t="str">
        <f>IFERROR(__xludf.DUMMYFUNCTION("""COMPUTED_VALUE"""),"Data-Centric")</f>
        <v>Data-Centric</v>
      </c>
      <c r="D458" s="6" t="str">
        <f>IFERROR(__xludf.DUMMYFUNCTION("""COMPUTED_VALUE"""),"Data Augmentation")</f>
        <v>Data Augmentation</v>
      </c>
    </row>
    <row r="459" ht="15.75" customHeight="1">
      <c r="A459" s="5" t="str">
        <f>IFERROR(__xludf.DUMMYFUNCTION("""COMPUTED_VALUE"""),"WEBSCI-000559")</f>
        <v>WEBSCI-000559</v>
      </c>
      <c r="B459" s="5" t="str">
        <f>IFERROR(__xludf.DUMMYFUNCTION("""COMPUTED_VALUE"""),"WEBSCI-000559-1")</f>
        <v>WEBSCI-000559-1</v>
      </c>
      <c r="C459" s="5" t="str">
        <f>IFERROR(__xludf.DUMMYFUNCTION("""COMPUTED_VALUE"""),"Data-Centric")</f>
        <v>Data-Centric</v>
      </c>
      <c r="D459" s="6" t="str">
        <f>IFERROR(__xludf.DUMMYFUNCTION("""COMPUTED_VALUE"""),"Transfer Learning")</f>
        <v>Transfer Learning</v>
      </c>
    </row>
    <row r="460">
      <c r="A460" s="6" t="str">
        <f>IFERROR(__xludf.DUMMYFUNCTION("""COMPUTED_VALUE"""),"WEBSCI-000559")</f>
        <v>WEBSCI-000559</v>
      </c>
      <c r="B460" s="6" t="str">
        <f>IFERROR(__xludf.DUMMYFUNCTION("""COMPUTED_VALUE"""),"WEBSCI-000559-2")</f>
        <v>WEBSCI-000559-2</v>
      </c>
      <c r="C460" s="6" t="str">
        <f>IFERROR(__xludf.DUMMYFUNCTION("""COMPUTED_VALUE"""),"Architectural")</f>
        <v>Architectural</v>
      </c>
      <c r="D460" s="6" t="str">
        <f>IFERROR(__xludf.DUMMYFUNCTION("""COMPUTED_VALUE"""),"Attention Mechanism")</f>
        <v>Attention Mechanism</v>
      </c>
    </row>
    <row r="461">
      <c r="A461" s="6" t="str">
        <f>IFERROR(__xludf.DUMMYFUNCTION("""COMPUTED_VALUE"""),"WEBSCI-000559")</f>
        <v>WEBSCI-000559</v>
      </c>
      <c r="B461" s="6" t="str">
        <f>IFERROR(__xludf.DUMMYFUNCTION("""COMPUTED_VALUE"""),"WEBSCI-000559-3")</f>
        <v>WEBSCI-000559-3</v>
      </c>
      <c r="C461" s="6" t="str">
        <f>IFERROR(__xludf.DUMMYFUNCTION("""COMPUTED_VALUE"""),"Architectural")</f>
        <v>Architectural</v>
      </c>
      <c r="D461" s="6" t="str">
        <f>IFERROR(__xludf.DUMMYFUNCTION("""COMPUTED_VALUE"""),"Loss Function Modification")</f>
        <v>Loss Function Modification</v>
      </c>
    </row>
    <row r="462">
      <c r="A462" s="6" t="str">
        <f>IFERROR(__xludf.DUMMYFUNCTION("""COMPUTED_VALUE"""),"WEBSCI-000559")</f>
        <v>WEBSCI-000559</v>
      </c>
      <c r="B462" s="6" t="str">
        <f>IFERROR(__xludf.DUMMYFUNCTION("""COMPUTED_VALUE"""),"WEBSCI-000559-4")</f>
        <v>WEBSCI-000559-4</v>
      </c>
      <c r="C462" s="6" t="str">
        <f>IFERROR(__xludf.DUMMYFUNCTION("""COMPUTED_VALUE"""),"Data-Centric")</f>
        <v>Data-Centric</v>
      </c>
      <c r="D462" s="6" t="str">
        <f>IFERROR(__xludf.DUMMYFUNCTION("""COMPUTED_VALUE"""),"Data Augmentation")</f>
        <v>Data Augmentation</v>
      </c>
    </row>
  </sheetData>
  <conditionalFormatting sqref="A4:D462">
    <cfRule type="expression" dxfId="9" priority="1" stopIfTrue="1">
      <formula>ISEVEN(ROW())</formula>
    </cfRule>
  </conditionalFormatting>
  <conditionalFormatting sqref="A4:D462">
    <cfRule type="expression" dxfId="10" priority="2" stopIfTrue="1">
      <formula>ISODD(ROW())</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4.5"/>
    <col customWidth="1" min="2" max="2" width="18.25"/>
    <col customWidth="1" min="3" max="3" width="30.13"/>
    <col customWidth="1" min="4" max="4" width="16.38"/>
    <col customWidth="1" min="5" max="5" width="14.5"/>
    <col customWidth="1" min="6" max="6" width="12.0"/>
  </cols>
  <sheetData>
    <row r="1" ht="22.5" customHeight="1">
      <c r="A1" s="9" t="str">
        <f>IFERROR(__xludf.DUMMYFUNCTION("VSTACK(IMPORTRANGE(""https://docs.google.com/spreadsheets/d/1IG-NLlNbWxgmur-Ok920jusl5qwxm6_N-HtBuRIcbS0/edit"",""'7-Baseline Performance Results'!A1:F110""),QUERY(IMPORTRANGE(""https://docs.google.com/spreadsheets/d/1o-YvsM1EXkN6ZzOgu4zM9Uz7mmya31G7zJCOo"&amp;"nMGAME/edit"",""'7-Baseline Performance Results'!A1:F63""),""select * offset 3"",0))"),"Barriers-Results")</f>
        <v>Barriers-Results</v>
      </c>
      <c r="B1" s="9"/>
      <c r="C1" s="9"/>
      <c r="D1" s="9"/>
      <c r="E1" s="9"/>
      <c r="F1" s="9"/>
    </row>
    <row r="2" ht="19.5" customHeight="1">
      <c r="A2" s="9" t="str">
        <f>IFERROR(__xludf.DUMMYFUNCTION("""COMPUTED_VALUE"""),"One row per paper -- the criticized/baseline method and its performance")</f>
        <v>One row per paper -- the criticized/baseline method and its performance</v>
      </c>
      <c r="B2" s="9"/>
      <c r="C2" s="9"/>
      <c r="D2" s="9"/>
      <c r="E2" s="9"/>
      <c r="F2" s="9"/>
    </row>
    <row r="3" ht="19.5" customHeight="1">
      <c r="A3" s="9" t="str">
        <f>IFERROR(__xludf.DUMMYFUNCTION("""COMPUTED_VALUE"""),"Study ID")</f>
        <v>Study ID</v>
      </c>
      <c r="B3" s="9" t="str">
        <f>IFERROR(__xludf.DUMMYFUNCTION("""COMPUTED_VALUE"""),"Study Instance ID")</f>
        <v>Study Instance ID</v>
      </c>
      <c r="C3" s="9" t="str">
        <f>IFERROR(__xludf.DUMMYFUNCTION("""COMPUTED_VALUE"""),"Baseline Modules")</f>
        <v>Baseline Modules</v>
      </c>
      <c r="D3" s="9" t="str">
        <f>IFERROR(__xludf.DUMMYFUNCTION("""COMPUTED_VALUE"""),"Metric")</f>
        <v>Metric</v>
      </c>
      <c r="E3" s="9" t="str">
        <f>IFERROR(__xludf.DUMMYFUNCTION("""COMPUTED_VALUE"""),"Metric Family")</f>
        <v>Metric Family</v>
      </c>
      <c r="F3" s="9" t="str">
        <f>IFERROR(__xludf.DUMMYFUNCTION("""COMPUTED_VALUE"""),"Baseline (%)")</f>
        <v>Baseline (%)</v>
      </c>
    </row>
    <row r="4" ht="15.75" customHeight="1">
      <c r="A4" s="5" t="str">
        <f>IFERROR(__xludf.DUMMYFUNCTION("""COMPUTED_VALUE"""),"SCOPUS-000349")</f>
        <v>SCOPUS-000349</v>
      </c>
      <c r="B4" s="5" t="str">
        <f>IFERROR(__xludf.DUMMYFUNCTION("""COMPUTED_VALUE"""),"SCOPUS-000349-1")</f>
        <v>SCOPUS-000349-1</v>
      </c>
      <c r="C4" s="6" t="str">
        <f>IFERROR(__xludf.DUMMYFUNCTION("""COMPUTED_VALUE"""),"SynthNoRGN")</f>
        <v>SynthNoRGN</v>
      </c>
      <c r="D4" s="5" t="str">
        <f>IFERROR(__xludf.DUMMYFUNCTION("""COMPUTED_VALUE"""),"mIoU")</f>
        <v>mIoU</v>
      </c>
      <c r="E4" s="5" t="str">
        <f>IFERROR(__xludf.DUMMYFUNCTION("""COMPUTED_VALUE"""),"mIoU")</f>
        <v>mIoU</v>
      </c>
      <c r="F4" s="5">
        <f>IFERROR(__xludf.DUMMYFUNCTION("""COMPUTED_VALUE"""),63.3)</f>
        <v>63.3</v>
      </c>
    </row>
    <row r="5" ht="15.75" customHeight="1">
      <c r="A5" s="5" t="str">
        <f>IFERROR(__xludf.DUMMYFUNCTION("""COMPUTED_VALUE"""),"SCOPUS-000473")</f>
        <v>SCOPUS-000473</v>
      </c>
      <c r="B5" s="5" t="str">
        <f>IFERROR(__xludf.DUMMYFUNCTION("""COMPUTED_VALUE"""),"SCOPUS-000473-1")</f>
        <v>SCOPUS-000473-1</v>
      </c>
      <c r="C5" s="6" t="str">
        <f>IFERROR(__xludf.DUMMYFUNCTION("""COMPUTED_VALUE"""),"Efficientnet-V2-L")</f>
        <v>Efficientnet-V2-L</v>
      </c>
      <c r="D5" s="5" t="str">
        <f>IFERROR(__xludf.DUMMYFUNCTION("""COMPUTED_VALUE"""),"Accuracy")</f>
        <v>Accuracy</v>
      </c>
      <c r="E5" s="5" t="str">
        <f>IFERROR(__xludf.DUMMYFUNCTION("""COMPUTED_VALUE"""),"Accuracy")</f>
        <v>Accuracy</v>
      </c>
      <c r="F5" s="5">
        <f>IFERROR(__xludf.DUMMYFUNCTION("""COMPUTED_VALUE"""),85.45)</f>
        <v>85.45</v>
      </c>
    </row>
    <row r="6" ht="15.75" customHeight="1">
      <c r="A6" s="5" t="str">
        <f>IFERROR(__xludf.DUMMYFUNCTION("""COMPUTED_VALUE"""),"SCOPUS-000722")</f>
        <v>SCOPUS-000722</v>
      </c>
      <c r="B6" s="5" t="str">
        <f>IFERROR(__xludf.DUMMYFUNCTION("""COMPUTED_VALUE"""),"SCOPUS-000722-1")</f>
        <v>SCOPUS-000722-1</v>
      </c>
      <c r="C6" s="6" t="str">
        <f>IFERROR(__xludf.DUMMYFUNCTION("""COMPUTED_VALUE"""),"DeepLabV3+ VGG19")</f>
        <v>DeepLabV3+ VGG19</v>
      </c>
      <c r="D6" s="5" t="str">
        <f>IFERROR(__xludf.DUMMYFUNCTION("""COMPUTED_VALUE"""),"mIoU")</f>
        <v>mIoU</v>
      </c>
      <c r="E6" s="5" t="str">
        <f>IFERROR(__xludf.DUMMYFUNCTION("""COMPUTED_VALUE"""),"mIoU")</f>
        <v>mIoU</v>
      </c>
      <c r="F6" s="5">
        <f>IFERROR(__xludf.DUMMYFUNCTION("""COMPUTED_VALUE"""),56.4739)</f>
        <v>56.4739</v>
      </c>
    </row>
    <row r="7" ht="15.75" customHeight="1">
      <c r="A7" s="5" t="str">
        <f>IFERROR(__xludf.DUMMYFUNCTION("""COMPUTED_VALUE"""),"SCOPUS-000153")</f>
        <v>SCOPUS-000153</v>
      </c>
      <c r="B7" s="5" t="str">
        <f>IFERROR(__xludf.DUMMYFUNCTION("""COMPUTED_VALUE"""),"SCOPUS-000153-1")</f>
        <v>SCOPUS-000153-1</v>
      </c>
      <c r="C7" s="6" t="str">
        <f>IFERROR(__xludf.DUMMYFUNCTION("""COMPUTED_VALUE"""),"PAN")</f>
        <v>PAN</v>
      </c>
      <c r="D7" s="5" t="str">
        <f>IFERROR(__xludf.DUMMYFUNCTION("""COMPUTED_VALUE"""),"mIoU")</f>
        <v>mIoU</v>
      </c>
      <c r="E7" s="5" t="str">
        <f>IFERROR(__xludf.DUMMYFUNCTION("""COMPUTED_VALUE"""),"mIoU")</f>
        <v>mIoU</v>
      </c>
      <c r="F7" s="5">
        <f>IFERROR(__xludf.DUMMYFUNCTION("""COMPUTED_VALUE"""),77.93)</f>
        <v>77.93</v>
      </c>
    </row>
    <row r="8" ht="15.75" customHeight="1">
      <c r="A8" s="5" t="str">
        <f>IFERROR(__xludf.DUMMYFUNCTION("""COMPUTED_VALUE"""),"SCOPUS-000522")</f>
        <v>SCOPUS-000522</v>
      </c>
      <c r="B8" s="5" t="str">
        <f>IFERROR(__xludf.DUMMYFUNCTION("""COMPUTED_VALUE"""),"SCOPUS-000522-1")</f>
        <v>SCOPUS-000522-1</v>
      </c>
      <c r="C8" s="6" t="str">
        <f>IFERROR(__xludf.DUMMYFUNCTION("""COMPUTED_VALUE"""),"YOLOv7")</f>
        <v>YOLOv7</v>
      </c>
      <c r="D8" s="5" t="str">
        <f>IFERROR(__xludf.DUMMYFUNCTION("""COMPUTED_VALUE"""),"mAP@0.5")</f>
        <v>mAP@0.5</v>
      </c>
      <c r="E8" s="5" t="str">
        <f>IFERROR(__xludf.DUMMYFUNCTION("""COMPUTED_VALUE"""),"mAP@0.5")</f>
        <v>mAP@0.5</v>
      </c>
      <c r="F8" s="5">
        <f>IFERROR(__xludf.DUMMYFUNCTION("""COMPUTED_VALUE"""),65.346)</f>
        <v>65.346</v>
      </c>
    </row>
    <row r="9" ht="15.75" customHeight="1">
      <c r="A9" s="5" t="str">
        <f>IFERROR(__xludf.DUMMYFUNCTION("""COMPUTED_VALUE"""),"SCOPUS-000487")</f>
        <v>SCOPUS-000487</v>
      </c>
      <c r="B9" s="5" t="str">
        <f>IFERROR(__xludf.DUMMYFUNCTION("""COMPUTED_VALUE"""),"SCOPUS-000487-1")</f>
        <v>SCOPUS-000487-1</v>
      </c>
      <c r="C9" s="6" t="str">
        <f>IFERROR(__xludf.DUMMYFUNCTION("""COMPUTED_VALUE"""),"SegNet Original")</f>
        <v>SegNet Original</v>
      </c>
      <c r="D9" s="5" t="str">
        <f>IFERROR(__xludf.DUMMYFUNCTION("""COMPUTED_VALUE"""),"mIoU")</f>
        <v>mIoU</v>
      </c>
      <c r="E9" s="5" t="str">
        <f>IFERROR(__xludf.DUMMYFUNCTION("""COMPUTED_VALUE"""),"mIoU")</f>
        <v>mIoU</v>
      </c>
      <c r="F9" s="5">
        <f>IFERROR(__xludf.DUMMYFUNCTION("""COMPUTED_VALUE"""),66.0)</f>
        <v>66</v>
      </c>
    </row>
    <row r="10" ht="15.75" customHeight="1">
      <c r="A10" s="5" t="str">
        <f>IFERROR(__xludf.DUMMYFUNCTION("""COMPUTED_VALUE"""),"SCOPUS-000328")</f>
        <v>SCOPUS-000328</v>
      </c>
      <c r="B10" s="5" t="str">
        <f>IFERROR(__xludf.DUMMYFUNCTION("""COMPUTED_VALUE"""),"SCOPUS-000328-1")</f>
        <v>SCOPUS-000328-1</v>
      </c>
      <c r="C10" s="6" t="str">
        <f>IFERROR(__xludf.DUMMYFUNCTION("""COMPUTED_VALUE"""),"FCN-8s")</f>
        <v>FCN-8s</v>
      </c>
      <c r="D10" s="5" t="str">
        <f>IFERROR(__xludf.DUMMYFUNCTION("""COMPUTED_VALUE"""),"mIoU")</f>
        <v>mIoU</v>
      </c>
      <c r="E10" s="5" t="str">
        <f>IFERROR(__xludf.DUMMYFUNCTION("""COMPUTED_VALUE"""),"mIoU")</f>
        <v>mIoU</v>
      </c>
      <c r="F10" s="5">
        <f>IFERROR(__xludf.DUMMYFUNCTION("""COMPUTED_VALUE"""),72.45)</f>
        <v>72.45</v>
      </c>
    </row>
    <row r="11" ht="15.75" customHeight="1">
      <c r="A11" s="5" t="str">
        <f>IFERROR(__xludf.DUMMYFUNCTION("""COMPUTED_VALUE"""),"SCOPUS-000234")</f>
        <v>SCOPUS-000234</v>
      </c>
      <c r="B11" s="5" t="str">
        <f>IFERROR(__xludf.DUMMYFUNCTION("""COMPUTED_VALUE"""),"SCOPUS-000234-1")</f>
        <v>SCOPUS-000234-1</v>
      </c>
      <c r="C11" s="6" t="str">
        <f>IFERROR(__xludf.DUMMYFUNCTION("""COMPUTED_VALUE"""),"YOLOv3")</f>
        <v>YOLOv3</v>
      </c>
      <c r="D11" s="5" t="str">
        <f>IFERROR(__xludf.DUMMYFUNCTION("""COMPUTED_VALUE"""),"mAP@0.5")</f>
        <v>mAP@0.5</v>
      </c>
      <c r="E11" s="5" t="str">
        <f>IFERROR(__xludf.DUMMYFUNCTION("""COMPUTED_VALUE"""),"mAP@0.5")</f>
        <v>mAP@0.5</v>
      </c>
      <c r="F11" s="5">
        <f>IFERROR(__xludf.DUMMYFUNCTION("""COMPUTED_VALUE"""),73.1)</f>
        <v>73.1</v>
      </c>
    </row>
    <row r="12" ht="15.75" customHeight="1">
      <c r="A12" s="5" t="str">
        <f>IFERROR(__xludf.DUMMYFUNCTION("""COMPUTED_VALUE"""),"SCOPUS-000220")</f>
        <v>SCOPUS-000220</v>
      </c>
      <c r="B12" s="5" t="str">
        <f>IFERROR(__xludf.DUMMYFUNCTION("""COMPUTED_VALUE"""),"SCOPUS-000220-1")</f>
        <v>SCOPUS-000220-1</v>
      </c>
      <c r="C12" s="6" t="str">
        <f>IFERROR(__xludf.DUMMYFUNCTION("""COMPUTED_VALUE"""),"RT-DETR")</f>
        <v>RT-DETR</v>
      </c>
      <c r="D12" s="5" t="str">
        <f>IFERROR(__xludf.DUMMYFUNCTION("""COMPUTED_VALUE"""),"mAP@0.5")</f>
        <v>mAP@0.5</v>
      </c>
      <c r="E12" s="5" t="str">
        <f>IFERROR(__xludf.DUMMYFUNCTION("""COMPUTED_VALUE"""),"mAP@0.5")</f>
        <v>mAP@0.5</v>
      </c>
      <c r="F12" s="5">
        <f>IFERROR(__xludf.DUMMYFUNCTION("""COMPUTED_VALUE"""),76.5)</f>
        <v>76.5</v>
      </c>
    </row>
    <row r="13" ht="15.75" customHeight="1">
      <c r="A13" s="5" t="str">
        <f>IFERROR(__xludf.DUMMYFUNCTION("""COMPUTED_VALUE"""),"SCOPUS-000211")</f>
        <v>SCOPUS-000211</v>
      </c>
      <c r="B13" s="5" t="str">
        <f>IFERROR(__xludf.DUMMYFUNCTION("""COMPUTED_VALUE"""),"SCOPUS-000211-1")</f>
        <v>SCOPUS-000211-1</v>
      </c>
      <c r="C13" s="6" t="str">
        <f>IFERROR(__xludf.DUMMYFUNCTION("""COMPUTED_VALUE"""),"YOLOV3-tiny")</f>
        <v>YOLOV3-tiny</v>
      </c>
      <c r="D13" s="5" t="str">
        <f>IFERROR(__xludf.DUMMYFUNCTION("""COMPUTED_VALUE"""),"mAP@0.5")</f>
        <v>mAP@0.5</v>
      </c>
      <c r="E13" s="5" t="str">
        <f>IFERROR(__xludf.DUMMYFUNCTION("""COMPUTED_VALUE"""),"mAP@0.5")</f>
        <v>mAP@0.5</v>
      </c>
      <c r="F13" s="5">
        <f>IFERROR(__xludf.DUMMYFUNCTION("""COMPUTED_VALUE"""),83.9)</f>
        <v>83.9</v>
      </c>
    </row>
    <row r="14" ht="15.75" customHeight="1">
      <c r="A14" s="5" t="str">
        <f>IFERROR(__xludf.DUMMYFUNCTION("""COMPUTED_VALUE"""),"SCOPUS-000195")</f>
        <v>SCOPUS-000195</v>
      </c>
      <c r="B14" s="5" t="str">
        <f>IFERROR(__xludf.DUMMYFUNCTION("""COMPUTED_VALUE"""),"SCOPUS-000195-1")</f>
        <v>SCOPUS-000195-1</v>
      </c>
      <c r="C14" s="6" t="str">
        <f>IFERROR(__xludf.DUMMYFUNCTION("""COMPUTED_VALUE"""),"Model 2")</f>
        <v>Model 2</v>
      </c>
      <c r="D14" s="5" t="str">
        <f>IFERROR(__xludf.DUMMYFUNCTION("""COMPUTED_VALUE"""),"Accuracy")</f>
        <v>Accuracy</v>
      </c>
      <c r="E14" s="5" t="str">
        <f>IFERROR(__xludf.DUMMYFUNCTION("""COMPUTED_VALUE"""),"Accuracy")</f>
        <v>Accuracy</v>
      </c>
      <c r="F14" s="5">
        <f>IFERROR(__xludf.DUMMYFUNCTION("""COMPUTED_VALUE"""),40.0)</f>
        <v>40</v>
      </c>
    </row>
    <row r="15" ht="15.75" customHeight="1">
      <c r="A15" s="5" t="str">
        <f>IFERROR(__xludf.DUMMYFUNCTION("""COMPUTED_VALUE"""),"SCOPUS-000139")</f>
        <v>SCOPUS-000139</v>
      </c>
      <c r="B15" s="5" t="str">
        <f>IFERROR(__xludf.DUMMYFUNCTION("""COMPUTED_VALUE"""),"SCOPUS-000139-1")</f>
        <v>SCOPUS-000139-1</v>
      </c>
      <c r="C15" s="6" t="str">
        <f>IFERROR(__xludf.DUMMYFUNCTION("""COMPUTED_VALUE"""),"YOLOv10n")</f>
        <v>YOLOv10n</v>
      </c>
      <c r="D15" s="5" t="str">
        <f>IFERROR(__xludf.DUMMYFUNCTION("""COMPUTED_VALUE"""),"mAP@0.5")</f>
        <v>mAP@0.5</v>
      </c>
      <c r="E15" s="5" t="str">
        <f>IFERROR(__xludf.DUMMYFUNCTION("""COMPUTED_VALUE"""),"mAP@0.5")</f>
        <v>mAP@0.5</v>
      </c>
      <c r="F15" s="5">
        <f>IFERROR(__xludf.DUMMYFUNCTION("""COMPUTED_VALUE"""),78.7)</f>
        <v>78.7</v>
      </c>
    </row>
    <row r="16" ht="15.75" customHeight="1">
      <c r="A16" s="5" t="str">
        <f>IFERROR(__xludf.DUMMYFUNCTION("""COMPUTED_VALUE"""),"SCOPUS-000045")</f>
        <v>SCOPUS-000045</v>
      </c>
      <c r="B16" s="5" t="str">
        <f>IFERROR(__xludf.DUMMYFUNCTION("""COMPUTED_VALUE"""),"SCOPUS-000045-1")</f>
        <v>SCOPUS-000045-1</v>
      </c>
      <c r="C16" s="6" t="str">
        <f>IFERROR(__xludf.DUMMYFUNCTION("""COMPUTED_VALUE"""),"Original (RGB)")</f>
        <v>Original (RGB)</v>
      </c>
      <c r="D16" s="5" t="str">
        <f>IFERROR(__xludf.DUMMYFUNCTION("""COMPUTED_VALUE"""),"mIoU")</f>
        <v>mIoU</v>
      </c>
      <c r="E16" s="5" t="str">
        <f>IFERROR(__xludf.DUMMYFUNCTION("""COMPUTED_VALUE"""),"mIoU")</f>
        <v>mIoU</v>
      </c>
      <c r="F16" s="5">
        <f>IFERROR(__xludf.DUMMYFUNCTION("""COMPUTED_VALUE"""),70.0)</f>
        <v>70</v>
      </c>
    </row>
    <row r="17" ht="15.75" customHeight="1">
      <c r="A17" s="5" t="str">
        <f>IFERROR(__xludf.DUMMYFUNCTION("""COMPUTED_VALUE"""),"SCOPUS-000031")</f>
        <v>SCOPUS-000031</v>
      </c>
      <c r="B17" s="5" t="str">
        <f>IFERROR(__xludf.DUMMYFUNCTION("""COMPUTED_VALUE"""),"SCOPUS-000031-1")</f>
        <v>SCOPUS-000031-1</v>
      </c>
      <c r="C17" s="6" t="str">
        <f>IFERROR(__xludf.DUMMYFUNCTION("""COMPUTED_VALUE"""),"FCN")</f>
        <v>FCN</v>
      </c>
      <c r="D17" s="5" t="str">
        <f>IFERROR(__xludf.DUMMYFUNCTION("""COMPUTED_VALUE"""),"mIoU")</f>
        <v>mIoU</v>
      </c>
      <c r="E17" s="5" t="str">
        <f>IFERROR(__xludf.DUMMYFUNCTION("""COMPUTED_VALUE"""),"mIoU")</f>
        <v>mIoU</v>
      </c>
      <c r="F17" s="5">
        <f>IFERROR(__xludf.DUMMYFUNCTION("""COMPUTED_VALUE"""),52.0)</f>
        <v>52</v>
      </c>
    </row>
    <row r="18" ht="15.75" customHeight="1">
      <c r="A18" s="5" t="str">
        <f>IFERROR(__xludf.DUMMYFUNCTION("""COMPUTED_VALUE"""),"SCOPUS-000014")</f>
        <v>SCOPUS-000014</v>
      </c>
      <c r="B18" s="5" t="str">
        <f>IFERROR(__xludf.DUMMYFUNCTION("""COMPUTED_VALUE"""),"SCOPUS-000014-1")</f>
        <v>SCOPUS-000014-1</v>
      </c>
      <c r="C18" s="6" t="str">
        <f>IFERROR(__xludf.DUMMYFUNCTION("""COMPUTED_VALUE"""),"RetinaNet")</f>
        <v>RetinaNet</v>
      </c>
      <c r="D18" s="5" t="str">
        <f>IFERROR(__xludf.DUMMYFUNCTION("""COMPUTED_VALUE"""),"mAP@0.5")</f>
        <v>mAP@0.5</v>
      </c>
      <c r="E18" s="5" t="str">
        <f>IFERROR(__xludf.DUMMYFUNCTION("""COMPUTED_VALUE"""),"mAP@0.5")</f>
        <v>mAP@0.5</v>
      </c>
      <c r="F18" s="5">
        <f>IFERROR(__xludf.DUMMYFUNCTION("""COMPUTED_VALUE"""),54.7)</f>
        <v>54.7</v>
      </c>
    </row>
    <row r="19" ht="15.75" customHeight="1">
      <c r="A19" s="5" t="str">
        <f>IFERROR(__xludf.DUMMYFUNCTION("""COMPUTED_VALUE"""),"SCOPUS-000544")</f>
        <v>SCOPUS-000544</v>
      </c>
      <c r="B19" s="5" t="str">
        <f>IFERROR(__xludf.DUMMYFUNCTION("""COMPUTED_VALUE"""),"SCOPUS-000544-1")</f>
        <v>SCOPUS-000544-1</v>
      </c>
      <c r="C19" s="6" t="str">
        <f>IFERROR(__xludf.DUMMYFUNCTION("""COMPUTED_VALUE"""),"ResNet50 backbone (with data enhancement)")</f>
        <v>ResNet50 backbone (with data enhancement)</v>
      </c>
      <c r="D19" s="5" t="str">
        <f>IFERROR(__xludf.DUMMYFUNCTION("""COMPUTED_VALUE"""),"mIoU")</f>
        <v>mIoU</v>
      </c>
      <c r="E19" s="5" t="str">
        <f>IFERROR(__xludf.DUMMYFUNCTION("""COMPUTED_VALUE"""),"mIoU")</f>
        <v>mIoU</v>
      </c>
      <c r="F19" s="5">
        <f>IFERROR(__xludf.DUMMYFUNCTION("""COMPUTED_VALUE"""),50.2)</f>
        <v>50.2</v>
      </c>
    </row>
    <row r="20" ht="15.75" customHeight="1">
      <c r="A20" s="5" t="str">
        <f>IFERROR(__xludf.DUMMYFUNCTION("""COMPUTED_VALUE"""),"SCOPUS-000592")</f>
        <v>SCOPUS-000592</v>
      </c>
      <c r="B20" s="5" t="str">
        <f>IFERROR(__xludf.DUMMYFUNCTION("""COMPUTED_VALUE"""),"SCOPUS-000592-1")</f>
        <v>SCOPUS-000592-1</v>
      </c>
      <c r="C20" s="6" t="str">
        <f>IFERROR(__xludf.DUMMYFUNCTION("""COMPUTED_VALUE"""),"PSPNet")</f>
        <v>PSPNet</v>
      </c>
      <c r="D20" s="5" t="str">
        <f>IFERROR(__xludf.DUMMYFUNCTION("""COMPUTED_VALUE"""),"mIoU")</f>
        <v>mIoU</v>
      </c>
      <c r="E20" s="5" t="str">
        <f>IFERROR(__xludf.DUMMYFUNCTION("""COMPUTED_VALUE"""),"mIoU")</f>
        <v>mIoU</v>
      </c>
      <c r="F20" s="5">
        <f>IFERROR(__xludf.DUMMYFUNCTION("""COMPUTED_VALUE"""),79.05)</f>
        <v>79.05</v>
      </c>
    </row>
    <row r="21" ht="15.75" customHeight="1">
      <c r="A21" s="5" t="str">
        <f>IFERROR(__xludf.DUMMYFUNCTION("""COMPUTED_VALUE"""),"SCOPUS-000629")</f>
        <v>SCOPUS-000629</v>
      </c>
      <c r="B21" s="5" t="str">
        <f>IFERROR(__xludf.DUMMYFUNCTION("""COMPUTED_VALUE"""),"SCOPUS-000629-1")</f>
        <v>SCOPUS-000629-1</v>
      </c>
      <c r="C21" s="6" t="str">
        <f>IFERROR(__xludf.DUMMYFUNCTION("""COMPUTED_VALUE"""),"RetinaNet (model 5-R)")</f>
        <v>RetinaNet (model 5-R)</v>
      </c>
      <c r="D21" s="5" t="str">
        <f>IFERROR(__xludf.DUMMYFUNCTION("""COMPUTED_VALUE"""),"mAP@0.5")</f>
        <v>mAP@0.5</v>
      </c>
      <c r="E21" s="5" t="str">
        <f>IFERROR(__xludf.DUMMYFUNCTION("""COMPUTED_VALUE"""),"mAP@0.5")</f>
        <v>mAP@0.5</v>
      </c>
      <c r="F21" s="5">
        <f>IFERROR(__xludf.DUMMYFUNCTION("""COMPUTED_VALUE"""),83.7)</f>
        <v>83.7</v>
      </c>
    </row>
    <row r="22" ht="15.75" customHeight="1">
      <c r="A22" s="5" t="str">
        <f>IFERROR(__xludf.DUMMYFUNCTION("""COMPUTED_VALUE"""),"SCOPUS-000475")</f>
        <v>SCOPUS-000475</v>
      </c>
      <c r="B22" s="5" t="str">
        <f>IFERROR(__xludf.DUMMYFUNCTION("""COMPUTED_VALUE"""),"SCOPUS-000475-1")</f>
        <v>SCOPUS-000475-1</v>
      </c>
      <c r="C22" s="6" t="str">
        <f>IFERROR(__xludf.DUMMYFUNCTION("""COMPUTED_VALUE"""),"PSPNet")</f>
        <v>PSPNet</v>
      </c>
      <c r="D22" s="5" t="str">
        <f>IFERROR(__xludf.DUMMYFUNCTION("""COMPUTED_VALUE"""),"mIoU")</f>
        <v>mIoU</v>
      </c>
      <c r="E22" s="5" t="str">
        <f>IFERROR(__xludf.DUMMYFUNCTION("""COMPUTED_VALUE"""),"mIoU")</f>
        <v>mIoU</v>
      </c>
      <c r="F22" s="5">
        <f>IFERROR(__xludf.DUMMYFUNCTION("""COMPUTED_VALUE"""),55.95)</f>
        <v>55.95</v>
      </c>
    </row>
    <row r="23" ht="15.75" customHeight="1">
      <c r="A23" s="5" t="str">
        <f>IFERROR(__xludf.DUMMYFUNCTION("""COMPUTED_VALUE"""),"SCOPUS-000399")</f>
        <v>SCOPUS-000399</v>
      </c>
      <c r="B23" s="5" t="str">
        <f>IFERROR(__xludf.DUMMYFUNCTION("""COMPUTED_VALUE"""),"SCOPUS-000399-1")</f>
        <v>SCOPUS-000399-1</v>
      </c>
      <c r="C23" s="6" t="str">
        <f>IFERROR(__xludf.DUMMYFUNCTION("""COMPUTED_VALUE"""),"WacGAN-info")</f>
        <v>WacGAN-info</v>
      </c>
      <c r="D23" s="5" t="str">
        <f>IFERROR(__xludf.DUMMYFUNCTION("""COMPUTED_VALUE"""),"Accuracy")</f>
        <v>Accuracy</v>
      </c>
      <c r="E23" s="5" t="str">
        <f>IFERROR(__xludf.DUMMYFUNCTION("""COMPUTED_VALUE"""),"Accuracy")</f>
        <v>Accuracy</v>
      </c>
      <c r="F23" s="5">
        <f>IFERROR(__xludf.DUMMYFUNCTION("""COMPUTED_VALUE"""),72.7)</f>
        <v>72.7</v>
      </c>
    </row>
    <row r="24" ht="15.75" customHeight="1">
      <c r="A24" s="5" t="str">
        <f>IFERROR(__xludf.DUMMYFUNCTION("""COMPUTED_VALUE"""),"SCOPUS-000323")</f>
        <v>SCOPUS-000323</v>
      </c>
      <c r="B24" s="5" t="str">
        <f>IFERROR(__xludf.DUMMYFUNCTION("""COMPUTED_VALUE"""),"SCOPUS-000323-1")</f>
        <v>SCOPUS-000323-1</v>
      </c>
      <c r="C24" s="6" t="str">
        <f>IFERROR(__xludf.DUMMYFUNCTION("""COMPUTED_VALUE"""),"AlexNet")</f>
        <v>AlexNet</v>
      </c>
      <c r="D24" s="5" t="str">
        <f>IFERROR(__xludf.DUMMYFUNCTION("""COMPUTED_VALUE"""),"Accuracy")</f>
        <v>Accuracy</v>
      </c>
      <c r="E24" s="5" t="str">
        <f>IFERROR(__xludf.DUMMYFUNCTION("""COMPUTED_VALUE"""),"Accuracy")</f>
        <v>Accuracy</v>
      </c>
      <c r="F24" s="5">
        <f>IFERROR(__xludf.DUMMYFUNCTION("""COMPUTED_VALUE"""),84.92)</f>
        <v>84.92</v>
      </c>
    </row>
    <row r="25" ht="15.75" customHeight="1">
      <c r="A25" s="5" t="str">
        <f>IFERROR(__xludf.DUMMYFUNCTION("""COMPUTED_VALUE"""),"SCOPUS-000295")</f>
        <v>SCOPUS-000295</v>
      </c>
      <c r="B25" s="5" t="str">
        <f>IFERROR(__xludf.DUMMYFUNCTION("""COMPUTED_VALUE"""),"SCOPUS-000295-1")</f>
        <v>SCOPUS-000295-1</v>
      </c>
      <c r="C25" s="6" t="str">
        <f>IFERROR(__xludf.DUMMYFUNCTION("""COMPUTED_VALUE"""),"FCOS-R50")</f>
        <v>FCOS-R50</v>
      </c>
      <c r="D25" s="5" t="str">
        <f>IFERROR(__xludf.DUMMYFUNCTION("""COMPUTED_VALUE"""),"mAP@0.5")</f>
        <v>mAP@0.5</v>
      </c>
      <c r="E25" s="5" t="str">
        <f>IFERROR(__xludf.DUMMYFUNCTION("""COMPUTED_VALUE"""),"mAP@0.5")</f>
        <v>mAP@0.5</v>
      </c>
      <c r="F25" s="5">
        <f>IFERROR(__xludf.DUMMYFUNCTION("""COMPUTED_VALUE"""),79.2)</f>
        <v>79.2</v>
      </c>
    </row>
    <row r="26" ht="15.75" customHeight="1">
      <c r="A26" s="5" t="str">
        <f>IFERROR(__xludf.DUMMYFUNCTION("""COMPUTED_VALUE"""),"SCOPUS-000611")</f>
        <v>SCOPUS-000611</v>
      </c>
      <c r="B26" s="5" t="str">
        <f>IFERROR(__xludf.DUMMYFUNCTION("""COMPUTED_VALUE"""),"SCOPUS-000611-1")</f>
        <v>SCOPUS-000611-1</v>
      </c>
      <c r="C26" s="6" t="str">
        <f>IFERROR(__xludf.DUMMYFUNCTION("""COMPUTED_VALUE"""),"Base Model")</f>
        <v>Base Model</v>
      </c>
      <c r="D26" s="5" t="str">
        <f>IFERROR(__xludf.DUMMYFUNCTION("""COMPUTED_VALUE"""),"Accuracy")</f>
        <v>Accuracy</v>
      </c>
      <c r="E26" s="5" t="str">
        <f>IFERROR(__xludf.DUMMYFUNCTION("""COMPUTED_VALUE"""),"Accuracy")</f>
        <v>Accuracy</v>
      </c>
      <c r="F26" s="5">
        <f>IFERROR(__xludf.DUMMYFUNCTION("""COMPUTED_VALUE"""),97.0)</f>
        <v>97</v>
      </c>
    </row>
    <row r="27" ht="15.75" customHeight="1">
      <c r="A27" s="5" t="str">
        <f>IFERROR(__xludf.DUMMYFUNCTION("""COMPUTED_VALUE"""),"SCOPUS-000738")</f>
        <v>SCOPUS-000738</v>
      </c>
      <c r="B27" s="5" t="str">
        <f>IFERROR(__xludf.DUMMYFUNCTION("""COMPUTED_VALUE"""),"SCOPUS-000738-1")</f>
        <v>SCOPUS-000738-1</v>
      </c>
      <c r="C27" s="6" t="str">
        <f>IFERROR(__xludf.DUMMYFUNCTION("""COMPUTED_VALUE"""),"Deeplab")</f>
        <v>Deeplab</v>
      </c>
      <c r="D27" s="5" t="str">
        <f>IFERROR(__xludf.DUMMYFUNCTION("""COMPUTED_VALUE"""),"Accuracy")</f>
        <v>Accuracy</v>
      </c>
      <c r="E27" s="5" t="str">
        <f>IFERROR(__xludf.DUMMYFUNCTION("""COMPUTED_VALUE"""),"Accuracy")</f>
        <v>Accuracy</v>
      </c>
      <c r="F27" s="5">
        <f>IFERROR(__xludf.DUMMYFUNCTION("""COMPUTED_VALUE"""),76.8)</f>
        <v>76.8</v>
      </c>
    </row>
    <row r="28" ht="15.75" customHeight="1">
      <c r="A28" s="5" t="str">
        <f>IFERROR(__xludf.DUMMYFUNCTION("""COMPUTED_VALUE"""),"SCOPUS-000114")</f>
        <v>SCOPUS-000114</v>
      </c>
      <c r="B28" s="5" t="str">
        <f>IFERROR(__xludf.DUMMYFUNCTION("""COMPUTED_VALUE"""),"SCOPUS-000114-1")</f>
        <v>SCOPUS-000114-1</v>
      </c>
      <c r="C28" s="6" t="str">
        <f>IFERROR(__xludf.DUMMYFUNCTION("""COMPUTED_VALUE"""),"SVM")</f>
        <v>SVM</v>
      </c>
      <c r="D28" s="5" t="str">
        <f>IFERROR(__xludf.DUMMYFUNCTION("""COMPUTED_VALUE"""),"Accuracy")</f>
        <v>Accuracy</v>
      </c>
      <c r="E28" s="5" t="str">
        <f>IFERROR(__xludf.DUMMYFUNCTION("""COMPUTED_VALUE"""),"Accuracy")</f>
        <v>Accuracy</v>
      </c>
      <c r="F28" s="5">
        <f>IFERROR(__xludf.DUMMYFUNCTION("""COMPUTED_VALUE"""),85.1)</f>
        <v>85.1</v>
      </c>
    </row>
    <row r="29" ht="15.75" customHeight="1">
      <c r="A29" s="5" t="str">
        <f>IFERROR(__xludf.DUMMYFUNCTION("""COMPUTED_VALUE"""),"SCOPUS-000366")</f>
        <v>SCOPUS-000366</v>
      </c>
      <c r="B29" s="5" t="str">
        <f>IFERROR(__xludf.DUMMYFUNCTION("""COMPUTED_VALUE"""),"SCOPUS-000366-1")</f>
        <v>SCOPUS-000366-1</v>
      </c>
      <c r="C29" s="6" t="str">
        <f>IFERROR(__xludf.DUMMYFUNCTION("""COMPUTED_VALUE"""),"LBP")</f>
        <v>LBP</v>
      </c>
      <c r="D29" s="5" t="str">
        <f>IFERROR(__xludf.DUMMYFUNCTION("""COMPUTED_VALUE"""),"Accuracy")</f>
        <v>Accuracy</v>
      </c>
      <c r="E29" s="5" t="str">
        <f>IFERROR(__xludf.DUMMYFUNCTION("""COMPUTED_VALUE"""),"Accuracy")</f>
        <v>Accuracy</v>
      </c>
      <c r="F29" s="5">
        <f>IFERROR(__xludf.DUMMYFUNCTION("""COMPUTED_VALUE"""),60.0)</f>
        <v>60</v>
      </c>
    </row>
    <row r="30" ht="15.75" customHeight="1">
      <c r="A30" s="5" t="str">
        <f>IFERROR(__xludf.DUMMYFUNCTION("""COMPUTED_VALUE"""),"SCOPUS-000283")</f>
        <v>SCOPUS-000283</v>
      </c>
      <c r="B30" s="5" t="str">
        <f>IFERROR(__xludf.DUMMYFUNCTION("""COMPUTED_VALUE"""),"SCOPUS-000283-1")</f>
        <v>SCOPUS-000283-1</v>
      </c>
      <c r="C30" s="6" t="str">
        <f>IFERROR(__xludf.DUMMYFUNCTION("""COMPUTED_VALUE"""),"SSD")</f>
        <v>SSD</v>
      </c>
      <c r="D30" s="5" t="str">
        <f>IFERROR(__xludf.DUMMYFUNCTION("""COMPUTED_VALUE"""),"mAP@0.5")</f>
        <v>mAP@0.5</v>
      </c>
      <c r="E30" s="5" t="str">
        <f>IFERROR(__xludf.DUMMYFUNCTION("""COMPUTED_VALUE"""),"mAP@0.5")</f>
        <v>mAP@0.5</v>
      </c>
      <c r="F30" s="5">
        <f>IFERROR(__xludf.DUMMYFUNCTION("""COMPUTED_VALUE"""),80.7)</f>
        <v>80.7</v>
      </c>
    </row>
    <row r="31" ht="15.75" customHeight="1">
      <c r="A31" s="5" t="str">
        <f>IFERROR(__xludf.DUMMYFUNCTION("""COMPUTED_VALUE"""),"SCOPUS-000276")</f>
        <v>SCOPUS-000276</v>
      </c>
      <c r="B31" s="5" t="str">
        <f>IFERROR(__xludf.DUMMYFUNCTION("""COMPUTED_VALUE"""),"SCOPUS-000276-1")</f>
        <v>SCOPUS-000276-1</v>
      </c>
      <c r="C31" s="6" t="str">
        <f>IFERROR(__xludf.DUMMYFUNCTION("""COMPUTED_VALUE"""),"MatchNet")</f>
        <v>MatchNet</v>
      </c>
      <c r="D31" s="5" t="str">
        <f>IFERROR(__xludf.DUMMYFUNCTION("""COMPUTED_VALUE"""),"Accuracy")</f>
        <v>Accuracy</v>
      </c>
      <c r="E31" s="5" t="str">
        <f>IFERROR(__xludf.DUMMYFUNCTION("""COMPUTED_VALUE"""),"Accuracy")</f>
        <v>Accuracy</v>
      </c>
      <c r="F31" s="5">
        <f>IFERROR(__xludf.DUMMYFUNCTION("""COMPUTED_VALUE"""),61.6)</f>
        <v>61.6</v>
      </c>
    </row>
    <row r="32" ht="15.75" customHeight="1">
      <c r="A32" s="5" t="str">
        <f>IFERROR(__xludf.DUMMYFUNCTION("""COMPUTED_VALUE"""),"SCOPUS-000246")</f>
        <v>SCOPUS-000246</v>
      </c>
      <c r="B32" s="5" t="str">
        <f>IFERROR(__xludf.DUMMYFUNCTION("""COMPUTED_VALUE"""),"SCOPUS-000246-1")</f>
        <v>SCOPUS-000246-1</v>
      </c>
      <c r="C32" s="6" t="str">
        <f>IFERROR(__xludf.DUMMYFUNCTION("""COMPUTED_VALUE"""),"DeepLabv3+ (without Adain/DGB/RAIN, Table 3)")</f>
        <v>DeepLabv3+ (without Adain/DGB/RAIN, Table 3)</v>
      </c>
      <c r="D32" s="5" t="str">
        <f>IFERROR(__xludf.DUMMYFUNCTION("""COMPUTED_VALUE"""),"mIoU")</f>
        <v>mIoU</v>
      </c>
      <c r="E32" s="5" t="str">
        <f>IFERROR(__xludf.DUMMYFUNCTION("""COMPUTED_VALUE"""),"mIoU")</f>
        <v>mIoU</v>
      </c>
      <c r="F32" s="5">
        <f>IFERROR(__xludf.DUMMYFUNCTION("""COMPUTED_VALUE"""),11.87)</f>
        <v>11.87</v>
      </c>
    </row>
    <row r="33" ht="15.75" customHeight="1">
      <c r="A33" s="5" t="str">
        <f>IFERROR(__xludf.DUMMYFUNCTION("""COMPUTED_VALUE"""),"SCOPUS-000599")</f>
        <v>SCOPUS-000599</v>
      </c>
      <c r="B33" s="5" t="str">
        <f>IFERROR(__xludf.DUMMYFUNCTION("""COMPUTED_VALUE"""),"SCOPUS-000599-1")</f>
        <v>SCOPUS-000599-1</v>
      </c>
      <c r="C33" s="6" t="str">
        <f>IFERROR(__xludf.DUMMYFUNCTION("""COMPUTED_VALUE"""),"CNN")</f>
        <v>CNN</v>
      </c>
      <c r="D33" s="5" t="str">
        <f>IFERROR(__xludf.DUMMYFUNCTION("""COMPUTED_VALUE"""),"Accuracy")</f>
        <v>Accuracy</v>
      </c>
      <c r="E33" s="5" t="str">
        <f>IFERROR(__xludf.DUMMYFUNCTION("""COMPUTED_VALUE"""),"Accuracy")</f>
        <v>Accuracy</v>
      </c>
      <c r="F33" s="5">
        <f>IFERROR(__xludf.DUMMYFUNCTION("""COMPUTED_VALUE"""),74.0)</f>
        <v>74</v>
      </c>
    </row>
    <row r="34" ht="15.75" customHeight="1">
      <c r="A34" s="5" t="str">
        <f>IFERROR(__xludf.DUMMYFUNCTION("""COMPUTED_VALUE"""),"SCOPUS-000280")</f>
        <v>SCOPUS-000280</v>
      </c>
      <c r="B34" s="5" t="str">
        <f>IFERROR(__xludf.DUMMYFUNCTION("""COMPUTED_VALUE"""),"SCOPUS-000280-1")</f>
        <v>SCOPUS-000280-1</v>
      </c>
      <c r="C34" s="6" t="str">
        <f>IFERROR(__xludf.DUMMYFUNCTION("""COMPUTED_VALUE"""),"YOLOv8n")</f>
        <v>YOLOv8n</v>
      </c>
      <c r="D34" s="5" t="str">
        <f>IFERROR(__xludf.DUMMYFUNCTION("""COMPUTED_VALUE"""),"mAP@0.5")</f>
        <v>mAP@0.5</v>
      </c>
      <c r="E34" s="5" t="str">
        <f>IFERROR(__xludf.DUMMYFUNCTION("""COMPUTED_VALUE"""),"mAP@0.5")</f>
        <v>mAP@0.5</v>
      </c>
      <c r="F34" s="5">
        <f>IFERROR(__xludf.DUMMYFUNCTION("""COMPUTED_VALUE"""),79.85)</f>
        <v>79.85</v>
      </c>
    </row>
    <row r="35" ht="15.75" customHeight="1">
      <c r="A35" s="5" t="str">
        <f>IFERROR(__xludf.DUMMYFUNCTION("""COMPUTED_VALUE"""),"SCOPUS-000063")</f>
        <v>SCOPUS-000063</v>
      </c>
      <c r="B35" s="5" t="str">
        <f>IFERROR(__xludf.DUMMYFUNCTION("""COMPUTED_VALUE"""),"SCOPUS-000063-1")</f>
        <v>SCOPUS-000063-1</v>
      </c>
      <c r="C35" s="6" t="str">
        <f>IFERROR(__xludf.DUMMYFUNCTION("""COMPUTED_VALUE"""),"FasterRCNN (VGG16)")</f>
        <v>FasterRCNN (VGG16)</v>
      </c>
      <c r="D35" s="5" t="str">
        <f>IFERROR(__xludf.DUMMYFUNCTION("""COMPUTED_VALUE"""),"mAP@0.5")</f>
        <v>mAP@0.5</v>
      </c>
      <c r="E35" s="5" t="str">
        <f>IFERROR(__xludf.DUMMYFUNCTION("""COMPUTED_VALUE"""),"mAP@0.5")</f>
        <v>mAP@0.5</v>
      </c>
      <c r="F35" s="5">
        <f>IFERROR(__xludf.DUMMYFUNCTION("""COMPUTED_VALUE"""),81.0)</f>
        <v>81</v>
      </c>
    </row>
    <row r="36" ht="15.75" customHeight="1">
      <c r="A36" s="5" t="str">
        <f>IFERROR(__xludf.DUMMYFUNCTION("""COMPUTED_VALUE"""),"SCOPUS-000017")</f>
        <v>SCOPUS-000017</v>
      </c>
      <c r="B36" s="5" t="str">
        <f>IFERROR(__xludf.DUMMYFUNCTION("""COMPUTED_VALUE"""),"SCOPUS-000017-1")</f>
        <v>SCOPUS-000017-1</v>
      </c>
      <c r="C36" s="6" t="str">
        <f>IFERROR(__xludf.DUMMYFUNCTION("""COMPUTED_VALUE"""),"DeepLabV3+ MobileNetV2")</f>
        <v>DeepLabV3+ MobileNetV2</v>
      </c>
      <c r="D36" s="5" t="str">
        <f>IFERROR(__xludf.DUMMYFUNCTION("""COMPUTED_VALUE"""),"mIoU")</f>
        <v>mIoU</v>
      </c>
      <c r="E36" s="5" t="str">
        <f>IFERROR(__xludf.DUMMYFUNCTION("""COMPUTED_VALUE"""),"mIoU")</f>
        <v>mIoU</v>
      </c>
      <c r="F36" s="5">
        <f>IFERROR(__xludf.DUMMYFUNCTION("""COMPUTED_VALUE"""),59.87)</f>
        <v>59.87</v>
      </c>
    </row>
    <row r="37" ht="15.75" customHeight="1">
      <c r="A37" s="5" t="str">
        <f>IFERROR(__xludf.DUMMYFUNCTION("""COMPUTED_VALUE"""),"SCOPUS-000244")</f>
        <v>SCOPUS-000244</v>
      </c>
      <c r="B37" s="5" t="str">
        <f>IFERROR(__xludf.DUMMYFUNCTION("""COMPUTED_VALUE"""),"SCOPUS-000244-1")</f>
        <v>SCOPUS-000244-1</v>
      </c>
      <c r="C37" s="6" t="str">
        <f>IFERROR(__xludf.DUMMYFUNCTION("""COMPUTED_VALUE"""),"BYOL")</f>
        <v>BYOL</v>
      </c>
      <c r="D37" s="5" t="str">
        <f>IFERROR(__xludf.DUMMYFUNCTION("""COMPUTED_VALUE"""),"Top-1 Accuracy")</f>
        <v>Top-1 Accuracy</v>
      </c>
      <c r="E37" s="5" t="str">
        <f>IFERROR(__xludf.DUMMYFUNCTION("""COMPUTED_VALUE"""),"Accuracy")</f>
        <v>Accuracy</v>
      </c>
      <c r="F37" s="5">
        <f>IFERROR(__xludf.DUMMYFUNCTION("""COMPUTED_VALUE"""),69.08)</f>
        <v>69.08</v>
      </c>
    </row>
    <row r="38" ht="15.75" customHeight="1">
      <c r="A38" s="5" t="str">
        <f>IFERROR(__xludf.DUMMYFUNCTION("""COMPUTED_VALUE"""),"SCOPUS-000320")</f>
        <v>SCOPUS-000320</v>
      </c>
      <c r="B38" s="5" t="str">
        <f>IFERROR(__xludf.DUMMYFUNCTION("""COMPUTED_VALUE"""),"SCOPUS-000320-1")</f>
        <v>SCOPUS-000320-1</v>
      </c>
      <c r="C38" s="6" t="str">
        <f>IFERROR(__xludf.DUMMYFUNCTION("""COMPUTED_VALUE"""),"YOLOv7-w6")</f>
        <v>YOLOv7-w6</v>
      </c>
      <c r="D38" s="5" t="str">
        <f>IFERROR(__xludf.DUMMYFUNCTION("""COMPUTED_VALUE"""),"mAP@0.5")</f>
        <v>mAP@0.5</v>
      </c>
      <c r="E38" s="5" t="str">
        <f>IFERROR(__xludf.DUMMYFUNCTION("""COMPUTED_VALUE"""),"mAP@0.5")</f>
        <v>mAP@0.5</v>
      </c>
      <c r="F38" s="5">
        <f>IFERROR(__xludf.DUMMYFUNCTION("""COMPUTED_VALUE"""),79.0)</f>
        <v>79</v>
      </c>
    </row>
    <row r="39" ht="15.75" customHeight="1">
      <c r="A39" s="5" t="str">
        <f>IFERROR(__xludf.DUMMYFUNCTION("""COMPUTED_VALUE"""),"SCOPUS-000652")</f>
        <v>SCOPUS-000652</v>
      </c>
      <c r="B39" s="5" t="str">
        <f>IFERROR(__xludf.DUMMYFUNCTION("""COMPUTED_VALUE"""),"SCOPUS-000652-1")</f>
        <v>SCOPUS-000652-1</v>
      </c>
      <c r="C39" s="6" t="str">
        <f>IFERROR(__xludf.DUMMYFUNCTION("""COMPUTED_VALUE"""),"HOG")</f>
        <v>HOG</v>
      </c>
      <c r="D39" s="5" t="str">
        <f>IFERROR(__xludf.DUMMYFUNCTION("""COMPUTED_VALUE"""),"mIoU")</f>
        <v>mIoU</v>
      </c>
      <c r="E39" s="5" t="str">
        <f>IFERROR(__xludf.DUMMYFUNCTION("""COMPUTED_VALUE"""),"mIoU")</f>
        <v>mIoU</v>
      </c>
      <c r="F39" s="5">
        <f>IFERROR(__xludf.DUMMYFUNCTION("""COMPUTED_VALUE"""),59.4)</f>
        <v>59.4</v>
      </c>
    </row>
    <row r="40" ht="15.75" customHeight="1">
      <c r="A40" s="5" t="str">
        <f>IFERROR(__xludf.DUMMYFUNCTION("""COMPUTED_VALUE"""),"SCOPUS-000146")</f>
        <v>SCOPUS-000146</v>
      </c>
      <c r="B40" s="5" t="str">
        <f>IFERROR(__xludf.DUMMYFUNCTION("""COMPUTED_VALUE"""),"SCOPUS-000146-1")</f>
        <v>SCOPUS-000146-1</v>
      </c>
      <c r="C40" s="6" t="str">
        <f>IFERROR(__xludf.DUMMYFUNCTION("""COMPUTED_VALUE"""),"EfficientNet")</f>
        <v>EfficientNet</v>
      </c>
      <c r="D40" s="5" t="str">
        <f>IFERROR(__xludf.DUMMYFUNCTION("""COMPUTED_VALUE"""),"Accuracy")</f>
        <v>Accuracy</v>
      </c>
      <c r="E40" s="5" t="str">
        <f>IFERROR(__xludf.DUMMYFUNCTION("""COMPUTED_VALUE"""),"Accuracy")</f>
        <v>Accuracy</v>
      </c>
      <c r="F40" s="5">
        <f>IFERROR(__xludf.DUMMYFUNCTION("""COMPUTED_VALUE"""),64.0)</f>
        <v>64</v>
      </c>
    </row>
    <row r="41" ht="15.75" customHeight="1">
      <c r="A41" s="5" t="str">
        <f>IFERROR(__xludf.DUMMYFUNCTION("""COMPUTED_VALUE"""),"SCOPUS-000352")</f>
        <v>SCOPUS-000352</v>
      </c>
      <c r="B41" s="5" t="str">
        <f>IFERROR(__xludf.DUMMYFUNCTION("""COMPUTED_VALUE"""),"SCOPUS-000352-1")</f>
        <v>SCOPUS-000352-1</v>
      </c>
      <c r="C41" s="6" t="str">
        <f>IFERROR(__xludf.DUMMYFUNCTION("""COMPUTED_VALUE"""),"efficientnetv2s_unet")</f>
        <v>efficientnetv2s_unet</v>
      </c>
      <c r="D41" s="5" t="str">
        <f>IFERROR(__xludf.DUMMYFUNCTION("""COMPUTED_VALUE"""),"mIoU")</f>
        <v>mIoU</v>
      </c>
      <c r="E41" s="5" t="str">
        <f>IFERROR(__xludf.DUMMYFUNCTION("""COMPUTED_VALUE"""),"mIoU")</f>
        <v>mIoU</v>
      </c>
      <c r="F41" s="5">
        <f>IFERROR(__xludf.DUMMYFUNCTION("""COMPUTED_VALUE"""),79.3)</f>
        <v>79.3</v>
      </c>
    </row>
    <row r="42" ht="15.75" customHeight="1">
      <c r="A42" s="5" t="str">
        <f>IFERROR(__xludf.DUMMYFUNCTION("""COMPUTED_VALUE"""),"SCOPUS-000175")</f>
        <v>SCOPUS-000175</v>
      </c>
      <c r="B42" s="5" t="str">
        <f>IFERROR(__xludf.DUMMYFUNCTION("""COMPUTED_VALUE"""),"SCOPUS-000175-1")</f>
        <v>SCOPUS-000175-1</v>
      </c>
      <c r="C42" s="6" t="str">
        <f>IFERROR(__xludf.DUMMYFUNCTION("""COMPUTED_VALUE"""),"SSD")</f>
        <v>SSD</v>
      </c>
      <c r="D42" s="5" t="str">
        <f>IFERROR(__xludf.DUMMYFUNCTION("""COMPUTED_VALUE"""),"mAP@0.5")</f>
        <v>mAP@0.5</v>
      </c>
      <c r="E42" s="5" t="str">
        <f>IFERROR(__xludf.DUMMYFUNCTION("""COMPUTED_VALUE"""),"mAP@0.5")</f>
        <v>mAP@0.5</v>
      </c>
      <c r="F42" s="5">
        <f>IFERROR(__xludf.DUMMYFUNCTION("""COMPUTED_VALUE"""),62.3)</f>
        <v>62.3</v>
      </c>
    </row>
    <row r="43" ht="15.75" customHeight="1">
      <c r="A43" s="5" t="str">
        <f>IFERROR(__xludf.DUMMYFUNCTION("""COMPUTED_VALUE"""),"SCOPUS-000574")</f>
        <v>SCOPUS-000574</v>
      </c>
      <c r="B43" s="5" t="str">
        <f>IFERROR(__xludf.DUMMYFUNCTION("""COMPUTED_VALUE"""),"SCOPUS-000574-1")</f>
        <v>SCOPUS-000574-1</v>
      </c>
      <c r="C43" s="6" t="str">
        <f>IFERROR(__xludf.DUMMYFUNCTION("""COMPUTED_VALUE"""),"DeepLab V3+")</f>
        <v>DeepLab V3+</v>
      </c>
      <c r="D43" s="5" t="str">
        <f>IFERROR(__xludf.DUMMYFUNCTION("""COMPUTED_VALUE"""),"mIoU")</f>
        <v>mIoU</v>
      </c>
      <c r="E43" s="5" t="str">
        <f>IFERROR(__xludf.DUMMYFUNCTION("""COMPUTED_VALUE"""),"mIoU")</f>
        <v>mIoU</v>
      </c>
      <c r="F43" s="5">
        <f>IFERROR(__xludf.DUMMYFUNCTION("""COMPUTED_VALUE"""),63.04)</f>
        <v>63.04</v>
      </c>
    </row>
    <row r="44" ht="15.75" customHeight="1">
      <c r="A44" s="5" t="str">
        <f>IFERROR(__xludf.DUMMYFUNCTION("""COMPUTED_VALUE"""),"SCOPUS-000358")</f>
        <v>SCOPUS-000358</v>
      </c>
      <c r="B44" s="5" t="str">
        <f>IFERROR(__xludf.DUMMYFUNCTION("""COMPUTED_VALUE"""),"SCOPUS-000358-1")</f>
        <v>SCOPUS-000358-1</v>
      </c>
      <c r="C44" s="6" t="str">
        <f>IFERROR(__xludf.DUMMYFUNCTION("""COMPUTED_VALUE"""),"SegNet")</f>
        <v>SegNet</v>
      </c>
      <c r="D44" s="5" t="str">
        <f>IFERROR(__xludf.DUMMYFUNCTION("""COMPUTED_VALUE"""),"mIoU")</f>
        <v>mIoU</v>
      </c>
      <c r="E44" s="5" t="str">
        <f>IFERROR(__xludf.DUMMYFUNCTION("""COMPUTED_VALUE"""),"mIoU")</f>
        <v>mIoU</v>
      </c>
      <c r="F44" s="5">
        <f>IFERROR(__xludf.DUMMYFUNCTION("""COMPUTED_VALUE"""),78.78)</f>
        <v>78.78</v>
      </c>
    </row>
    <row r="45" ht="15.75" customHeight="1">
      <c r="A45" s="5" t="str">
        <f>IFERROR(__xludf.DUMMYFUNCTION("""COMPUTED_VALUE"""),"SCOPUS-000265")</f>
        <v>SCOPUS-000265</v>
      </c>
      <c r="B45" s="5" t="str">
        <f>IFERROR(__xludf.DUMMYFUNCTION("""COMPUTED_VALUE"""),"SCOPUS-000265-1")</f>
        <v>SCOPUS-000265-1</v>
      </c>
      <c r="C45" s="6" t="str">
        <f>IFERROR(__xludf.DUMMYFUNCTION("""COMPUTED_VALUE"""),"Faster RCNN")</f>
        <v>Faster RCNN</v>
      </c>
      <c r="D45" s="5" t="str">
        <f>IFERROR(__xludf.DUMMYFUNCTION("""COMPUTED_VALUE"""),"mAP@0.5")</f>
        <v>mAP@0.5</v>
      </c>
      <c r="E45" s="5" t="str">
        <f>IFERROR(__xludf.DUMMYFUNCTION("""COMPUTED_VALUE"""),"mAP@0.5")</f>
        <v>mAP@0.5</v>
      </c>
      <c r="F45" s="5">
        <f>IFERROR(__xludf.DUMMYFUNCTION("""COMPUTED_VALUE"""),81.9)</f>
        <v>81.9</v>
      </c>
    </row>
    <row r="46" ht="15.75" customHeight="1">
      <c r="A46" s="5" t="str">
        <f>IFERROR(__xludf.DUMMYFUNCTION("""COMPUTED_VALUE"""),"SCOPUS-000563")</f>
        <v>SCOPUS-000563</v>
      </c>
      <c r="B46" s="5" t="str">
        <f>IFERROR(__xludf.DUMMYFUNCTION("""COMPUTED_VALUE"""),"SCOPUS-000563-1")</f>
        <v>SCOPUS-000563-1</v>
      </c>
      <c r="C46" s="6" t="str">
        <f>IFERROR(__xludf.DUMMYFUNCTION("""COMPUTED_VALUE"""),"SSD-ResNet")</f>
        <v>SSD-ResNet</v>
      </c>
      <c r="D46" s="5" t="str">
        <f>IFERROR(__xludf.DUMMYFUNCTION("""COMPUTED_VALUE"""),"mAP@0.5")</f>
        <v>mAP@0.5</v>
      </c>
      <c r="E46" s="5" t="str">
        <f>IFERROR(__xludf.DUMMYFUNCTION("""COMPUTED_VALUE"""),"mAP@0.5")</f>
        <v>mAP@0.5</v>
      </c>
      <c r="F46" s="5">
        <f>IFERROR(__xludf.DUMMYFUNCTION("""COMPUTED_VALUE"""),53.0)</f>
        <v>53</v>
      </c>
    </row>
    <row r="47" ht="15.75" customHeight="1">
      <c r="A47" s="5" t="str">
        <f>IFERROR(__xludf.DUMMYFUNCTION("""COMPUTED_VALUE"""),"SCOPUS-000333")</f>
        <v>SCOPUS-000333</v>
      </c>
      <c r="B47" s="5" t="str">
        <f>IFERROR(__xludf.DUMMYFUNCTION("""COMPUTED_VALUE"""),"SCOPUS-000333-1")</f>
        <v>SCOPUS-000333-1</v>
      </c>
      <c r="C47" s="6" t="str">
        <f>IFERROR(__xludf.DUMMYFUNCTION("""COMPUTED_VALUE"""),"GAN-based")</f>
        <v>GAN-based</v>
      </c>
      <c r="D47" s="5" t="str">
        <f>IFERROR(__xludf.DUMMYFUNCTION("""COMPUTED_VALUE"""),"mAP")</f>
        <v>mAP</v>
      </c>
      <c r="E47" s="5" t="str">
        <f>IFERROR(__xludf.DUMMYFUNCTION("""COMPUTED_VALUE"""),"mAP@0.5")</f>
        <v>mAP@0.5</v>
      </c>
      <c r="F47" s="5">
        <f>IFERROR(__xludf.DUMMYFUNCTION("""COMPUTED_VALUE"""),50.0)</f>
        <v>50</v>
      </c>
    </row>
    <row r="48" ht="15.75" customHeight="1">
      <c r="A48" s="5" t="str">
        <f>IFERROR(__xludf.DUMMYFUNCTION("""COMPUTED_VALUE"""),"SCOPUS-000391")</f>
        <v>SCOPUS-000391</v>
      </c>
      <c r="B48" s="5" t="str">
        <f>IFERROR(__xludf.DUMMYFUNCTION("""COMPUTED_VALUE"""),"SCOPUS-000391-1")</f>
        <v>SCOPUS-000391-1</v>
      </c>
      <c r="C48" s="6" t="str">
        <f>IFERROR(__xludf.DUMMYFUNCTION("""COMPUTED_VALUE"""),"SVM")</f>
        <v>SVM</v>
      </c>
      <c r="D48" s="5" t="str">
        <f>IFERROR(__xludf.DUMMYFUNCTION("""COMPUTED_VALUE"""),"Accuracy")</f>
        <v>Accuracy</v>
      </c>
      <c r="E48" s="5" t="str">
        <f>IFERROR(__xludf.DUMMYFUNCTION("""COMPUTED_VALUE"""),"Accuracy")</f>
        <v>Accuracy</v>
      </c>
      <c r="F48" s="5">
        <f>IFERROR(__xludf.DUMMYFUNCTION("""COMPUTED_VALUE"""),54.25)</f>
        <v>54.25</v>
      </c>
    </row>
    <row r="49" ht="15.75" customHeight="1">
      <c r="A49" s="5" t="str">
        <f>IFERROR(__xludf.DUMMYFUNCTION("""COMPUTED_VALUE"""),"SCOPUS-000637")</f>
        <v>SCOPUS-000637</v>
      </c>
      <c r="B49" s="5" t="str">
        <f>IFERROR(__xludf.DUMMYFUNCTION("""COMPUTED_VALUE"""),"SCOPUS-000637-1")</f>
        <v>SCOPUS-000637-1</v>
      </c>
      <c r="C49" s="6" t="str">
        <f>IFERROR(__xludf.DUMMYFUNCTION("""COMPUTED_VALUE"""),"SSD")</f>
        <v>SSD</v>
      </c>
      <c r="D49" s="5" t="str">
        <f>IFERROR(__xludf.DUMMYFUNCTION("""COMPUTED_VALUE"""),"mAP@0.5")</f>
        <v>mAP@0.5</v>
      </c>
      <c r="E49" s="5" t="str">
        <f>IFERROR(__xludf.DUMMYFUNCTION("""COMPUTED_VALUE"""),"mAP@0.5")</f>
        <v>mAP@0.5</v>
      </c>
      <c r="F49" s="5">
        <f>IFERROR(__xludf.DUMMYFUNCTION("""COMPUTED_VALUE"""),81.4)</f>
        <v>81.4</v>
      </c>
    </row>
    <row r="50" ht="15.75" customHeight="1">
      <c r="A50" s="5" t="str">
        <f>IFERROR(__xludf.DUMMYFUNCTION("""COMPUTED_VALUE"""),"SCOPUS-000719")</f>
        <v>SCOPUS-000719</v>
      </c>
      <c r="B50" s="5" t="str">
        <f>IFERROR(__xludf.DUMMYFUNCTION("""COMPUTED_VALUE"""),"SCOPUS-000719-1")</f>
        <v>SCOPUS-000719-1</v>
      </c>
      <c r="C50" s="6" t="str">
        <f>IFERROR(__xludf.DUMMYFUNCTION("""COMPUTED_VALUE"""),"RSS*")</f>
        <v>RSS*</v>
      </c>
      <c r="D50" s="5" t="str">
        <f>IFERROR(__xludf.DUMMYFUNCTION("""COMPUTED_VALUE"""),"mIoU")</f>
        <v>mIoU</v>
      </c>
      <c r="E50" s="5" t="str">
        <f>IFERROR(__xludf.DUMMYFUNCTION("""COMPUTED_VALUE"""),"mIoU")</f>
        <v>mIoU</v>
      </c>
      <c r="F50" s="5">
        <f>IFERROR(__xludf.DUMMYFUNCTION("""COMPUTED_VALUE"""),80.8)</f>
        <v>80.8</v>
      </c>
    </row>
    <row r="51" ht="15.75" customHeight="1">
      <c r="A51" s="5" t="str">
        <f>IFERROR(__xludf.DUMMYFUNCTION("""COMPUTED_VALUE"""),"SCOPUS-000713")</f>
        <v>SCOPUS-000713</v>
      </c>
      <c r="B51" s="5" t="str">
        <f>IFERROR(__xludf.DUMMYFUNCTION("""COMPUTED_VALUE"""),"SCOPUS-000713-1")</f>
        <v>SCOPUS-000713-1</v>
      </c>
      <c r="C51" s="6" t="str">
        <f>IFERROR(__xludf.DUMMYFUNCTION("""COMPUTED_VALUE"""),"COM1")</f>
        <v>COM1</v>
      </c>
      <c r="D51" s="5" t="str">
        <f>IFERROR(__xludf.DUMMYFUNCTION("""COMPUTED_VALUE"""),"mIoU")</f>
        <v>mIoU</v>
      </c>
      <c r="E51" s="5" t="str">
        <f>IFERROR(__xludf.DUMMYFUNCTION("""COMPUTED_VALUE"""),"mIoU")</f>
        <v>mIoU</v>
      </c>
      <c r="F51" s="5">
        <f>IFERROR(__xludf.DUMMYFUNCTION("""COMPUTED_VALUE"""),68.81)</f>
        <v>68.81</v>
      </c>
    </row>
    <row r="52" ht="15.75" customHeight="1">
      <c r="A52" s="5" t="str">
        <f>IFERROR(__xludf.DUMMYFUNCTION("""COMPUTED_VALUE"""),"SCOPUS-000448")</f>
        <v>SCOPUS-000448</v>
      </c>
      <c r="B52" s="5" t="str">
        <f>IFERROR(__xludf.DUMMYFUNCTION("""COMPUTED_VALUE"""),"SCOPUS-000448-1")</f>
        <v>SCOPUS-000448-1</v>
      </c>
      <c r="C52" s="6" t="str">
        <f>IFERROR(__xludf.DUMMYFUNCTION("""COMPUTED_VALUE"""),"MobileNetV2")</f>
        <v>MobileNetV2</v>
      </c>
      <c r="D52" s="5" t="str">
        <f>IFERROR(__xludf.DUMMYFUNCTION("""COMPUTED_VALUE"""),"Accuracy")</f>
        <v>Accuracy</v>
      </c>
      <c r="E52" s="5" t="str">
        <f>IFERROR(__xludf.DUMMYFUNCTION("""COMPUTED_VALUE"""),"Accuracy")</f>
        <v>Accuracy</v>
      </c>
      <c r="F52" s="5">
        <f>IFERROR(__xludf.DUMMYFUNCTION("""COMPUTED_VALUE"""),30.37)</f>
        <v>30.37</v>
      </c>
    </row>
    <row r="53" ht="15.75" customHeight="1">
      <c r="A53" s="5" t="str">
        <f>IFERROR(__xludf.DUMMYFUNCTION("""COMPUTED_VALUE"""),"SCOPUS-000375")</f>
        <v>SCOPUS-000375</v>
      </c>
      <c r="B53" s="5" t="str">
        <f>IFERROR(__xludf.DUMMYFUNCTION("""COMPUTED_VALUE"""),"SCOPUS-000375-1")</f>
        <v>SCOPUS-000375-1</v>
      </c>
      <c r="C53" s="6" t="str">
        <f>IFERROR(__xludf.DUMMYFUNCTION("""COMPUTED_VALUE"""),"Faster RCNN")</f>
        <v>Faster RCNN</v>
      </c>
      <c r="D53" s="5" t="str">
        <f>IFERROR(__xludf.DUMMYFUNCTION("""COMPUTED_VALUE"""),"mAP@0.5")</f>
        <v>mAP@0.5</v>
      </c>
      <c r="E53" s="5" t="str">
        <f>IFERROR(__xludf.DUMMYFUNCTION("""COMPUTED_VALUE"""),"mAP@0.5")</f>
        <v>mAP@0.5</v>
      </c>
      <c r="F53" s="5">
        <f>IFERROR(__xludf.DUMMYFUNCTION("""COMPUTED_VALUE"""),79.2)</f>
        <v>79.2</v>
      </c>
    </row>
    <row r="54" ht="15.75" customHeight="1">
      <c r="A54" s="5" t="str">
        <f>IFERROR(__xludf.DUMMYFUNCTION("""COMPUTED_VALUE"""),"SCOPUS-000584")</f>
        <v>SCOPUS-000584</v>
      </c>
      <c r="B54" s="5" t="str">
        <f>IFERROR(__xludf.DUMMYFUNCTION("""COMPUTED_VALUE"""),"SCOPUS-000584-1")</f>
        <v>SCOPUS-000584-1</v>
      </c>
      <c r="C54" s="6" t="str">
        <f>IFERROR(__xludf.DUMMYFUNCTION("""COMPUTED_VALUE"""),"Faster R-CNN")</f>
        <v>Faster R-CNN</v>
      </c>
      <c r="D54" s="5" t="str">
        <f>IFERROR(__xludf.DUMMYFUNCTION("""COMPUTED_VALUE"""),"mAP@0.5")</f>
        <v>mAP@0.5</v>
      </c>
      <c r="E54" s="5" t="str">
        <f>IFERROR(__xludf.DUMMYFUNCTION("""COMPUTED_VALUE"""),"mAP@0.5")</f>
        <v>mAP@0.5</v>
      </c>
      <c r="F54" s="5">
        <f>IFERROR(__xludf.DUMMYFUNCTION("""COMPUTED_VALUE"""),68.55)</f>
        <v>68.55</v>
      </c>
    </row>
    <row r="55" ht="15.75" customHeight="1">
      <c r="A55" s="5" t="str">
        <f>IFERROR(__xludf.DUMMYFUNCTION("""COMPUTED_VALUE"""),"WEBSCI-000524")</f>
        <v>WEBSCI-000524</v>
      </c>
      <c r="B55" s="5" t="str">
        <f>IFERROR(__xludf.DUMMYFUNCTION("""COMPUTED_VALUE"""),"WEBSCI-000524-1")</f>
        <v>WEBSCI-000524-1</v>
      </c>
      <c r="C55" s="6" t="str">
        <f>IFERROR(__xludf.DUMMYFUNCTION("""COMPUTED_VALUE"""),"DeepLabV3**")</f>
        <v>DeepLabV3**</v>
      </c>
      <c r="D55" s="5" t="str">
        <f>IFERROR(__xludf.DUMMYFUNCTION("""COMPUTED_VALUE"""),"mIoU")</f>
        <v>mIoU</v>
      </c>
      <c r="E55" s="5" t="str">
        <f>IFERROR(__xludf.DUMMYFUNCTION("""COMPUTED_VALUE"""),"mIoU")</f>
        <v>mIoU</v>
      </c>
      <c r="F55" s="5">
        <f>IFERROR(__xludf.DUMMYFUNCTION("""COMPUTED_VALUE"""),64.0)</f>
        <v>64</v>
      </c>
    </row>
    <row r="56" ht="15.75" customHeight="1">
      <c r="A56" s="5" t="str">
        <f>IFERROR(__xludf.DUMMYFUNCTION("""COMPUTED_VALUE"""),"SCOPUS-000706")</f>
        <v>SCOPUS-000706</v>
      </c>
      <c r="B56" s="5" t="str">
        <f>IFERROR(__xludf.DUMMYFUNCTION("""COMPUTED_VALUE"""),"SCOPUS-000706-1")</f>
        <v>SCOPUS-000706-1</v>
      </c>
      <c r="C56" s="6" t="str">
        <f>IFERROR(__xludf.DUMMYFUNCTION("""COMPUTED_VALUE"""),"FCN-AlexNet FP32")</f>
        <v>FCN-AlexNet FP32</v>
      </c>
      <c r="D56" s="5" t="str">
        <f>IFERROR(__xludf.DUMMYFUNCTION("""COMPUTED_VALUE"""),"mIoU")</f>
        <v>mIoU</v>
      </c>
      <c r="E56" s="5" t="str">
        <f>IFERROR(__xludf.DUMMYFUNCTION("""COMPUTED_VALUE"""),"mIoU")</f>
        <v>mIoU</v>
      </c>
      <c r="F56" s="5">
        <f>IFERROR(__xludf.DUMMYFUNCTION("""COMPUTED_VALUE"""),70.5)</f>
        <v>70.5</v>
      </c>
    </row>
    <row r="57" ht="15.75" customHeight="1">
      <c r="A57" s="5" t="str">
        <f>IFERROR(__xludf.DUMMYFUNCTION("""COMPUTED_VALUE"""),"SCOPUS-000642")</f>
        <v>SCOPUS-000642</v>
      </c>
      <c r="B57" s="5" t="str">
        <f>IFERROR(__xludf.DUMMYFUNCTION("""COMPUTED_VALUE"""),"SCOPUS-000642-1")</f>
        <v>SCOPUS-000642-1</v>
      </c>
      <c r="C57" s="6" t="str">
        <f>IFERROR(__xludf.DUMMYFUNCTION("""COMPUTED_VALUE"""),"YOLOv4tiny")</f>
        <v>YOLOv4tiny</v>
      </c>
      <c r="D57" s="5" t="str">
        <f>IFERROR(__xludf.DUMMYFUNCTION("""COMPUTED_VALUE"""),"mAP@0.5")</f>
        <v>mAP@0.5</v>
      </c>
      <c r="E57" s="5" t="str">
        <f>IFERROR(__xludf.DUMMYFUNCTION("""COMPUTED_VALUE"""),"mAP@0.5")</f>
        <v>mAP@0.5</v>
      </c>
      <c r="F57" s="5">
        <f>IFERROR(__xludf.DUMMYFUNCTION("""COMPUTED_VALUE"""),74.9)</f>
        <v>74.9</v>
      </c>
    </row>
    <row r="58" ht="15.75" customHeight="1">
      <c r="A58" s="5" t="str">
        <f>IFERROR(__xludf.DUMMYFUNCTION("""COMPUTED_VALUE"""),"SCOPUS-000132")</f>
        <v>SCOPUS-000132</v>
      </c>
      <c r="B58" s="5" t="str">
        <f>IFERROR(__xludf.DUMMYFUNCTION("""COMPUTED_VALUE"""),"SCOPUS-000132-1")</f>
        <v>SCOPUS-000132-1</v>
      </c>
      <c r="C58" s="6" t="str">
        <f>IFERROR(__xludf.DUMMYFUNCTION("""COMPUTED_VALUE"""),"YOLO11n")</f>
        <v>YOLO11n</v>
      </c>
      <c r="D58" s="5" t="str">
        <f>IFERROR(__xludf.DUMMYFUNCTION("""COMPUTED_VALUE"""),"mAP@0.5")</f>
        <v>mAP@0.5</v>
      </c>
      <c r="E58" s="5" t="str">
        <f>IFERROR(__xludf.DUMMYFUNCTION("""COMPUTED_VALUE"""),"mAP@0.5")</f>
        <v>mAP@0.5</v>
      </c>
      <c r="F58" s="5">
        <f>IFERROR(__xludf.DUMMYFUNCTION("""COMPUTED_VALUE"""),83.0)</f>
        <v>83</v>
      </c>
    </row>
    <row r="59" ht="15.75" customHeight="1">
      <c r="A59" s="5" t="str">
        <f>IFERROR(__xludf.DUMMYFUNCTION("""COMPUTED_VALUE"""),"SCOPUS-000121")</f>
        <v>SCOPUS-000121</v>
      </c>
      <c r="B59" s="5" t="str">
        <f>IFERROR(__xludf.DUMMYFUNCTION("""COMPUTED_VALUE"""),"SCOPUS-000121-1")</f>
        <v>SCOPUS-000121-1</v>
      </c>
      <c r="C59" s="6" t="str">
        <f>IFERROR(__xludf.DUMMYFUNCTION("""COMPUTED_VALUE"""),"Faster R-CNN")</f>
        <v>Faster R-CNN</v>
      </c>
      <c r="D59" s="5" t="str">
        <f>IFERROR(__xludf.DUMMYFUNCTION("""COMPUTED_VALUE"""),"mAP@0.5")</f>
        <v>mAP@0.5</v>
      </c>
      <c r="E59" s="5" t="str">
        <f>IFERROR(__xludf.DUMMYFUNCTION("""COMPUTED_VALUE"""),"mAP@0.5")</f>
        <v>mAP@0.5</v>
      </c>
      <c r="F59" s="5">
        <f>IFERROR(__xludf.DUMMYFUNCTION("""COMPUTED_VALUE"""),48.4)</f>
        <v>48.4</v>
      </c>
    </row>
    <row r="60" ht="15.75" customHeight="1">
      <c r="A60" s="5" t="str">
        <f>IFERROR(__xludf.DUMMYFUNCTION("""COMPUTED_VALUE"""),"SCOPUS-000267")</f>
        <v>SCOPUS-000267</v>
      </c>
      <c r="B60" s="5" t="str">
        <f>IFERROR(__xludf.DUMMYFUNCTION("""COMPUTED_VALUE"""),"SCOPUS-000267-1")</f>
        <v>SCOPUS-000267-1</v>
      </c>
      <c r="C60" s="6" t="str">
        <f>IFERROR(__xludf.DUMMYFUNCTION("""COMPUTED_VALUE"""),"FCN-32s")</f>
        <v>FCN-32s</v>
      </c>
      <c r="D60" s="5" t="str">
        <f>IFERROR(__xludf.DUMMYFUNCTION("""COMPUTED_VALUE"""),"mIoU")</f>
        <v>mIoU</v>
      </c>
      <c r="E60" s="5" t="str">
        <f>IFERROR(__xludf.DUMMYFUNCTION("""COMPUTED_VALUE"""),"mIoU")</f>
        <v>mIoU</v>
      </c>
      <c r="F60" s="5">
        <f>IFERROR(__xludf.DUMMYFUNCTION("""COMPUTED_VALUE"""),68.0)</f>
        <v>68</v>
      </c>
    </row>
    <row r="61" ht="15.75" customHeight="1">
      <c r="A61" s="5" t="str">
        <f>IFERROR(__xludf.DUMMYFUNCTION("""COMPUTED_VALUE"""),"SCOPUS-000121")</f>
        <v>SCOPUS-000121</v>
      </c>
      <c r="B61" s="5" t="str">
        <f>IFERROR(__xludf.DUMMYFUNCTION("""COMPUTED_VALUE"""),"SCOPUS-000121-2")</f>
        <v>SCOPUS-000121-2</v>
      </c>
      <c r="C61" s="6" t="str">
        <f>IFERROR(__xludf.DUMMYFUNCTION("""COMPUTED_VALUE"""),"True baseline (before RepCBNet/feature fusion, Table 6 ablation)")</f>
        <v>True baseline (before RepCBNet/feature fusion, Table 6 ablation)</v>
      </c>
      <c r="D61" s="5" t="str">
        <f>IFERROR(__xludf.DUMMYFUNCTION("""COMPUTED_VALUE"""),"mAP@0.5")</f>
        <v>mAP@0.5</v>
      </c>
      <c r="E61" s="5" t="str">
        <f>IFERROR(__xludf.DUMMYFUNCTION("""COMPUTED_VALUE"""),"mAP@0.5")</f>
        <v>mAP@0.5</v>
      </c>
      <c r="F61" s="5">
        <f>IFERROR(__xludf.DUMMYFUNCTION("""COMPUTED_VALUE"""),81.5)</f>
        <v>81.5</v>
      </c>
    </row>
    <row r="62" ht="15.75" customHeight="1">
      <c r="A62" s="5" t="str">
        <f>IFERROR(__xludf.DUMMYFUNCTION("""COMPUTED_VALUE"""),"SCOPUS-000283")</f>
        <v>SCOPUS-000283</v>
      </c>
      <c r="B62" s="5" t="str">
        <f>IFERROR(__xludf.DUMMYFUNCTION("""COMPUTED_VALUE"""),"SCOPUS-000283-2")</f>
        <v>SCOPUS-000283-2</v>
      </c>
      <c r="C62" s="6" t="str">
        <f>IFERROR(__xludf.DUMMYFUNCTION("""COMPUTED_VALUE"""),"YOLOv11")</f>
        <v>YOLOv11</v>
      </c>
      <c r="D62" s="5" t="str">
        <f>IFERROR(__xludf.DUMMYFUNCTION("""COMPUTED_VALUE"""),"mAP@0.5")</f>
        <v>mAP@0.5</v>
      </c>
      <c r="E62" s="5" t="str">
        <f>IFERROR(__xludf.DUMMYFUNCTION("""COMPUTED_VALUE"""),"mAP@0.5")</f>
        <v>mAP@0.5</v>
      </c>
      <c r="F62" s="5">
        <f>IFERROR(__xludf.DUMMYFUNCTION("""COMPUTED_VALUE"""),86.2)</f>
        <v>86.2</v>
      </c>
    </row>
    <row r="63" ht="15.75" customHeight="1">
      <c r="A63" s="5" t="str">
        <f>IFERROR(__xludf.DUMMYFUNCTION("""COMPUTED_VALUE"""),"SCOPUS-000280")</f>
        <v>SCOPUS-000280</v>
      </c>
      <c r="B63" s="5" t="str">
        <f>IFERROR(__xludf.DUMMYFUNCTION("""COMPUTED_VALUE"""),"SCOPUS-000280-2")</f>
        <v>SCOPUS-000280-2</v>
      </c>
      <c r="C63" s="6" t="str">
        <f>IFERROR(__xludf.DUMMYFUNCTION("""COMPUTED_VALUE"""),"YOLOv12n")</f>
        <v>YOLOv12n</v>
      </c>
      <c r="D63" s="5" t="str">
        <f>IFERROR(__xludf.DUMMYFUNCTION("""COMPUTED_VALUE"""),"mAP@0.5")</f>
        <v>mAP@0.5</v>
      </c>
      <c r="E63" s="5" t="str">
        <f>IFERROR(__xludf.DUMMYFUNCTION("""COMPUTED_VALUE"""),"mAP@0.5")</f>
        <v>mAP@0.5</v>
      </c>
      <c r="F63" s="5">
        <f>IFERROR(__xludf.DUMMYFUNCTION("""COMPUTED_VALUE"""),86.9)</f>
        <v>86.9</v>
      </c>
    </row>
    <row r="64" ht="15.75" customHeight="1">
      <c r="A64" s="5" t="str">
        <f>IFERROR(__xludf.DUMMYFUNCTION("""COMPUTED_VALUE"""),"SCOPUS-000017")</f>
        <v>SCOPUS-000017</v>
      </c>
      <c r="B64" s="5" t="str">
        <f>IFERROR(__xludf.DUMMYFUNCTION("""COMPUTED_VALUE"""),"SCOPUS-000017-2")</f>
        <v>SCOPUS-000017-2</v>
      </c>
      <c r="C64" s="6" t="str">
        <f>IFERROR(__xludf.DUMMYFUNCTION("""COMPUTED_VALUE"""),"Base network (without multi-scale/edge-aware modules, Table 6 ablation)")</f>
        <v>Base network (without multi-scale/edge-aware modules, Table 6 ablation)</v>
      </c>
      <c r="D64" s="5" t="str">
        <f>IFERROR(__xludf.DUMMYFUNCTION("""COMPUTED_VALUE"""),"mIoU")</f>
        <v>mIoU</v>
      </c>
      <c r="E64" s="5" t="str">
        <f>IFERROR(__xludf.DUMMYFUNCTION("""COMPUTED_VALUE"""),"mIoU")</f>
        <v>mIoU</v>
      </c>
      <c r="F64" s="5">
        <f>IFERROR(__xludf.DUMMYFUNCTION("""COMPUTED_VALUE"""),62.15)</f>
        <v>62.15</v>
      </c>
    </row>
    <row r="65" ht="15.75" customHeight="1">
      <c r="A65" s="5" t="str">
        <f>IFERROR(__xludf.DUMMYFUNCTION("""COMPUTED_VALUE"""),"SCOPUS-000244")</f>
        <v>SCOPUS-000244</v>
      </c>
      <c r="B65" s="5" t="str">
        <f>IFERROR(__xludf.DUMMYFUNCTION("""COMPUTED_VALUE"""),"SCOPUS-000244-2")</f>
        <v>SCOPUS-000244-2</v>
      </c>
      <c r="C65" s="6" t="str">
        <f>IFERROR(__xludf.DUMMYFUNCTION("""COMPUTED_VALUE"""),"SimCLR")</f>
        <v>SimCLR</v>
      </c>
      <c r="D65" s="5" t="str">
        <f>IFERROR(__xludf.DUMMYFUNCTION("""COMPUTED_VALUE"""),"Top-1 Accuracy")</f>
        <v>Top-1 Accuracy</v>
      </c>
      <c r="E65" s="5" t="str">
        <f>IFERROR(__xludf.DUMMYFUNCTION("""COMPUTED_VALUE"""),"Accuracy")</f>
        <v>Accuracy</v>
      </c>
      <c r="F65" s="5">
        <f>IFERROR(__xludf.DUMMYFUNCTION("""COMPUTED_VALUE"""),77.8)</f>
        <v>77.8</v>
      </c>
    </row>
    <row r="66" ht="15.75" customHeight="1">
      <c r="A66" s="5" t="str">
        <f>IFERROR(__xludf.DUMMYFUNCTION("""COMPUTED_VALUE"""),"SCOPUS-000473")</f>
        <v>SCOPUS-000473</v>
      </c>
      <c r="B66" s="5" t="str">
        <f>IFERROR(__xludf.DUMMYFUNCTION("""COMPUTED_VALUE"""),"SCOPUS-000473-2")</f>
        <v>SCOPUS-000473-2</v>
      </c>
      <c r="C66" s="6" t="str">
        <f>IFERROR(__xludf.DUMMYFUNCTION("""COMPUTED_VALUE"""),"ConvNeXt-Base")</f>
        <v>ConvNeXt-Base</v>
      </c>
      <c r="D66" s="5" t="str">
        <f>IFERROR(__xludf.DUMMYFUNCTION("""COMPUTED_VALUE"""),"Accuracy")</f>
        <v>Accuracy</v>
      </c>
      <c r="E66" s="5" t="str">
        <f>IFERROR(__xludf.DUMMYFUNCTION("""COMPUTED_VALUE"""),"Accuracy")</f>
        <v>Accuracy</v>
      </c>
      <c r="F66" s="5">
        <f>IFERROR(__xludf.DUMMYFUNCTION("""COMPUTED_VALUE"""),90.78)</f>
        <v>90.78</v>
      </c>
    </row>
    <row r="67" ht="15.75" customHeight="1">
      <c r="A67" s="5" t="str">
        <f>IFERROR(__xludf.DUMMYFUNCTION("""COMPUTED_VALUE"""),"SCOPUS-000220")</f>
        <v>SCOPUS-000220</v>
      </c>
      <c r="B67" s="5" t="str">
        <f>IFERROR(__xludf.DUMMYFUNCTION("""COMPUTED_VALUE"""),"SCOPUS-000220-2")</f>
        <v>SCOPUS-000220-2</v>
      </c>
      <c r="C67" s="6" t="str">
        <f>IFERROR(__xludf.DUMMYFUNCTION("""COMPUTED_VALUE"""),"YOLOv8n")</f>
        <v>YOLOv8n</v>
      </c>
      <c r="D67" s="5" t="str">
        <f>IFERROR(__xludf.DUMMYFUNCTION("""COMPUTED_VALUE"""),"mAP@0.5")</f>
        <v>mAP@0.5</v>
      </c>
      <c r="E67" s="5" t="str">
        <f>IFERROR(__xludf.DUMMYFUNCTION("""COMPUTED_VALUE"""),"mAP@0.5")</f>
        <v>mAP@0.5</v>
      </c>
      <c r="F67" s="5">
        <f>IFERROR(__xludf.DUMMYFUNCTION("""COMPUTED_VALUE"""),88.3)</f>
        <v>88.3</v>
      </c>
    </row>
    <row r="68" ht="15.75" customHeight="1">
      <c r="A68" s="5" t="str">
        <f>IFERROR(__xludf.DUMMYFUNCTION("""COMPUTED_VALUE"""),"SCOPUS-000211")</f>
        <v>SCOPUS-000211</v>
      </c>
      <c r="B68" s="5" t="str">
        <f>IFERROR(__xludf.DUMMYFUNCTION("""COMPUTED_VALUE"""),"SCOPUS-000211-2")</f>
        <v>SCOPUS-000211-2</v>
      </c>
      <c r="C68" s="6" t="str">
        <f>IFERROR(__xludf.DUMMYFUNCTION("""COMPUTED_VALUE"""),"YOLOV5")</f>
        <v>YOLOV5</v>
      </c>
      <c r="D68" s="5" t="str">
        <f>IFERROR(__xludf.DUMMYFUNCTION("""COMPUTED_VALUE"""),"mAP@0.5")</f>
        <v>mAP@0.5</v>
      </c>
      <c r="E68" s="5" t="str">
        <f>IFERROR(__xludf.DUMMYFUNCTION("""COMPUTED_VALUE"""),"mAP@0.5")</f>
        <v>mAP@0.5</v>
      </c>
      <c r="F68" s="5">
        <f>IFERROR(__xludf.DUMMYFUNCTION("""COMPUTED_VALUE"""),91.6)</f>
        <v>91.6</v>
      </c>
    </row>
    <row r="69" ht="15.75" customHeight="1">
      <c r="A69" s="5" t="str">
        <f>IFERROR(__xludf.DUMMYFUNCTION("""COMPUTED_VALUE"""),"SCOPUS-000333")</f>
        <v>SCOPUS-000333</v>
      </c>
      <c r="B69" s="5" t="str">
        <f>IFERROR(__xludf.DUMMYFUNCTION("""COMPUTED_VALUE"""),"SCOPUS-000333-2")</f>
        <v>SCOPUS-000333-2</v>
      </c>
      <c r="C69" s="6" t="str">
        <f>IFERROR(__xludf.DUMMYFUNCTION("""COMPUTED_VALUE"""),"Real image dataset")</f>
        <v>Real image dataset</v>
      </c>
      <c r="D69" s="5" t="str">
        <f>IFERROR(__xludf.DUMMYFUNCTION("""COMPUTED_VALUE"""),"mAP")</f>
        <v>mAP</v>
      </c>
      <c r="E69" s="5" t="str">
        <f>IFERROR(__xludf.DUMMYFUNCTION("""COMPUTED_VALUE"""),"mAP@0.5")</f>
        <v>mAP@0.5</v>
      </c>
      <c r="F69" s="5">
        <f>IFERROR(__xludf.DUMMYFUNCTION("""COMPUTED_VALUE"""),85.0)</f>
        <v>85</v>
      </c>
    </row>
    <row r="70" ht="15.75" customHeight="1">
      <c r="A70" s="5" t="str">
        <f>IFERROR(__xludf.DUMMYFUNCTION("""COMPUTED_VALUE"""),"SCOPUS-000352")</f>
        <v>SCOPUS-000352</v>
      </c>
      <c r="B70" s="5" t="str">
        <f>IFERROR(__xludf.DUMMYFUNCTION("""COMPUTED_VALUE"""),"SCOPUS-000352-2")</f>
        <v>SCOPUS-000352-2</v>
      </c>
      <c r="C70" s="6" t="str">
        <f>IFERROR(__xludf.DUMMYFUNCTION("""COMPUTED_VALUE"""),"unet")</f>
        <v>unet</v>
      </c>
      <c r="D70" s="5" t="str">
        <f>IFERROR(__xludf.DUMMYFUNCTION("""COMPUTED_VALUE"""),"mIoU")</f>
        <v>mIoU</v>
      </c>
      <c r="E70" s="5" t="str">
        <f>IFERROR(__xludf.DUMMYFUNCTION("""COMPUTED_VALUE"""),"mIoU")</f>
        <v>mIoU</v>
      </c>
      <c r="F70" s="5">
        <f>IFERROR(__xludf.DUMMYFUNCTION("""COMPUTED_VALUE"""),84.3)</f>
        <v>84.3</v>
      </c>
    </row>
    <row r="71" ht="15.75" customHeight="1">
      <c r="A71" s="5" t="str">
        <f>IFERROR(__xludf.DUMMYFUNCTION("""COMPUTED_VALUE"""),"SCOPUS-000175")</f>
        <v>SCOPUS-000175</v>
      </c>
      <c r="B71" s="5" t="str">
        <f>IFERROR(__xludf.DUMMYFUNCTION("""COMPUTED_VALUE"""),"SCOPUS-000175-2")</f>
        <v>SCOPUS-000175-2</v>
      </c>
      <c r="C71" s="6" t="str">
        <f>IFERROR(__xludf.DUMMYFUNCTION("""COMPUTED_VALUE"""),"Yolov8n")</f>
        <v>Yolov8n</v>
      </c>
      <c r="D71" s="5" t="str">
        <f>IFERROR(__xludf.DUMMYFUNCTION("""COMPUTED_VALUE"""),"mAP@0.5")</f>
        <v>mAP@0.5</v>
      </c>
      <c r="E71" s="5" t="str">
        <f>IFERROR(__xludf.DUMMYFUNCTION("""COMPUTED_VALUE"""),"mAP@0.5")</f>
        <v>mAP@0.5</v>
      </c>
      <c r="F71" s="5">
        <f>IFERROR(__xludf.DUMMYFUNCTION("""COMPUTED_VALUE"""),75.5)</f>
        <v>75.5</v>
      </c>
    </row>
    <row r="72" ht="15.75" customHeight="1">
      <c r="A72" s="5" t="str">
        <f>IFERROR(__xludf.DUMMYFUNCTION("""COMPUTED_VALUE"""),"SCOPUS-000328")</f>
        <v>SCOPUS-000328</v>
      </c>
      <c r="B72" s="5" t="str">
        <f>IFERROR(__xludf.DUMMYFUNCTION("""COMPUTED_VALUE"""),"SCOPUS-000328-2")</f>
        <v>SCOPUS-000328-2</v>
      </c>
      <c r="C72" s="6" t="str">
        <f>IFERROR(__xludf.DUMMYFUNCTION("""COMPUTED_VALUE"""),"Baseline (paper's own base architecture, Table 4)")</f>
        <v>Baseline (paper's own base architecture, Table 4)</v>
      </c>
      <c r="D72" s="5" t="str">
        <f>IFERROR(__xludf.DUMMYFUNCTION("""COMPUTED_VALUE"""),"mIoU")</f>
        <v>mIoU</v>
      </c>
      <c r="E72" s="5" t="str">
        <f>IFERROR(__xludf.DUMMYFUNCTION("""COMPUTED_VALUE"""),"mIoU")</f>
        <v>mIoU</v>
      </c>
      <c r="F72" s="5">
        <f>IFERROR(__xludf.DUMMYFUNCTION("""COMPUTED_VALUE"""),88.53)</f>
        <v>88.53</v>
      </c>
    </row>
    <row r="73" ht="15.75" customHeight="1">
      <c r="A73" s="5" t="str">
        <f>IFERROR(__xludf.DUMMYFUNCTION("""COMPUTED_VALUE"""),"SCOPUS-000358")</f>
        <v>SCOPUS-000358</v>
      </c>
      <c r="B73" s="5" t="str">
        <f>IFERROR(__xludf.DUMMYFUNCTION("""COMPUTED_VALUE"""),"SCOPUS-000358-2")</f>
        <v>SCOPUS-000358-2</v>
      </c>
      <c r="C73" s="6" t="str">
        <f>IFERROR(__xludf.DUMMYFUNCTION("""COMPUTED_VALUE"""),"SC-Net-initial (Table 4 ablation)")</f>
        <v>SC-Net-initial (Table 4 ablation)</v>
      </c>
      <c r="D73" s="5" t="str">
        <f>IFERROR(__xludf.DUMMYFUNCTION("""COMPUTED_VALUE"""),"mIoU")</f>
        <v>mIoU</v>
      </c>
      <c r="E73" s="5" t="str">
        <f>IFERROR(__xludf.DUMMYFUNCTION("""COMPUTED_VALUE"""),"mIoU")</f>
        <v>mIoU</v>
      </c>
      <c r="F73" s="5">
        <f>IFERROR(__xludf.DUMMYFUNCTION("""COMPUTED_VALUE"""),76.73)</f>
        <v>76.73</v>
      </c>
    </row>
    <row r="74" ht="15.75" customHeight="1">
      <c r="A74" s="5" t="str">
        <f>IFERROR(__xludf.DUMMYFUNCTION("""COMPUTED_VALUE"""),"SCOPUS-000295")</f>
        <v>SCOPUS-000295</v>
      </c>
      <c r="B74" s="5" t="str">
        <f>IFERROR(__xludf.DUMMYFUNCTION("""COMPUTED_VALUE"""),"SCOPUS-000295-2")</f>
        <v>SCOPUS-000295-2</v>
      </c>
      <c r="C74" s="6" t="str">
        <f>IFERROR(__xludf.DUMMYFUNCTION("""COMPUTED_VALUE"""),"YOLOv10")</f>
        <v>YOLOv10</v>
      </c>
      <c r="D74" s="5" t="str">
        <f>IFERROR(__xludf.DUMMYFUNCTION("""COMPUTED_VALUE"""),"mAP@0.5")</f>
        <v>mAP@0.5</v>
      </c>
      <c r="E74" s="5" t="str">
        <f>IFERROR(__xludf.DUMMYFUNCTION("""COMPUTED_VALUE"""),"mAP@0.5")</f>
        <v>mAP@0.5</v>
      </c>
      <c r="F74" s="5">
        <f>IFERROR(__xludf.DUMMYFUNCTION("""COMPUTED_VALUE"""),96.9)</f>
        <v>96.9</v>
      </c>
    </row>
    <row r="75" ht="15.75" customHeight="1">
      <c r="A75" s="5" t="str">
        <f>IFERROR(__xludf.DUMMYFUNCTION("""COMPUTED_VALUE"""),"SCOPUS-000522")</f>
        <v>SCOPUS-000522</v>
      </c>
      <c r="B75" s="5" t="str">
        <f>IFERROR(__xludf.DUMMYFUNCTION("""COMPUTED_VALUE"""),"SCOPUS-000522-2")</f>
        <v>SCOPUS-000522-2</v>
      </c>
      <c r="C75" s="6" t="str">
        <f>IFERROR(__xludf.DUMMYFUNCTION("""COMPUTED_VALUE"""),"Faster-RCNN")</f>
        <v>Faster-RCNN</v>
      </c>
      <c r="D75" s="5" t="str">
        <f>IFERROR(__xludf.DUMMYFUNCTION("""COMPUTED_VALUE"""),"mAP@0.5")</f>
        <v>mAP@0.5</v>
      </c>
      <c r="E75" s="5" t="str">
        <f>IFERROR(__xludf.DUMMYFUNCTION("""COMPUTED_VALUE"""),"mAP@0.5")</f>
        <v>mAP@0.5</v>
      </c>
      <c r="F75" s="5">
        <f>IFERROR(__xludf.DUMMYFUNCTION("""COMPUTED_VALUE"""),89.135)</f>
        <v>89.135</v>
      </c>
    </row>
    <row r="76" ht="15.75" customHeight="1">
      <c r="A76" s="5" t="str">
        <f>IFERROR(__xludf.DUMMYFUNCTION("""COMPUTED_VALUE"""),"SCOPUS-000522")</f>
        <v>SCOPUS-000522</v>
      </c>
      <c r="B76" s="5" t="str">
        <f>IFERROR(__xludf.DUMMYFUNCTION("""COMPUTED_VALUE"""),"SCOPUS-000522-3")</f>
        <v>SCOPUS-000522-3</v>
      </c>
      <c r="C76" s="6" t="str">
        <f>IFERROR(__xludf.DUMMYFUNCTION("""COMPUTED_VALUE"""),"RetinaNet")</f>
        <v>RetinaNet</v>
      </c>
      <c r="D76" s="5" t="str">
        <f>IFERROR(__xludf.DUMMYFUNCTION("""COMPUTED_VALUE"""),"mAP@0.5")</f>
        <v>mAP@0.5</v>
      </c>
      <c r="E76" s="5" t="str">
        <f>IFERROR(__xludf.DUMMYFUNCTION("""COMPUTED_VALUE"""),"mAP@0.5")</f>
        <v>mAP@0.5</v>
      </c>
      <c r="F76" s="5">
        <f>IFERROR(__xludf.DUMMYFUNCTION("""COMPUTED_VALUE"""),90.354)</f>
        <v>90.354</v>
      </c>
    </row>
    <row r="77" ht="15.75" customHeight="1">
      <c r="A77" s="5" t="str">
        <f>IFERROR(__xludf.DUMMYFUNCTION("""COMPUTED_VALUE"""),"SCOPUS-000487")</f>
        <v>SCOPUS-000487</v>
      </c>
      <c r="B77" s="5" t="str">
        <f>IFERROR(__xludf.DUMMYFUNCTION("""COMPUTED_VALUE"""),"SCOPUS-000487-2")</f>
        <v>SCOPUS-000487-2</v>
      </c>
      <c r="C77" s="6" t="str">
        <f>IFERROR(__xludf.DUMMYFUNCTION("""COMPUTED_VALUE"""),"U-Net Original")</f>
        <v>U-Net Original</v>
      </c>
      <c r="D77" s="5" t="str">
        <f>IFERROR(__xludf.DUMMYFUNCTION("""COMPUTED_VALUE"""),"mIoU")</f>
        <v>mIoU</v>
      </c>
      <c r="E77" s="5" t="str">
        <f>IFERROR(__xludf.DUMMYFUNCTION("""COMPUTED_VALUE"""),"mIoU")</f>
        <v>mIoU</v>
      </c>
      <c r="F77" s="5">
        <f>IFERROR(__xludf.DUMMYFUNCTION("""COMPUTED_VALUE"""),68.0)</f>
        <v>68</v>
      </c>
    </row>
    <row r="78" ht="15.75" customHeight="1">
      <c r="A78" s="5" t="str">
        <f>IFERROR(__xludf.DUMMYFUNCTION("""COMPUTED_VALUE"""),"SCOPUS-000487")</f>
        <v>SCOPUS-000487</v>
      </c>
      <c r="B78" s="5" t="str">
        <f>IFERROR(__xludf.DUMMYFUNCTION("""COMPUTED_VALUE"""),"SCOPUS-000487-3")</f>
        <v>SCOPUS-000487-3</v>
      </c>
      <c r="C78" s="6" t="str">
        <f>IFERROR(__xludf.DUMMYFUNCTION("""COMPUTED_VALUE"""),"UNet-ResNet Original")</f>
        <v>UNet-ResNet Original</v>
      </c>
      <c r="D78" s="5" t="str">
        <f>IFERROR(__xludf.DUMMYFUNCTION("""COMPUTED_VALUE"""),"mIoU")</f>
        <v>mIoU</v>
      </c>
      <c r="E78" s="5" t="str">
        <f>IFERROR(__xludf.DUMMYFUNCTION("""COMPUTED_VALUE"""),"mIoU")</f>
        <v>mIoU</v>
      </c>
      <c r="F78" s="5">
        <f>IFERROR(__xludf.DUMMYFUNCTION("""COMPUTED_VALUE"""),67.0)</f>
        <v>67</v>
      </c>
    </row>
    <row r="79" ht="15.75" customHeight="1">
      <c r="A79" s="5" t="str">
        <f>IFERROR(__xludf.DUMMYFUNCTION("""COMPUTED_VALUE"""),"SCOPUS-000487")</f>
        <v>SCOPUS-000487</v>
      </c>
      <c r="B79" s="5" t="str">
        <f>IFERROR(__xludf.DUMMYFUNCTION("""COMPUTED_VALUE"""),"SCOPUS-000487-4")</f>
        <v>SCOPUS-000487-4</v>
      </c>
      <c r="C79" s="6" t="str">
        <f>IFERROR(__xludf.DUMMYFUNCTION("""COMPUTED_VALUE"""),"Bonnet Original")</f>
        <v>Bonnet Original</v>
      </c>
      <c r="D79" s="5" t="str">
        <f>IFERROR(__xludf.DUMMYFUNCTION("""COMPUTED_VALUE"""),"mIoU")</f>
        <v>mIoU</v>
      </c>
      <c r="E79" s="5" t="str">
        <f>IFERROR(__xludf.DUMMYFUNCTION("""COMPUTED_VALUE"""),"mIoU")</f>
        <v>mIoU</v>
      </c>
      <c r="F79" s="5">
        <f>IFERROR(__xludf.DUMMYFUNCTION("""COMPUTED_VALUE"""),70.0)</f>
        <v>70</v>
      </c>
    </row>
    <row r="80" ht="15.75" customHeight="1">
      <c r="A80" s="5" t="str">
        <f>IFERROR(__xludf.DUMMYFUNCTION("""COMPUTED_VALUE"""),"SCOPUS-000045")</f>
        <v>SCOPUS-000045</v>
      </c>
      <c r="B80" s="5" t="str">
        <f>IFERROR(__xludf.DUMMYFUNCTION("""COMPUTED_VALUE"""),"SCOPUS-000045-2")</f>
        <v>SCOPUS-000045-2</v>
      </c>
      <c r="C80" s="6" t="str">
        <f>IFERROR(__xludf.DUMMYFUNCTION("""COMPUTED_VALUE"""),"Original (RGB + NIR)")</f>
        <v>Original (RGB + NIR)</v>
      </c>
      <c r="D80" s="5" t="str">
        <f>IFERROR(__xludf.DUMMYFUNCTION("""COMPUTED_VALUE"""),"mIoU")</f>
        <v>mIoU</v>
      </c>
      <c r="E80" s="5" t="str">
        <f>IFERROR(__xludf.DUMMYFUNCTION("""COMPUTED_VALUE"""),"mIoU")</f>
        <v>mIoU</v>
      </c>
      <c r="F80" s="5">
        <f>IFERROR(__xludf.DUMMYFUNCTION("""COMPUTED_VALUE"""),77.0)</f>
        <v>77</v>
      </c>
    </row>
    <row r="81" ht="15.75" customHeight="1">
      <c r="A81" s="5" t="str">
        <f>IFERROR(__xludf.DUMMYFUNCTION("""COMPUTED_VALUE"""),"SCOPUS-000139")</f>
        <v>SCOPUS-000139</v>
      </c>
      <c r="B81" s="5" t="str">
        <f>IFERROR(__xludf.DUMMYFUNCTION("""COMPUTED_VALUE"""),"SCOPUS-000139-2")</f>
        <v>SCOPUS-000139-2</v>
      </c>
      <c r="C81" s="6" t="str">
        <f>IFERROR(__xludf.DUMMYFUNCTION("""COMPUTED_VALUE"""),"YOLOv8n (Real data only)")</f>
        <v>YOLOv8n (Real data only)</v>
      </c>
      <c r="D81" s="5" t="str">
        <f>IFERROR(__xludf.DUMMYFUNCTION("""COMPUTED_VALUE"""),"mAP@0.5")</f>
        <v>mAP@0.5</v>
      </c>
      <c r="E81" s="5" t="str">
        <f>IFERROR(__xludf.DUMMYFUNCTION("""COMPUTED_VALUE"""),"mAP@0.5")</f>
        <v>mAP@0.5</v>
      </c>
      <c r="F81" s="5">
        <f>IFERROR(__xludf.DUMMYFUNCTION("""COMPUTED_VALUE"""),87.6)</f>
        <v>87.6</v>
      </c>
    </row>
    <row r="82" ht="15.75" customHeight="1">
      <c r="A82" s="5" t="str">
        <f>IFERROR(__xludf.DUMMYFUNCTION("""COMPUTED_VALUE"""),"SCOPUS-000139")</f>
        <v>SCOPUS-000139</v>
      </c>
      <c r="B82" s="5" t="str">
        <f>IFERROR(__xludf.DUMMYFUNCTION("""COMPUTED_VALUE"""),"SCOPUS-000139-3")</f>
        <v>SCOPUS-000139-3</v>
      </c>
      <c r="C82" s="6" t="str">
        <f>IFERROR(__xludf.DUMMYFUNCTION("""COMPUTED_VALUE"""),"YOLOv9s (Real data only)")</f>
        <v>YOLOv9s (Real data only)</v>
      </c>
      <c r="D82" s="5" t="str">
        <f>IFERROR(__xludf.DUMMYFUNCTION("""COMPUTED_VALUE"""),"mAP@0.5")</f>
        <v>mAP@0.5</v>
      </c>
      <c r="E82" s="5" t="str">
        <f>IFERROR(__xludf.DUMMYFUNCTION("""COMPUTED_VALUE"""),"mAP@0.5")</f>
        <v>mAP@0.5</v>
      </c>
      <c r="F82" s="5">
        <f>IFERROR(__xludf.DUMMYFUNCTION("""COMPUTED_VALUE"""),88.7)</f>
        <v>88.7</v>
      </c>
    </row>
    <row r="83" ht="15.75" customHeight="1">
      <c r="A83" s="5" t="str">
        <f>IFERROR(__xludf.DUMMYFUNCTION("""COMPUTED_VALUE"""),"SCOPUS-000139")</f>
        <v>SCOPUS-000139</v>
      </c>
      <c r="B83" s="5" t="str">
        <f>IFERROR(__xludf.DUMMYFUNCTION("""COMPUTED_VALUE"""),"SCOPUS-000139-4")</f>
        <v>SCOPUS-000139-4</v>
      </c>
      <c r="C83" s="6" t="str">
        <f>IFERROR(__xludf.DUMMYFUNCTION("""COMPUTED_VALUE"""),"YOLOv10s (Real data only)")</f>
        <v>YOLOv10s (Real data only)</v>
      </c>
      <c r="D83" s="5" t="str">
        <f>IFERROR(__xludf.DUMMYFUNCTION("""COMPUTED_VALUE"""),"mAP@0.5")</f>
        <v>mAP@0.5</v>
      </c>
      <c r="E83" s="5" t="str">
        <f>IFERROR(__xludf.DUMMYFUNCTION("""COMPUTED_VALUE"""),"mAP@0.5")</f>
        <v>mAP@0.5</v>
      </c>
      <c r="F83" s="5">
        <f>IFERROR(__xludf.DUMMYFUNCTION("""COMPUTED_VALUE"""),79.9)</f>
        <v>79.9</v>
      </c>
    </row>
    <row r="84" ht="15.75" customHeight="1">
      <c r="A84" s="5" t="str">
        <f>IFERROR(__xludf.DUMMYFUNCTION("""COMPUTED_VALUE"""),"SCOPUS-000074")</f>
        <v>SCOPUS-000074</v>
      </c>
      <c r="B84" s="5" t="str">
        <f>IFERROR(__xludf.DUMMYFUNCTION("""COMPUTED_VALUE"""),"SCOPUS-000074-1")</f>
        <v>SCOPUS-000074-1</v>
      </c>
      <c r="C84" s="6" t="str">
        <f>IFERROR(__xludf.DUMMYFUNCTION("""COMPUTED_VALUE"""),"SegNet512")</f>
        <v>SegNet512</v>
      </c>
      <c r="D84" s="5" t="str">
        <f>IFERROR(__xludf.DUMMYFUNCTION("""COMPUTED_VALUE"""),"mIoU")</f>
        <v>mIoU</v>
      </c>
      <c r="E84" s="5" t="str">
        <f>IFERROR(__xludf.DUMMYFUNCTION("""COMPUTED_VALUE"""),"mIoU")</f>
        <v>mIoU</v>
      </c>
      <c r="F84" s="5">
        <f>IFERROR(__xludf.DUMMYFUNCTION("""COMPUTED_VALUE"""),75.23)</f>
        <v>75.23</v>
      </c>
    </row>
    <row r="85" ht="15.75" customHeight="1">
      <c r="A85" s="5" t="str">
        <f>IFERROR(__xludf.DUMMYFUNCTION("""COMPUTED_VALUE"""),"SCOPUS-000107")</f>
        <v>SCOPUS-000107</v>
      </c>
      <c r="B85" s="5" t="str">
        <f>IFERROR(__xludf.DUMMYFUNCTION("""COMPUTED_VALUE"""),"SCOPUS-000107-1")</f>
        <v>SCOPUS-000107-1</v>
      </c>
      <c r="C85" s="6" t="str">
        <f>IFERROR(__xludf.DUMMYFUNCTION("""COMPUTED_VALUE"""),"Student without KD")</f>
        <v>Student without KD</v>
      </c>
      <c r="D85" s="5" t="str">
        <f>IFERROR(__xludf.DUMMYFUNCTION("""COMPUTED_VALUE"""),"mIoU")</f>
        <v>mIoU</v>
      </c>
      <c r="E85" s="5" t="str">
        <f>IFERROR(__xludf.DUMMYFUNCTION("""COMPUTED_VALUE"""),"mIoU")</f>
        <v>mIoU</v>
      </c>
      <c r="F85" s="5">
        <f>IFERROR(__xludf.DUMMYFUNCTION("""COMPUTED_VALUE"""),84.53)</f>
        <v>84.53</v>
      </c>
    </row>
    <row r="86" ht="15.75" customHeight="1">
      <c r="A86" s="5" t="str">
        <f>IFERROR(__xludf.DUMMYFUNCTION("""COMPUTED_VALUE"""),"SCOPUS-000193")</f>
        <v>SCOPUS-000193</v>
      </c>
      <c r="B86" s="5" t="str">
        <f>IFERROR(__xludf.DUMMYFUNCTION("""COMPUTED_VALUE"""),"SCOPUS-000193-1")</f>
        <v>SCOPUS-000193-1</v>
      </c>
      <c r="C86" s="6" t="str">
        <f>IFERROR(__xludf.DUMMYFUNCTION("""COMPUTED_VALUE"""),"DAB-DETR")</f>
        <v>DAB-DETR</v>
      </c>
      <c r="D86" s="5" t="str">
        <f>IFERROR(__xludf.DUMMYFUNCTION("""COMPUTED_VALUE"""),"mAP@0.5")</f>
        <v>mAP@0.5</v>
      </c>
      <c r="E86" s="5" t="str">
        <f>IFERROR(__xludf.DUMMYFUNCTION("""COMPUTED_VALUE"""),"mAP@0.5")</f>
        <v>mAP@0.5</v>
      </c>
      <c r="F86" s="5">
        <f>IFERROR(__xludf.DUMMYFUNCTION("""COMPUTED_VALUE"""),63.5)</f>
        <v>63.5</v>
      </c>
    </row>
    <row r="87" ht="15.75" customHeight="1">
      <c r="A87" s="5" t="str">
        <f>IFERROR(__xludf.DUMMYFUNCTION("""COMPUTED_VALUE"""),"SCOPUS-000092")</f>
        <v>SCOPUS-000092</v>
      </c>
      <c r="B87" s="5" t="str">
        <f>IFERROR(__xludf.DUMMYFUNCTION("""COMPUTED_VALUE"""),"SCOPUS-000092-1")</f>
        <v>SCOPUS-000092-1</v>
      </c>
      <c r="C87" s="6" t="str">
        <f>IFERROR(__xludf.DUMMYFUNCTION("""COMPUTED_VALUE"""),"RF-DETR (supervised)")</f>
        <v>RF-DETR (supervised)</v>
      </c>
      <c r="D87" s="5" t="str">
        <f>IFERROR(__xludf.DUMMYFUNCTION("""COMPUTED_VALUE"""),"mAP@0.5")</f>
        <v>mAP@0.5</v>
      </c>
      <c r="E87" s="5" t="str">
        <f>IFERROR(__xludf.DUMMYFUNCTION("""COMPUTED_VALUE"""),"mAP@0.5")</f>
        <v>mAP@0.5</v>
      </c>
      <c r="F87" s="5">
        <f>IFERROR(__xludf.DUMMYFUNCTION("""COMPUTED_VALUE"""),77.7)</f>
        <v>77.7</v>
      </c>
    </row>
    <row r="88" ht="15.75" customHeight="1">
      <c r="A88" s="5" t="str">
        <f>IFERROR(__xludf.DUMMYFUNCTION("""COMPUTED_VALUE"""),"SCOPUS-000296")</f>
        <v>SCOPUS-000296</v>
      </c>
      <c r="B88" s="5" t="str">
        <f>IFERROR(__xludf.DUMMYFUNCTION("""COMPUTED_VALUE"""),"SCOPUS-000296-1")</f>
        <v>SCOPUS-000296-1</v>
      </c>
      <c r="C88" s="6" t="str">
        <f>IFERROR(__xludf.DUMMYFUNCTION("""COMPUTED_VALUE"""),"SSD")</f>
        <v>SSD</v>
      </c>
      <c r="D88" s="5" t="str">
        <f>IFERROR(__xludf.DUMMYFUNCTION("""COMPUTED_VALUE"""),"mAP@0.5")</f>
        <v>mAP@0.5</v>
      </c>
      <c r="E88" s="5" t="str">
        <f>IFERROR(__xludf.DUMMYFUNCTION("""COMPUTED_VALUE"""),"mAP@0.5")</f>
        <v>mAP@0.5</v>
      </c>
      <c r="F88" s="5">
        <f>IFERROR(__xludf.DUMMYFUNCTION("""COMPUTED_VALUE"""),93.3)</f>
        <v>93.3</v>
      </c>
    </row>
    <row r="89" ht="15.75" customHeight="1">
      <c r="A89" s="5" t="str">
        <f>IFERROR(__xludf.DUMMYFUNCTION("""COMPUTED_VALUE"""),"SCOPUS-000255")</f>
        <v>SCOPUS-000255</v>
      </c>
      <c r="B89" s="5" t="str">
        <f>IFERROR(__xludf.DUMMYFUNCTION("""COMPUTED_VALUE"""),"SCOPUS-000255-1")</f>
        <v>SCOPUS-000255-1</v>
      </c>
      <c r="C89" s="6" t="str">
        <f>IFERROR(__xludf.DUMMYFUNCTION("""COMPUTED_VALUE"""),"FastFCN")</f>
        <v>FastFCN</v>
      </c>
      <c r="D89" s="5" t="str">
        <f>IFERROR(__xludf.DUMMYFUNCTION("""COMPUTED_VALUE"""),"mIoU")</f>
        <v>mIoU</v>
      </c>
      <c r="E89" s="5" t="str">
        <f>IFERROR(__xludf.DUMMYFUNCTION("""COMPUTED_VALUE"""),"mIoU")</f>
        <v>mIoU</v>
      </c>
      <c r="F89" s="5">
        <f>IFERROR(__xludf.DUMMYFUNCTION("""COMPUTED_VALUE"""),75.4)</f>
        <v>75.4</v>
      </c>
    </row>
    <row r="90" ht="15.75" customHeight="1">
      <c r="A90" s="5" t="str">
        <f>IFERROR(__xludf.DUMMYFUNCTION("""COMPUTED_VALUE"""),"SCOPUS-000223")</f>
        <v>SCOPUS-000223</v>
      </c>
      <c r="B90" s="5" t="str">
        <f>IFERROR(__xludf.DUMMYFUNCTION("""COMPUTED_VALUE"""),"SCOPUS-000223-1")</f>
        <v>SCOPUS-000223-1</v>
      </c>
      <c r="C90" s="6" t="str">
        <f>IFERROR(__xludf.DUMMYFUNCTION("""COMPUTED_VALUE"""),"YOLOv10n")</f>
        <v>YOLOv10n</v>
      </c>
      <c r="D90" s="5" t="str">
        <f>IFERROR(__xludf.DUMMYFUNCTION("""COMPUTED_VALUE"""),"mAP@0.5")</f>
        <v>mAP@0.5</v>
      </c>
      <c r="E90" s="5" t="str">
        <f>IFERROR(__xludf.DUMMYFUNCTION("""COMPUTED_VALUE"""),"mAP@0.5")</f>
        <v>mAP@0.5</v>
      </c>
      <c r="F90" s="5">
        <f>IFERROR(__xludf.DUMMYFUNCTION("""COMPUTED_VALUE"""),68.1)</f>
        <v>68.1</v>
      </c>
    </row>
    <row r="91" ht="15.75" customHeight="1">
      <c r="A91" s="5" t="str">
        <f>IFERROR(__xludf.DUMMYFUNCTION("""COMPUTED_VALUE"""),"SCOPUS-000216")</f>
        <v>SCOPUS-000216</v>
      </c>
      <c r="B91" s="5" t="str">
        <f>IFERROR(__xludf.DUMMYFUNCTION("""COMPUTED_VALUE"""),"SCOPUS-000216-1")</f>
        <v>SCOPUS-000216-1</v>
      </c>
      <c r="C91" s="6" t="str">
        <f>IFERROR(__xludf.DUMMYFUNCTION("""COMPUTED_VALUE"""),"YOLOv12-small")</f>
        <v>YOLOv12-small</v>
      </c>
      <c r="D91" s="5" t="str">
        <f>IFERROR(__xludf.DUMMYFUNCTION("""COMPUTED_VALUE"""),"mAP@0.5")</f>
        <v>mAP@0.5</v>
      </c>
      <c r="E91" s="5" t="str">
        <f>IFERROR(__xludf.DUMMYFUNCTION("""COMPUTED_VALUE"""),"mAP@0.5")</f>
        <v>mAP@0.5</v>
      </c>
      <c r="F91" s="5">
        <f>IFERROR(__xludf.DUMMYFUNCTION("""COMPUTED_VALUE"""),86.2)</f>
        <v>86.2</v>
      </c>
    </row>
    <row r="92" ht="15.75" customHeight="1">
      <c r="A92" s="5" t="str">
        <f>IFERROR(__xludf.DUMMYFUNCTION("""COMPUTED_VALUE"""),"SCOPUS-000168")</f>
        <v>SCOPUS-000168</v>
      </c>
      <c r="B92" s="5" t="str">
        <f>IFERROR(__xludf.DUMMYFUNCTION("""COMPUTED_VALUE"""),"SCOPUS-000168-1")</f>
        <v>SCOPUS-000168-1</v>
      </c>
      <c r="C92" s="6" t="str">
        <f>IFERROR(__xludf.DUMMYFUNCTION("""COMPUTED_VALUE"""),"Neural Network")</f>
        <v>Neural Network</v>
      </c>
      <c r="D92" s="5" t="str">
        <f>IFERROR(__xludf.DUMMYFUNCTION("""COMPUTED_VALUE"""),"Accuracy")</f>
        <v>Accuracy</v>
      </c>
      <c r="E92" s="5" t="str">
        <f>IFERROR(__xludf.DUMMYFUNCTION("""COMPUTED_VALUE"""),"Accuracy")</f>
        <v>Accuracy</v>
      </c>
      <c r="F92" s="5">
        <f>IFERROR(__xludf.DUMMYFUNCTION("""COMPUTED_VALUE"""),48.3)</f>
        <v>48.3</v>
      </c>
    </row>
    <row r="93" ht="15.75" customHeight="1">
      <c r="A93" s="5" t="str">
        <f>IFERROR(__xludf.DUMMYFUNCTION("""COMPUTED_VALUE"""),"SCOPUS-000066")</f>
        <v>SCOPUS-000066</v>
      </c>
      <c r="B93" s="5" t="str">
        <f>IFERROR(__xludf.DUMMYFUNCTION("""COMPUTED_VALUE"""),"SCOPUS-000066-1")</f>
        <v>SCOPUS-000066-1</v>
      </c>
      <c r="C93" s="6" t="str">
        <f>IFERROR(__xludf.DUMMYFUNCTION("""COMPUTED_VALUE"""),"DeepLabV3 (ResNet-50)")</f>
        <v>DeepLabV3 (ResNet-50)</v>
      </c>
      <c r="D93" s="5" t="str">
        <f>IFERROR(__xludf.DUMMYFUNCTION("""COMPUTED_VALUE"""),"mIoU")</f>
        <v>mIoU</v>
      </c>
      <c r="E93" s="5" t="str">
        <f>IFERROR(__xludf.DUMMYFUNCTION("""COMPUTED_VALUE"""),"mIoU")</f>
        <v>mIoU</v>
      </c>
      <c r="F93" s="5">
        <f>IFERROR(__xludf.DUMMYFUNCTION("""COMPUTED_VALUE"""),87.4)</f>
        <v>87.4</v>
      </c>
    </row>
    <row r="94" ht="15.75" customHeight="1">
      <c r="A94" s="5" t="str">
        <f>IFERROR(__xludf.DUMMYFUNCTION("""COMPUTED_VALUE"""),"SCOPUS-000015")</f>
        <v>SCOPUS-000015</v>
      </c>
      <c r="B94" s="5" t="str">
        <f>IFERROR(__xludf.DUMMYFUNCTION("""COMPUTED_VALUE"""),"SCOPUS-000015-1")</f>
        <v>SCOPUS-000015-1</v>
      </c>
      <c r="C94" s="6" t="str">
        <f>IFERROR(__xludf.DUMMYFUNCTION("""COMPUTED_VALUE"""),"SegNet")</f>
        <v>SegNet</v>
      </c>
      <c r="D94" s="5" t="str">
        <f>IFERROR(__xludf.DUMMYFUNCTION("""COMPUTED_VALUE"""),"mIoU")</f>
        <v>mIoU</v>
      </c>
      <c r="E94" s="5" t="str">
        <f>IFERROR(__xludf.DUMMYFUNCTION("""COMPUTED_VALUE"""),"mIoU")</f>
        <v>mIoU</v>
      </c>
      <c r="F94" s="5">
        <f>IFERROR(__xludf.DUMMYFUNCTION("""COMPUTED_VALUE"""),63.44)</f>
        <v>63.44</v>
      </c>
    </row>
    <row r="95" ht="15.75" customHeight="1">
      <c r="A95" s="5" t="str">
        <f>IFERROR(__xludf.DUMMYFUNCTION("""COMPUTED_VALUE"""),"SCOPUS-000180")</f>
        <v>SCOPUS-000180</v>
      </c>
      <c r="B95" s="5" t="str">
        <f>IFERROR(__xludf.DUMMYFUNCTION("""COMPUTED_VALUE"""),"SCOPUS-000180-1")</f>
        <v>SCOPUS-000180-1</v>
      </c>
      <c r="C95" s="6" t="str">
        <f>IFERROR(__xludf.DUMMYFUNCTION("""COMPUTED_VALUE"""),"Faster-R-CNN")</f>
        <v>Faster-R-CNN</v>
      </c>
      <c r="D95" s="5" t="str">
        <f>IFERROR(__xludf.DUMMYFUNCTION("""COMPUTED_VALUE"""),"mAP@0.5")</f>
        <v>mAP@0.5</v>
      </c>
      <c r="E95" s="5" t="str">
        <f>IFERROR(__xludf.DUMMYFUNCTION("""COMPUTED_VALUE"""),"mAP@0.5")</f>
        <v>mAP@0.5</v>
      </c>
      <c r="F95" s="5">
        <f>IFERROR(__xludf.DUMMYFUNCTION("""COMPUTED_VALUE"""),72.8)</f>
        <v>72.8</v>
      </c>
    </row>
    <row r="96" ht="15.75" customHeight="1">
      <c r="A96" s="5" t="str">
        <f>IFERROR(__xludf.DUMMYFUNCTION("""COMPUTED_VALUE"""),"SCOPUS-000065")</f>
        <v>SCOPUS-000065</v>
      </c>
      <c r="B96" s="5" t="str">
        <f>IFERROR(__xludf.DUMMYFUNCTION("""COMPUTED_VALUE"""),"SCOPUS-000065-1")</f>
        <v>SCOPUS-000065-1</v>
      </c>
      <c r="C96" s="6" t="str">
        <f>IFERROR(__xludf.DUMMYFUNCTION("""COMPUTED_VALUE"""),"PSPNET")</f>
        <v>PSPNET</v>
      </c>
      <c r="D96" s="5" t="str">
        <f>IFERROR(__xludf.DUMMYFUNCTION("""COMPUTED_VALUE"""),"mIoU")</f>
        <v>mIoU</v>
      </c>
      <c r="E96" s="5" t="str">
        <f>IFERROR(__xludf.DUMMYFUNCTION("""COMPUTED_VALUE"""),"mIoU")</f>
        <v>mIoU</v>
      </c>
      <c r="F96" s="5">
        <f>IFERROR(__xludf.DUMMYFUNCTION("""COMPUTED_VALUE"""),74.45)</f>
        <v>74.45</v>
      </c>
    </row>
    <row r="97" ht="15.75" customHeight="1">
      <c r="A97" s="5"/>
      <c r="B97" s="5"/>
      <c r="C97" s="6"/>
      <c r="D97" s="5"/>
      <c r="E97" s="5"/>
      <c r="F97" s="5"/>
    </row>
    <row r="98" ht="15.75" customHeight="1">
      <c r="A98" s="5" t="str">
        <f>IFERROR(__xludf.DUMMYFUNCTION("""COMPUTED_VALUE"""),"WEBSCI-000402")</f>
        <v>WEBSCI-000402</v>
      </c>
      <c r="B98" s="5" t="str">
        <f>IFERROR(__xludf.DUMMYFUNCTION("""COMPUTED_VALUE"""),"WEBSCI-000402-1")</f>
        <v>WEBSCI-000402-1</v>
      </c>
      <c r="C98" s="6" t="str">
        <f>IFERROR(__xludf.DUMMYFUNCTION("""COMPUTED_VALUE"""),"VGG-16")</f>
        <v>VGG-16</v>
      </c>
      <c r="D98" s="5" t="str">
        <f>IFERROR(__xludf.DUMMYFUNCTION("""COMPUTED_VALUE"""),"Accuracy")</f>
        <v>Accuracy</v>
      </c>
      <c r="E98" s="5" t="str">
        <f>IFERROR(__xludf.DUMMYFUNCTION("""COMPUTED_VALUE"""),"Accuracy")</f>
        <v>Accuracy</v>
      </c>
      <c r="F98" s="5">
        <f>IFERROR(__xludf.DUMMYFUNCTION("""COMPUTED_VALUE"""),87.0)</f>
        <v>87</v>
      </c>
    </row>
    <row r="99" ht="15.75" customHeight="1">
      <c r="A99" s="5" t="str">
        <f>IFERROR(__xludf.DUMMYFUNCTION("""COMPUTED_VALUE"""),"SCOPUS-000300")</f>
        <v>SCOPUS-000300</v>
      </c>
      <c r="B99" s="5" t="str">
        <f>IFERROR(__xludf.DUMMYFUNCTION("""COMPUTED_VALUE"""),"SCOPUS-000300-1")</f>
        <v>SCOPUS-000300-1</v>
      </c>
      <c r="C99" s="6" t="str">
        <f>IFERROR(__xludf.DUMMYFUNCTION("""COMPUTED_VALUE"""),"YOLOX-S")</f>
        <v>YOLOX-S</v>
      </c>
      <c r="D99" s="5" t="str">
        <f>IFERROR(__xludf.DUMMYFUNCTION("""COMPUTED_VALUE"""),"mAP@0.5 (4K)")</f>
        <v>mAP@0.5 (4K)</v>
      </c>
      <c r="E99" s="5" t="str">
        <f>IFERROR(__xludf.DUMMYFUNCTION("""COMPUTED_VALUE"""),"mAP@0.5")</f>
        <v>mAP@0.5</v>
      </c>
      <c r="F99" s="5">
        <f>IFERROR(__xludf.DUMMYFUNCTION("""COMPUTED_VALUE"""),65.3)</f>
        <v>65.3</v>
      </c>
    </row>
    <row r="100" ht="15.75" customHeight="1">
      <c r="A100" s="5" t="str">
        <f>IFERROR(__xludf.DUMMYFUNCTION("""COMPUTED_VALUE"""),"SCOPUS-000099")</f>
        <v>SCOPUS-000099</v>
      </c>
      <c r="B100" s="5" t="str">
        <f>IFERROR(__xludf.DUMMYFUNCTION("""COMPUTED_VALUE"""),"SCOPUS-000099-1")</f>
        <v>SCOPUS-000099-1</v>
      </c>
      <c r="C100" s="6" t="str">
        <f>IFERROR(__xludf.DUMMYFUNCTION("""COMPUTED_VALUE"""),"YOLOv5s")</f>
        <v>YOLOv5s</v>
      </c>
      <c r="D100" s="5" t="str">
        <f>IFERROR(__xludf.DUMMYFUNCTION("""COMPUTED_VALUE"""),"mAP@0.5")</f>
        <v>mAP@0.5</v>
      </c>
      <c r="E100" s="5" t="str">
        <f>IFERROR(__xludf.DUMMYFUNCTION("""COMPUTED_VALUE"""),"mAP@0.5")</f>
        <v>mAP@0.5</v>
      </c>
      <c r="F100" s="5">
        <f>IFERROR(__xludf.DUMMYFUNCTION("""COMPUTED_VALUE"""),87.2)</f>
        <v>87.2</v>
      </c>
    </row>
    <row r="101" ht="15.75" customHeight="1">
      <c r="A101" s="5" t="str">
        <f>IFERROR(__xludf.DUMMYFUNCTION("""COMPUTED_VALUE"""),"SCOPUS-000290")</f>
        <v>SCOPUS-000290</v>
      </c>
      <c r="B101" s="5" t="str">
        <f>IFERROR(__xludf.DUMMYFUNCTION("""COMPUTED_VALUE"""),"SCOPUS-000290-1")</f>
        <v>SCOPUS-000290-1</v>
      </c>
      <c r="C101" s="6" t="str">
        <f>IFERROR(__xludf.DUMMYFUNCTION("""COMPUTED_VALUE"""),"Faster R-CNN")</f>
        <v>Faster R-CNN</v>
      </c>
      <c r="D101" s="5" t="str">
        <f>IFERROR(__xludf.DUMMYFUNCTION("""COMPUTED_VALUE"""),"mAP@0.5")</f>
        <v>mAP@0.5</v>
      </c>
      <c r="E101" s="5" t="str">
        <f>IFERROR(__xludf.DUMMYFUNCTION("""COMPUTED_VALUE"""),"mAP@0.5")</f>
        <v>mAP@0.5</v>
      </c>
      <c r="F101" s="5">
        <f>IFERROR(__xludf.DUMMYFUNCTION("""COMPUTED_VALUE"""),80.9)</f>
        <v>80.9</v>
      </c>
    </row>
    <row r="102" ht="15.75" customHeight="1">
      <c r="A102" s="5" t="str">
        <f>IFERROR(__xludf.DUMMYFUNCTION("""COMPUTED_VALUE"""),"SCOPUS-000274")</f>
        <v>SCOPUS-000274</v>
      </c>
      <c r="B102" s="5" t="str">
        <f>IFERROR(__xludf.DUMMYFUNCTION("""COMPUTED_VALUE"""),"SCOPUS-000274-1")</f>
        <v>SCOPUS-000274-1</v>
      </c>
      <c r="C102" s="6" t="str">
        <f>IFERROR(__xludf.DUMMYFUNCTION("""COMPUTED_VALUE"""),"SqueezeNet")</f>
        <v>SqueezeNet</v>
      </c>
      <c r="D102" s="5" t="str">
        <f>IFERROR(__xludf.DUMMYFUNCTION("""COMPUTED_VALUE"""),"Accuracy")</f>
        <v>Accuracy</v>
      </c>
      <c r="E102" s="5" t="str">
        <f>IFERROR(__xludf.DUMMYFUNCTION("""COMPUTED_VALUE"""),"Accuracy")</f>
        <v>Accuracy</v>
      </c>
      <c r="F102" s="5">
        <f>IFERROR(__xludf.DUMMYFUNCTION("""COMPUTED_VALUE"""),81.55)</f>
        <v>81.55</v>
      </c>
    </row>
    <row r="103" ht="15.75" customHeight="1">
      <c r="A103" s="5" t="str">
        <f>IFERROR(__xludf.DUMMYFUNCTION("""COMPUTED_VALUE"""),"SCOPUS-000131")</f>
        <v>SCOPUS-000131</v>
      </c>
      <c r="B103" s="5" t="str">
        <f>IFERROR(__xludf.DUMMYFUNCTION("""COMPUTED_VALUE"""),"SCOPUS-000131-1")</f>
        <v>SCOPUS-000131-1</v>
      </c>
      <c r="C103" s="6" t="str">
        <f>IFERROR(__xludf.DUMMYFUNCTION("""COMPUTED_VALUE"""),"Faster R-CNN")</f>
        <v>Faster R-CNN</v>
      </c>
      <c r="D103" s="5" t="str">
        <f>IFERROR(__xludf.DUMMYFUNCTION("""COMPUTED_VALUE"""),"mAP@0.5")</f>
        <v>mAP@0.5</v>
      </c>
      <c r="E103" s="5" t="str">
        <f>IFERROR(__xludf.DUMMYFUNCTION("""COMPUTED_VALUE"""),"mAP@0.5")</f>
        <v>mAP@0.5</v>
      </c>
      <c r="F103" s="5">
        <f>IFERROR(__xludf.DUMMYFUNCTION("""COMPUTED_VALUE"""),81.6)</f>
        <v>81.6</v>
      </c>
    </row>
    <row r="104" ht="15.75" customHeight="1">
      <c r="A104" s="5" t="str">
        <f>IFERROR(__xludf.DUMMYFUNCTION("""COMPUTED_VALUE"""),"SCOPUS-000323")</f>
        <v>SCOPUS-000323</v>
      </c>
      <c r="B104" s="5" t="str">
        <f>IFERROR(__xludf.DUMMYFUNCTION("""COMPUTED_VALUE"""),"SCOPUS-000323-8")</f>
        <v>SCOPUS-000323-8</v>
      </c>
      <c r="C104" s="6" t="str">
        <f>IFERROR(__xludf.DUMMYFUNCTION("""COMPUTED_VALUE"""),"DenseNet169")</f>
        <v>DenseNet169</v>
      </c>
      <c r="D104" s="5" t="str">
        <f>IFERROR(__xludf.DUMMYFUNCTION("""COMPUTED_VALUE"""),"Accuracy")</f>
        <v>Accuracy</v>
      </c>
      <c r="E104" s="5" t="str">
        <f>IFERROR(__xludf.DUMMYFUNCTION("""COMPUTED_VALUE"""),"Accuracy")</f>
        <v>Accuracy</v>
      </c>
      <c r="F104" s="5">
        <f>IFERROR(__xludf.DUMMYFUNCTION("""COMPUTED_VALUE"""),94.59)</f>
        <v>94.59</v>
      </c>
    </row>
    <row r="105" ht="15.75" customHeight="1">
      <c r="A105" s="5" t="str">
        <f>IFERROR(__xludf.DUMMYFUNCTION("""COMPUTED_VALUE"""),"SCOPUS-000574")</f>
        <v>SCOPUS-000574</v>
      </c>
      <c r="B105" s="5" t="str">
        <f>IFERROR(__xludf.DUMMYFUNCTION("""COMPUTED_VALUE"""),"SCOPUS-000574-2")</f>
        <v>SCOPUS-000574-2</v>
      </c>
      <c r="C105" s="6" t="str">
        <f>IFERROR(__xludf.DUMMYFUNCTION("""COMPUTED_VALUE"""),"DeepLab V3+ ResNet-101")</f>
        <v>DeepLab V3+ ResNet-101</v>
      </c>
      <c r="D105" s="5" t="str">
        <f>IFERROR(__xludf.DUMMYFUNCTION("""COMPUTED_VALUE"""),"mIoU")</f>
        <v>mIoU</v>
      </c>
      <c r="E105" s="5" t="str">
        <f>IFERROR(__xludf.DUMMYFUNCTION("""COMPUTED_VALUE"""),"mIoU")</f>
        <v>mIoU</v>
      </c>
      <c r="F105" s="5">
        <f>IFERROR(__xludf.DUMMYFUNCTION("""COMPUTED_VALUE"""),65.79)</f>
        <v>65.79</v>
      </c>
    </row>
    <row r="106" ht="15.75" customHeight="1">
      <c r="A106" s="5" t="str">
        <f>IFERROR(__xludf.DUMMYFUNCTION("""COMPUTED_VALUE"""),"SCOPUS-000637")</f>
        <v>SCOPUS-000637</v>
      </c>
      <c r="B106" s="5" t="str">
        <f>IFERROR(__xludf.DUMMYFUNCTION("""COMPUTED_VALUE"""),"SCOPUS-000637-5")</f>
        <v>SCOPUS-000637-5</v>
      </c>
      <c r="C106" s="6" t="str">
        <f>IFERROR(__xludf.DUMMYFUNCTION("""COMPUTED_VALUE"""),"YOLOv5s")</f>
        <v>YOLOv5s</v>
      </c>
      <c r="D106" s="5" t="str">
        <f>IFERROR(__xludf.DUMMYFUNCTION("""COMPUTED_VALUE"""),"mAP@0.5")</f>
        <v>mAP@0.5</v>
      </c>
      <c r="E106" s="5" t="str">
        <f>IFERROR(__xludf.DUMMYFUNCTION("""COMPUTED_VALUE"""),"mAP@0.5")</f>
        <v>mAP@0.5</v>
      </c>
      <c r="F106" s="5">
        <f>IFERROR(__xludf.DUMMYFUNCTION("""COMPUTED_VALUE"""),84.1)</f>
        <v>84.1</v>
      </c>
    </row>
    <row r="107" ht="15.75" customHeight="1">
      <c r="A107" s="5" t="str">
        <f>IFERROR(__xludf.DUMMYFUNCTION("""COMPUTED_VALUE"""),"SCOPUS-000719")</f>
        <v>SCOPUS-000719</v>
      </c>
      <c r="B107" s="5" t="str">
        <f>IFERROR(__xludf.DUMMYFUNCTION("""COMPUTED_VALUE"""),"SCOPUS-000719-5")</f>
        <v>SCOPUS-000719-5</v>
      </c>
      <c r="C107" s="6" t="str">
        <f>IFERROR(__xludf.DUMMYFUNCTION("""COMPUTED_VALUE"""),"FCN8s")</f>
        <v>FCN8s</v>
      </c>
      <c r="D107" s="5" t="str">
        <f>IFERROR(__xludf.DUMMYFUNCTION("""COMPUTED_VALUE"""),"mIoU")</f>
        <v>mIoU</v>
      </c>
      <c r="E107" s="5" t="str">
        <f>IFERROR(__xludf.DUMMYFUNCTION("""COMPUTED_VALUE"""),"mIoU")</f>
        <v>mIoU</v>
      </c>
      <c r="F107" s="5">
        <f>IFERROR(__xludf.DUMMYFUNCTION("""COMPUTED_VALUE"""),84.74)</f>
        <v>84.74</v>
      </c>
    </row>
    <row r="108" ht="15.75" customHeight="1">
      <c r="A108" s="5" t="str">
        <f>IFERROR(__xludf.DUMMYFUNCTION("""COMPUTED_VALUE"""),"SCOPUS-000065")</f>
        <v>SCOPUS-000065</v>
      </c>
      <c r="B108" s="5" t="str">
        <f>IFERROR(__xludf.DUMMYFUNCTION("""COMPUTED_VALUE"""),"SCOPUS-000065-5")</f>
        <v>SCOPUS-000065-5</v>
      </c>
      <c r="C108" s="6" t="str">
        <f>IFERROR(__xludf.DUMMYFUNCTION("""COMPUTED_VALUE"""),"DeepLabV3+ ResNeSt")</f>
        <v>DeepLabV3+ ResNeSt</v>
      </c>
      <c r="D108" s="5" t="str">
        <f>IFERROR(__xludf.DUMMYFUNCTION("""COMPUTED_VALUE"""),"mIoU")</f>
        <v>mIoU</v>
      </c>
      <c r="E108" s="5" t="str">
        <f>IFERROR(__xludf.DUMMYFUNCTION("""COMPUTED_VALUE"""),"mIoU")</f>
        <v>mIoU</v>
      </c>
      <c r="F108" s="5">
        <f>IFERROR(__xludf.DUMMYFUNCTION("""COMPUTED_VALUE"""),82.96)</f>
        <v>82.96</v>
      </c>
    </row>
    <row r="109" ht="15.75" customHeight="1">
      <c r="A109" s="5" t="str">
        <f>IFERROR(__xludf.DUMMYFUNCTION("""COMPUTED_VALUE"""),"SCOPUS-000030")</f>
        <v>SCOPUS-000030</v>
      </c>
      <c r="B109" s="5" t="str">
        <f>IFERROR(__xludf.DUMMYFUNCTION("""COMPUTED_VALUE"""),"SCOPUS-000030-1")</f>
        <v>SCOPUS-000030-1</v>
      </c>
      <c r="C109" s="6" t="str">
        <f>IFERROR(__xludf.DUMMYFUNCTION("""COMPUTED_VALUE"""),"YOLOv8")</f>
        <v>YOLOv8</v>
      </c>
      <c r="D109" s="5" t="str">
        <f>IFERROR(__xludf.DUMMYFUNCTION("""COMPUTED_VALUE"""),"mIoU")</f>
        <v>mIoU</v>
      </c>
      <c r="E109" s="5" t="str">
        <f>IFERROR(__xludf.DUMMYFUNCTION("""COMPUTED_VALUE"""),"mIoU")</f>
        <v>mIoU</v>
      </c>
      <c r="F109" s="5">
        <f>IFERROR(__xludf.DUMMYFUNCTION("""COMPUTED_VALUE"""),50.53)</f>
        <v>50.53</v>
      </c>
    </row>
    <row r="110" ht="15.75" customHeight="1">
      <c r="A110" s="5" t="str">
        <f>IFERROR(__xludf.DUMMYFUNCTION("""COMPUTED_VALUE"""),"SCOPUS-000030")</f>
        <v>SCOPUS-000030</v>
      </c>
      <c r="B110" s="5" t="str">
        <f>IFERROR(__xludf.DUMMYFUNCTION("""COMPUTED_VALUE"""),"SCOPUS-000030-2")</f>
        <v>SCOPUS-000030-2</v>
      </c>
      <c r="C110" s="6" t="str">
        <f>IFERROR(__xludf.DUMMYFUNCTION("""COMPUTED_VALUE"""),"YOLOv5")</f>
        <v>YOLOv5</v>
      </c>
      <c r="D110" s="5" t="str">
        <f>IFERROR(__xludf.DUMMYFUNCTION("""COMPUTED_VALUE"""),"mIoU")</f>
        <v>mIoU</v>
      </c>
      <c r="E110" s="5" t="str">
        <f>IFERROR(__xludf.DUMMYFUNCTION("""COMPUTED_VALUE"""),"mIoU")</f>
        <v>mIoU</v>
      </c>
      <c r="F110" s="5">
        <f>IFERROR(__xludf.DUMMYFUNCTION("""COMPUTED_VALUE"""),57.8)</f>
        <v>57.8</v>
      </c>
    </row>
    <row r="111" ht="15.75" customHeight="1">
      <c r="A111" s="5" t="str">
        <f>IFERROR(__xludf.DUMMYFUNCTION("""COMPUTED_VALUE"""),"SCOPUS-000001")</f>
        <v>SCOPUS-000001</v>
      </c>
      <c r="B111" s="5" t="str">
        <f>IFERROR(__xludf.DUMMYFUNCTION("""COMPUTED_VALUE"""),"SCOPUS-000001-1")</f>
        <v>SCOPUS-000001-1</v>
      </c>
      <c r="C111" s="6" t="str">
        <f>IFERROR(__xludf.DUMMYFUNCTION("""COMPUTED_VALUE"""),"Faster R-CNN (Detectron2)")</f>
        <v>Faster R-CNN (Detectron2)</v>
      </c>
      <c r="D111" s="5" t="str">
        <f>IFERROR(__xludf.DUMMYFUNCTION("""COMPUTED_VALUE"""),"mAP@0.5")</f>
        <v>mAP@0.5</v>
      </c>
      <c r="E111" s="5" t="str">
        <f>IFERROR(__xludf.DUMMYFUNCTION("""COMPUTED_VALUE"""),"mAP@0.5")</f>
        <v>mAP@0.5</v>
      </c>
      <c r="F111" s="5">
        <f>IFERROR(__xludf.DUMMYFUNCTION("""COMPUTED_VALUE"""),86.5)</f>
        <v>86.5</v>
      </c>
    </row>
    <row r="112" ht="15.75" customHeight="1">
      <c r="A112" s="5" t="str">
        <f>IFERROR(__xludf.DUMMYFUNCTION("""COMPUTED_VALUE"""),"SCOPUS-000012")</f>
        <v>SCOPUS-000012</v>
      </c>
      <c r="B112" s="5" t="str">
        <f>IFERROR(__xludf.DUMMYFUNCTION("""COMPUTED_VALUE"""),"SCOPUS-000012-1")</f>
        <v>SCOPUS-000012-1</v>
      </c>
      <c r="C112" s="6" t="str">
        <f>IFERROR(__xludf.DUMMYFUNCTION("""COMPUTED_VALUE"""),"DenseNet (4-class ROI)")</f>
        <v>DenseNet (4-class ROI)</v>
      </c>
      <c r="D112" s="5" t="str">
        <f>IFERROR(__xludf.DUMMYFUNCTION("""COMPUTED_VALUE"""),"Acc")</f>
        <v>Acc</v>
      </c>
      <c r="E112" s="5" t="str">
        <f>IFERROR(__xludf.DUMMYFUNCTION("""COMPUTED_VALUE"""),"Accuracy")</f>
        <v>Accuracy</v>
      </c>
      <c r="F112" s="5">
        <f>IFERROR(__xludf.DUMMYFUNCTION("""COMPUTED_VALUE"""),86.57)</f>
        <v>86.57</v>
      </c>
    </row>
    <row r="113" ht="15.75" customHeight="1">
      <c r="A113" s="5" t="str">
        <f>IFERROR(__xludf.DUMMYFUNCTION("""COMPUTED_VALUE"""),"SCOPUS-000027")</f>
        <v>SCOPUS-000027</v>
      </c>
      <c r="B113" s="5" t="str">
        <f>IFERROR(__xludf.DUMMYFUNCTION("""COMPUTED_VALUE"""),"SCOPUS-000027-1")</f>
        <v>SCOPUS-000027-1</v>
      </c>
      <c r="C113" s="6" t="str">
        <f>IFERROR(__xludf.DUMMYFUNCTION("""COMPUTED_VALUE"""),"ChatGPT-4o")</f>
        <v>ChatGPT-4o</v>
      </c>
      <c r="D113" s="5" t="str">
        <f>IFERROR(__xludf.DUMMYFUNCTION("""COMPUTED_VALUE"""),"WD acc")</f>
        <v>WD acc</v>
      </c>
      <c r="E113" s="5" t="str">
        <f>IFERROR(__xludf.DUMMYFUNCTION("""COMPUTED_VALUE"""),"Accuracy")</f>
        <v>Accuracy</v>
      </c>
      <c r="F113" s="5">
        <f>IFERROR(__xludf.DUMMYFUNCTION("""COMPUTED_VALUE"""),44.89)</f>
        <v>44.89</v>
      </c>
    </row>
    <row r="114" ht="15.75" customHeight="1">
      <c r="A114" s="5" t="str">
        <f>IFERROR(__xludf.DUMMYFUNCTION("""COMPUTED_VALUE"""),"SCOPUS-000047")</f>
        <v>SCOPUS-000047</v>
      </c>
      <c r="B114" s="5" t="str">
        <f>IFERROR(__xludf.DUMMYFUNCTION("""COMPUTED_VALUE"""),"SCOPUS-000047-1")</f>
        <v>SCOPUS-000047-1</v>
      </c>
      <c r="C114" s="6" t="str">
        <f>IFERROR(__xludf.DUMMYFUNCTION("""COMPUTED_VALUE"""),"YOLOv8n")</f>
        <v>YOLOv8n</v>
      </c>
      <c r="D114" s="5" t="str">
        <f>IFERROR(__xludf.DUMMYFUNCTION("""COMPUTED_VALUE"""),"mAP@50")</f>
        <v>mAP@50</v>
      </c>
      <c r="E114" s="5" t="str">
        <f>IFERROR(__xludf.DUMMYFUNCTION("""COMPUTED_VALUE"""),"mAP@0.5")</f>
        <v>mAP@0.5</v>
      </c>
      <c r="F114" s="5">
        <f>IFERROR(__xludf.DUMMYFUNCTION("""COMPUTED_VALUE"""),93.7)</f>
        <v>93.7</v>
      </c>
    </row>
    <row r="115" ht="15.75" customHeight="1">
      <c r="A115" s="5" t="str">
        <f>IFERROR(__xludf.DUMMYFUNCTION("""COMPUTED_VALUE"""),"SCOPUS-000049")</f>
        <v>SCOPUS-000049</v>
      </c>
      <c r="B115" s="5" t="str">
        <f>IFERROR(__xludf.DUMMYFUNCTION("""COMPUTED_VALUE"""),"SCOPUS-000049-1")</f>
        <v>SCOPUS-000049-1</v>
      </c>
      <c r="C115" s="6" t="str">
        <f>IFERROR(__xludf.DUMMYFUNCTION("""COMPUTED_VALUE"""),"EfficientNetB0")</f>
        <v>EfficientNetB0</v>
      </c>
      <c r="D115" s="5" t="str">
        <f>IFERROR(__xludf.DUMMYFUNCTION("""COMPUTED_VALUE"""),"Accuracy")</f>
        <v>Accuracy</v>
      </c>
      <c r="E115" s="5" t="str">
        <f>IFERROR(__xludf.DUMMYFUNCTION("""COMPUTED_VALUE"""),"Accuracy")</f>
        <v>Accuracy</v>
      </c>
      <c r="F115" s="5">
        <f>IFERROR(__xludf.DUMMYFUNCTION("""COMPUTED_VALUE"""),95.6)</f>
        <v>95.6</v>
      </c>
    </row>
    <row r="116" ht="15.75" customHeight="1">
      <c r="A116" s="5" t="str">
        <f>IFERROR(__xludf.DUMMYFUNCTION("""COMPUTED_VALUE"""),"SCOPUS-000059")</f>
        <v>SCOPUS-000059</v>
      </c>
      <c r="B116" s="5" t="str">
        <f>IFERROR(__xludf.DUMMYFUNCTION("""COMPUTED_VALUE"""),"SCOPUS-000059-1")</f>
        <v>SCOPUS-000059-1</v>
      </c>
      <c r="C116" s="6" t="str">
        <f>IFERROR(__xludf.DUMMYFUNCTION("""COMPUTED_VALUE"""),"DenseNet121")</f>
        <v>DenseNet121</v>
      </c>
      <c r="D116" s="5" t="str">
        <f>IFERROR(__xludf.DUMMYFUNCTION("""COMPUTED_VALUE"""),"Accuracy")</f>
        <v>Accuracy</v>
      </c>
      <c r="E116" s="5" t="str">
        <f>IFERROR(__xludf.DUMMYFUNCTION("""COMPUTED_VALUE"""),"Accuracy")</f>
        <v>Accuracy</v>
      </c>
      <c r="F116" s="5">
        <f>IFERROR(__xludf.DUMMYFUNCTION("""COMPUTED_VALUE"""),98.92)</f>
        <v>98.92</v>
      </c>
    </row>
    <row r="117" ht="15.75" customHeight="1">
      <c r="A117" s="5" t="str">
        <f>IFERROR(__xludf.DUMMYFUNCTION("""COMPUTED_VALUE"""),"SCOPUS-000067")</f>
        <v>SCOPUS-000067</v>
      </c>
      <c r="B117" s="5" t="str">
        <f>IFERROR(__xludf.DUMMYFUNCTION("""COMPUTED_VALUE"""),"SCOPUS-000067-1")</f>
        <v>SCOPUS-000067-1</v>
      </c>
      <c r="C117" s="6" t="str">
        <f>IFERROR(__xludf.DUMMYFUNCTION("""COMPUTED_VALUE"""),"Raw spectra-WFS-LDA")</f>
        <v>Raw spectra-WFS-LDA</v>
      </c>
      <c r="D117" s="5" t="str">
        <f>IFERROR(__xludf.DUMMYFUNCTION("""COMPUTED_VALUE"""),"Accuracy")</f>
        <v>Accuracy</v>
      </c>
      <c r="E117" s="5" t="str">
        <f>IFERROR(__xludf.DUMMYFUNCTION("""COMPUTED_VALUE"""),"Accuracy")</f>
        <v>Accuracy</v>
      </c>
      <c r="F117" s="5">
        <f>IFERROR(__xludf.DUMMYFUNCTION("""COMPUTED_VALUE"""),94.67)</f>
        <v>94.67</v>
      </c>
    </row>
    <row r="118" ht="15.75" customHeight="1">
      <c r="A118" s="5" t="str">
        <f>IFERROR(__xludf.DUMMYFUNCTION("""COMPUTED_VALUE"""),"SCOPUS-000076")</f>
        <v>SCOPUS-000076</v>
      </c>
      <c r="B118" s="5" t="str">
        <f>IFERROR(__xludf.DUMMYFUNCTION("""COMPUTED_VALUE"""),"SCOPUS-000076-1")</f>
        <v>SCOPUS-000076-1</v>
      </c>
      <c r="C118" s="6" t="str">
        <f>IFERROR(__xludf.DUMMYFUNCTION("""COMPUTED_VALUE"""),"Mamba-Origin")</f>
        <v>Mamba-Origin</v>
      </c>
      <c r="D118" s="5" t="str">
        <f>IFERROR(__xludf.DUMMYFUNCTION("""COMPUTED_VALUE"""),"mAP@50")</f>
        <v>mAP@50</v>
      </c>
      <c r="E118" s="5" t="str">
        <f>IFERROR(__xludf.DUMMYFUNCTION("""COMPUTED_VALUE"""),"mAP@0.5")</f>
        <v>mAP@0.5</v>
      </c>
      <c r="F118" s="5">
        <f>IFERROR(__xludf.DUMMYFUNCTION("""COMPUTED_VALUE"""),92.7)</f>
        <v>92.7</v>
      </c>
    </row>
    <row r="119" ht="15.75" customHeight="1">
      <c r="A119" s="5" t="str">
        <f>IFERROR(__xludf.DUMMYFUNCTION("""COMPUTED_VALUE"""),"SCOPUS-000087")</f>
        <v>SCOPUS-000087</v>
      </c>
      <c r="B119" s="5" t="str">
        <f>IFERROR(__xludf.DUMMYFUNCTION("""COMPUTED_VALUE"""),"SCOPUS-000087-1")</f>
        <v>SCOPUS-000087-1</v>
      </c>
      <c r="C119" s="6" t="str">
        <f>IFERROR(__xludf.DUMMYFUNCTION("""COMPUTED_VALUE"""),"ResNet50 (TL + augmentation)")</f>
        <v>ResNet50 (TL + augmentation)</v>
      </c>
      <c r="D119" s="5" t="str">
        <f>IFERROR(__xludf.DUMMYFUNCTION("""COMPUTED_VALUE"""),"Accuracy")</f>
        <v>Accuracy</v>
      </c>
      <c r="E119" s="5" t="str">
        <f>IFERROR(__xludf.DUMMYFUNCTION("""COMPUTED_VALUE"""),"Accuracy")</f>
        <v>Accuracy</v>
      </c>
      <c r="F119" s="5">
        <f>IFERROR(__xludf.DUMMYFUNCTION("""COMPUTED_VALUE"""),95.0)</f>
        <v>95</v>
      </c>
    </row>
    <row r="120" ht="15.75" customHeight="1">
      <c r="A120" s="5" t="str">
        <f>IFERROR(__xludf.DUMMYFUNCTION("""COMPUTED_VALUE"""),"SCOPUS-000089")</f>
        <v>SCOPUS-000089</v>
      </c>
      <c r="B120" s="5" t="str">
        <f>IFERROR(__xludf.DUMMYFUNCTION("""COMPUTED_VALUE"""),"SCOPUS-000089-1")</f>
        <v>SCOPUS-000089-1</v>
      </c>
      <c r="C120" s="6" t="str">
        <f>IFERROR(__xludf.DUMMYFUNCTION("""COMPUTED_VALUE"""),"LightGBM")</f>
        <v>LightGBM</v>
      </c>
      <c r="D120" s="5" t="str">
        <f>IFERROR(__xludf.DUMMYFUNCTION("""COMPUTED_VALUE"""),"Accuracy")</f>
        <v>Accuracy</v>
      </c>
      <c r="E120" s="5" t="str">
        <f>IFERROR(__xludf.DUMMYFUNCTION("""COMPUTED_VALUE"""),"Accuracy")</f>
        <v>Accuracy</v>
      </c>
      <c r="F120" s="5">
        <f>IFERROR(__xludf.DUMMYFUNCTION("""COMPUTED_VALUE"""),94.8)</f>
        <v>94.8</v>
      </c>
    </row>
    <row r="121" ht="15.75" customHeight="1">
      <c r="A121" s="5" t="str">
        <f>IFERROR(__xludf.DUMMYFUNCTION("""COMPUTED_VALUE"""),"SCOPUS-000140")</f>
        <v>SCOPUS-000140</v>
      </c>
      <c r="B121" s="5" t="str">
        <f>IFERROR(__xludf.DUMMYFUNCTION("""COMPUTED_VALUE"""),"SCOPUS-000140-1")</f>
        <v>SCOPUS-000140-1</v>
      </c>
      <c r="C121" s="6" t="str">
        <f>IFERROR(__xludf.DUMMYFUNCTION("""COMPUTED_VALUE"""),"Mask R-CNN-ResNet50")</f>
        <v>Mask R-CNN-ResNet50</v>
      </c>
      <c r="D121" s="5" t="str">
        <f>IFERROR(__xludf.DUMMYFUNCTION("""COMPUTED_VALUE"""),"mIoU")</f>
        <v>mIoU</v>
      </c>
      <c r="E121" s="5" t="str">
        <f>IFERROR(__xludf.DUMMYFUNCTION("""COMPUTED_VALUE"""),"mIoU")</f>
        <v>mIoU</v>
      </c>
      <c r="F121" s="5">
        <f>IFERROR(__xludf.DUMMYFUNCTION("""COMPUTED_VALUE"""),54.8)</f>
        <v>54.8</v>
      </c>
    </row>
    <row r="122" ht="15.75" customHeight="1">
      <c r="A122" s="5" t="str">
        <f>IFERROR(__xludf.DUMMYFUNCTION("""COMPUTED_VALUE"""),"SCOPUS-000148")</f>
        <v>SCOPUS-000148</v>
      </c>
      <c r="B122" s="5" t="str">
        <f>IFERROR(__xludf.DUMMYFUNCTION("""COMPUTED_VALUE"""),"SCOPUS-000148-1")</f>
        <v>SCOPUS-000148-1</v>
      </c>
      <c r="C122" s="6" t="str">
        <f>IFERROR(__xludf.DUMMYFUNCTION("""COMPUTED_VALUE"""),"YOLOv8n")</f>
        <v>YOLOv8n</v>
      </c>
      <c r="D122" s="5" t="str">
        <f>IFERROR(__xludf.DUMMYFUNCTION("""COMPUTED_VALUE"""),"mAP@0.5")</f>
        <v>mAP@0.5</v>
      </c>
      <c r="E122" s="5" t="str">
        <f>IFERROR(__xludf.DUMMYFUNCTION("""COMPUTED_VALUE"""),"mAP@0.5")</f>
        <v>mAP@0.5</v>
      </c>
      <c r="F122" s="5">
        <f>IFERROR(__xludf.DUMMYFUNCTION("""COMPUTED_VALUE"""),91.37)</f>
        <v>91.37</v>
      </c>
    </row>
    <row r="123" ht="15.75" customHeight="1">
      <c r="A123" s="5" t="str">
        <f>IFERROR(__xludf.DUMMYFUNCTION("""COMPUTED_VALUE"""),"SCOPUS-000156")</f>
        <v>SCOPUS-000156</v>
      </c>
      <c r="B123" s="5" t="str">
        <f>IFERROR(__xludf.DUMMYFUNCTION("""COMPUTED_VALUE"""),"SCOPUS-000156-1")</f>
        <v>SCOPUS-000156-1</v>
      </c>
      <c r="C123" s="6" t="str">
        <f>IFERROR(__xludf.DUMMYFUNCTION("""COMPUTED_VALUE"""),"YOLOv8m RGB")</f>
        <v>YOLOv8m RGB</v>
      </c>
      <c r="D123" s="5" t="str">
        <f>IFERROR(__xludf.DUMMYFUNCTION("""COMPUTED_VALUE"""),"mAP50")</f>
        <v>mAP50</v>
      </c>
      <c r="E123" s="5" t="str">
        <f>IFERROR(__xludf.DUMMYFUNCTION("""COMPUTED_VALUE"""),"mAP@0.5")</f>
        <v>mAP@0.5</v>
      </c>
      <c r="F123" s="5">
        <f>IFERROR(__xludf.DUMMYFUNCTION("""COMPUTED_VALUE"""),61.3)</f>
        <v>61.3</v>
      </c>
    </row>
    <row r="124" ht="15.75" customHeight="1">
      <c r="A124" s="5" t="str">
        <f>IFERROR(__xludf.DUMMYFUNCTION("""COMPUTED_VALUE"""),"SCOPUS-000166")</f>
        <v>SCOPUS-000166</v>
      </c>
      <c r="B124" s="5" t="str">
        <f>IFERROR(__xludf.DUMMYFUNCTION("""COMPUTED_VALUE"""),"SCOPUS-000166-1")</f>
        <v>SCOPUS-000166-1</v>
      </c>
      <c r="C124" s="6" t="str">
        <f>IFERROR(__xludf.DUMMYFUNCTION("""COMPUTED_VALUE"""),"DETR")</f>
        <v>DETR</v>
      </c>
      <c r="D124" s="5" t="str">
        <f>IFERROR(__xludf.DUMMYFUNCTION("""COMPUTED_VALUE"""),"mAP50")</f>
        <v>mAP50</v>
      </c>
      <c r="E124" s="5" t="str">
        <f>IFERROR(__xludf.DUMMYFUNCTION("""COMPUTED_VALUE"""),"mAP@0.5")</f>
        <v>mAP@0.5</v>
      </c>
      <c r="F124" s="5">
        <f>IFERROR(__xludf.DUMMYFUNCTION("""COMPUTED_VALUE"""),76.4)</f>
        <v>76.4</v>
      </c>
    </row>
    <row r="125" ht="15.75" customHeight="1">
      <c r="A125" s="5" t="str">
        <f>IFERROR(__xludf.DUMMYFUNCTION("""COMPUTED_VALUE"""),"SCOPUS-000184")</f>
        <v>SCOPUS-000184</v>
      </c>
      <c r="B125" s="5" t="str">
        <f>IFERROR(__xludf.DUMMYFUNCTION("""COMPUTED_VALUE"""),"SCOPUS-000184-1")</f>
        <v>SCOPUS-000184-1</v>
      </c>
      <c r="C125" s="6" t="str">
        <f>IFERROR(__xludf.DUMMYFUNCTION("""COMPUTED_VALUE"""),"Faster R-CNN (ResNeXt-101-FPN)")</f>
        <v>Faster R-CNN (ResNeXt-101-FPN)</v>
      </c>
      <c r="D125" s="5" t="str">
        <f>IFERROR(__xludf.DUMMYFUNCTION("""COMPUTED_VALUE"""),"mAP")</f>
        <v>mAP</v>
      </c>
      <c r="E125" s="5" t="str">
        <f>IFERROR(__xludf.DUMMYFUNCTION("""COMPUTED_VALUE"""),"mAP@0.5")</f>
        <v>mAP@0.5</v>
      </c>
      <c r="F125" s="5">
        <f>IFERROR(__xludf.DUMMYFUNCTION("""COMPUTED_VALUE"""),91.9)</f>
        <v>91.9</v>
      </c>
    </row>
    <row r="126" ht="15.75" customHeight="1">
      <c r="A126" s="5" t="str">
        <f>IFERROR(__xludf.DUMMYFUNCTION("""COMPUTED_VALUE"""),"SCOPUS-000192")</f>
        <v>SCOPUS-000192</v>
      </c>
      <c r="B126" s="5" t="str">
        <f>IFERROR(__xludf.DUMMYFUNCTION("""COMPUTED_VALUE"""),"SCOPUS-000192-1")</f>
        <v>SCOPUS-000192-1</v>
      </c>
      <c r="C126" s="6" t="str">
        <f>IFERROR(__xludf.DUMMYFUNCTION("""COMPUTED_VALUE"""),"Mask R-CNN")</f>
        <v>Mask R-CNN</v>
      </c>
      <c r="D126" s="5" t="str">
        <f>IFERROR(__xludf.DUMMYFUNCTION("""COMPUTED_VALUE"""),"MaskmAP@0.5(%)")</f>
        <v>MaskmAP@0.5(%)</v>
      </c>
      <c r="E126" s="5" t="str">
        <f>IFERROR(__xludf.DUMMYFUNCTION("""COMPUTED_VALUE"""),"mAP@0.5")</f>
        <v>mAP@0.5</v>
      </c>
      <c r="F126" s="5">
        <f>IFERROR(__xludf.DUMMYFUNCTION("""COMPUTED_VALUE"""),62.7)</f>
        <v>62.7</v>
      </c>
    </row>
    <row r="127" ht="15.75" customHeight="1">
      <c r="A127" s="5" t="str">
        <f>IFERROR(__xludf.DUMMYFUNCTION("""COMPUTED_VALUE"""),"SCOPUS-000221")</f>
        <v>SCOPUS-000221</v>
      </c>
      <c r="B127" s="5" t="str">
        <f>IFERROR(__xludf.DUMMYFUNCTION("""COMPUTED_VALUE"""),"SCOPUS-000221-1")</f>
        <v>SCOPUS-000221-1</v>
      </c>
      <c r="C127" s="6" t="str">
        <f>IFERROR(__xludf.DUMMYFUNCTION("""COMPUTED_VALUE"""),"EfficientNet V2 (no augmentation)")</f>
        <v>EfficientNet V2 (no augmentation)</v>
      </c>
      <c r="D127" s="5" t="str">
        <f>IFERROR(__xludf.DUMMYFUNCTION("""COMPUTED_VALUE"""),"Acc.")</f>
        <v>Acc.</v>
      </c>
      <c r="E127" s="5" t="str">
        <f>IFERROR(__xludf.DUMMYFUNCTION("""COMPUTED_VALUE"""),"Accuracy")</f>
        <v>Accuracy</v>
      </c>
      <c r="F127" s="5">
        <f>IFERROR(__xludf.DUMMYFUNCTION("""COMPUTED_VALUE"""),96.0)</f>
        <v>96</v>
      </c>
    </row>
    <row r="128" ht="15.75" customHeight="1">
      <c r="A128" s="5" t="str">
        <f>IFERROR(__xludf.DUMMYFUNCTION("""COMPUTED_VALUE"""),"SCOPUS-000224")</f>
        <v>SCOPUS-000224</v>
      </c>
      <c r="B128" s="5" t="str">
        <f>IFERROR(__xludf.DUMMYFUNCTION("""COMPUTED_VALUE"""),"SCOPUS-000224-1")</f>
        <v>SCOPUS-000224-1</v>
      </c>
      <c r="C128" s="6" t="str">
        <f>IFERROR(__xludf.DUMMYFUNCTION("""COMPUTED_VALUE"""),"YOLOv5s")</f>
        <v>YOLOv5s</v>
      </c>
      <c r="D128" s="5" t="str">
        <f>IFERROR(__xludf.DUMMYFUNCTION("""COMPUTED_VALUE"""),"mAP@0.5")</f>
        <v>mAP@0.5</v>
      </c>
      <c r="E128" s="5" t="str">
        <f>IFERROR(__xludf.DUMMYFUNCTION("""COMPUTED_VALUE"""),"mAP@0.5")</f>
        <v>mAP@0.5</v>
      </c>
      <c r="F128" s="5">
        <f>IFERROR(__xludf.DUMMYFUNCTION("""COMPUTED_VALUE"""),94.0)</f>
        <v>94</v>
      </c>
    </row>
    <row r="129" ht="15.75" customHeight="1">
      <c r="A129" s="5" t="str">
        <f>IFERROR(__xludf.DUMMYFUNCTION("""COMPUTED_VALUE"""),"SCOPUS-000227")</f>
        <v>SCOPUS-000227</v>
      </c>
      <c r="B129" s="5" t="str">
        <f>IFERROR(__xludf.DUMMYFUNCTION("""COMPUTED_VALUE"""),"SCOPUS-000227-1")</f>
        <v>SCOPUS-000227-1</v>
      </c>
      <c r="C129" s="6" t="str">
        <f>IFERROR(__xludf.DUMMYFUNCTION("""COMPUTED_VALUE"""),"YOLOv8 (cross-season 2022→2021, no I3Net)")</f>
        <v>YOLOv8 (cross-season 2022→2021, no I3Net)</v>
      </c>
      <c r="D129" s="5" t="str">
        <f>IFERROR(__xludf.DUMMYFUNCTION("""COMPUTED_VALUE"""),"mAP@50")</f>
        <v>mAP@50</v>
      </c>
      <c r="E129" s="5" t="str">
        <f>IFERROR(__xludf.DUMMYFUNCTION("""COMPUTED_VALUE"""),"mAP@0.5")</f>
        <v>mAP@0.5</v>
      </c>
      <c r="F129" s="5">
        <f>IFERROR(__xludf.DUMMYFUNCTION("""COMPUTED_VALUE"""),81.5)</f>
        <v>81.5</v>
      </c>
    </row>
    <row r="130" ht="15.75" customHeight="1">
      <c r="A130" s="5" t="str">
        <f>IFERROR(__xludf.DUMMYFUNCTION("""COMPUTED_VALUE"""),"SCOPUS-000238")</f>
        <v>SCOPUS-000238</v>
      </c>
      <c r="B130" s="5" t="str">
        <f>IFERROR(__xludf.DUMMYFUNCTION("""COMPUTED_VALUE"""),"SCOPUS-000238-1")</f>
        <v>SCOPUS-000238-1</v>
      </c>
      <c r="C130" s="6" t="str">
        <f>IFERROR(__xludf.DUMMYFUNCTION("""COMPUTED_VALUE"""),"YOLOv9 (temporal, 2021 fields only)")</f>
        <v>YOLOv9 (temporal, 2021 fields only)</v>
      </c>
      <c r="D130" s="5" t="str">
        <f>IFERROR(__xludf.DUMMYFUNCTION("""COMPUTED_VALUE"""),"mAP@0.5")</f>
        <v>mAP@0.5</v>
      </c>
      <c r="E130" s="5" t="str">
        <f>IFERROR(__xludf.DUMMYFUNCTION("""COMPUTED_VALUE"""),"mAP@0.5")</f>
        <v>mAP@0.5</v>
      </c>
      <c r="F130" s="5">
        <f>IFERROR(__xludf.DUMMYFUNCTION("""COMPUTED_VALUE"""),73.0)</f>
        <v>73</v>
      </c>
    </row>
    <row r="131" ht="15.75" customHeight="1">
      <c r="A131" s="5" t="str">
        <f>IFERROR(__xludf.DUMMYFUNCTION("""COMPUTED_VALUE"""),"SCOPUS-000251")</f>
        <v>SCOPUS-000251</v>
      </c>
      <c r="B131" s="5" t="str">
        <f>IFERROR(__xludf.DUMMYFUNCTION("""COMPUTED_VALUE"""),"SCOPUS-000251-1")</f>
        <v>SCOPUS-000251-1</v>
      </c>
      <c r="C131" s="6" t="str">
        <f>IFERROR(__xludf.DUMMYFUNCTION("""COMPUTED_VALUE"""),"YOLOv10l RGB")</f>
        <v>YOLOv10l RGB</v>
      </c>
      <c r="D131" s="5" t="str">
        <f>IFERROR(__xludf.DUMMYFUNCTION("""COMPUTED_VALUE"""),"mAP@0.5")</f>
        <v>mAP@0.5</v>
      </c>
      <c r="E131" s="5" t="str">
        <f>IFERROR(__xludf.DUMMYFUNCTION("""COMPUTED_VALUE"""),"mAP@0.5")</f>
        <v>mAP@0.5</v>
      </c>
      <c r="F131" s="5">
        <f>IFERROR(__xludf.DUMMYFUNCTION("""COMPUTED_VALUE"""),94.5)</f>
        <v>94.5</v>
      </c>
    </row>
    <row r="132" ht="15.75" customHeight="1">
      <c r="A132" s="5" t="str">
        <f>IFERROR(__xludf.DUMMYFUNCTION("""COMPUTED_VALUE"""),"SCOPUS-000257")</f>
        <v>SCOPUS-000257</v>
      </c>
      <c r="B132" s="5" t="str">
        <f>IFERROR(__xludf.DUMMYFUNCTION("""COMPUTED_VALUE"""),"SCOPUS-000257-1")</f>
        <v>SCOPUS-000257-1</v>
      </c>
      <c r="C132" s="6" t="str">
        <f>IFERROR(__xludf.DUMMYFUNCTION("""COMPUTED_VALUE"""),"YOLO v11n")</f>
        <v>YOLO v11n</v>
      </c>
      <c r="D132" s="5" t="str">
        <f>IFERROR(__xludf.DUMMYFUNCTION("""COMPUTED_VALUE"""),"mAP50")</f>
        <v>mAP50</v>
      </c>
      <c r="E132" s="5" t="str">
        <f>IFERROR(__xludf.DUMMYFUNCTION("""COMPUTED_VALUE"""),"mAP@0.5")</f>
        <v>mAP@0.5</v>
      </c>
      <c r="F132" s="5">
        <f>IFERROR(__xludf.DUMMYFUNCTION("""COMPUTED_VALUE"""),83.3)</f>
        <v>83.3</v>
      </c>
    </row>
    <row r="133" ht="15.75" customHeight="1">
      <c r="A133" s="5" t="str">
        <f>IFERROR(__xludf.DUMMYFUNCTION("""COMPUTED_VALUE"""),"SCOPUS-000258")</f>
        <v>SCOPUS-000258</v>
      </c>
      <c r="B133" s="5" t="str">
        <f>IFERROR(__xludf.DUMMYFUNCTION("""COMPUTED_VALUE"""),"SCOPUS-000258-1")</f>
        <v>SCOPUS-000258-1</v>
      </c>
      <c r="C133" s="6" t="str">
        <f>IFERROR(__xludf.DUMMYFUNCTION("""COMPUTED_VALUE"""),"YOLOv8x")</f>
        <v>YOLOv8x</v>
      </c>
      <c r="D133" s="5" t="str">
        <f>IFERROR(__xludf.DUMMYFUNCTION("""COMPUTED_VALUE"""),"mAP@50")</f>
        <v>mAP@50</v>
      </c>
      <c r="E133" s="5" t="str">
        <f>IFERROR(__xludf.DUMMYFUNCTION("""COMPUTED_VALUE"""),"mAP@0.5")</f>
        <v>mAP@0.5</v>
      </c>
      <c r="F133" s="5">
        <f>IFERROR(__xludf.DUMMYFUNCTION("""COMPUTED_VALUE"""),90.6)</f>
        <v>90.6</v>
      </c>
    </row>
    <row r="134" ht="15.75" customHeight="1">
      <c r="A134" s="5" t="str">
        <f>IFERROR(__xludf.DUMMYFUNCTION("""COMPUTED_VALUE"""),"SCOPUS-000262")</f>
        <v>SCOPUS-000262</v>
      </c>
      <c r="B134" s="5" t="str">
        <f>IFERROR(__xludf.DUMMYFUNCTION("""COMPUTED_VALUE"""),"SCOPUS-000262-1")</f>
        <v>SCOPUS-000262-1</v>
      </c>
      <c r="C134" s="6" t="str">
        <f>IFERROR(__xludf.DUMMYFUNCTION("""COMPUTED_VALUE"""),"YOLOv8n")</f>
        <v>YOLOv8n</v>
      </c>
      <c r="D134" s="5" t="str">
        <f>IFERROR(__xludf.DUMMYFUNCTION("""COMPUTED_VALUE"""),"mAP@0.5")</f>
        <v>mAP@0.5</v>
      </c>
      <c r="E134" s="5" t="str">
        <f>IFERROR(__xludf.DUMMYFUNCTION("""COMPUTED_VALUE"""),"mAP@0.5")</f>
        <v>mAP@0.5</v>
      </c>
      <c r="F134" s="5">
        <f>IFERROR(__xludf.DUMMYFUNCTION("""COMPUTED_VALUE"""),81.5)</f>
        <v>81.5</v>
      </c>
    </row>
    <row r="135" ht="15.75" customHeight="1">
      <c r="A135" s="5" t="str">
        <f>IFERROR(__xludf.DUMMYFUNCTION("""COMPUTED_VALUE"""),"SCOPUS-000281")</f>
        <v>SCOPUS-000281</v>
      </c>
      <c r="B135" s="5" t="str">
        <f>IFERROR(__xludf.DUMMYFUNCTION("""COMPUTED_VALUE"""),"SCOPUS-000281-1")</f>
        <v>SCOPUS-000281-1</v>
      </c>
      <c r="C135" s="6" t="str">
        <f>IFERROR(__xludf.DUMMYFUNCTION("""COMPUTED_VALUE"""),"UNet++ (ResNeXt101_32x8d)")</f>
        <v>UNet++ (ResNeXt101_32x8d)</v>
      </c>
      <c r="D135" s="5" t="str">
        <f>IFERROR(__xludf.DUMMYFUNCTION("""COMPUTED_VALUE"""),"mIoU")</f>
        <v>mIoU</v>
      </c>
      <c r="E135" s="5" t="str">
        <f>IFERROR(__xludf.DUMMYFUNCTION("""COMPUTED_VALUE"""),"mIoU")</f>
        <v>mIoU</v>
      </c>
      <c r="F135" s="5">
        <f>IFERROR(__xludf.DUMMYFUNCTION("""COMPUTED_VALUE"""),87.97)</f>
        <v>87.97</v>
      </c>
    </row>
    <row r="136" ht="15.75" customHeight="1">
      <c r="A136" s="5" t="str">
        <f>IFERROR(__xludf.DUMMYFUNCTION("""COMPUTED_VALUE"""),"SCOPUS-000288")</f>
        <v>SCOPUS-000288</v>
      </c>
      <c r="B136" s="5" t="str">
        <f>IFERROR(__xludf.DUMMYFUNCTION("""COMPUTED_VALUE"""),"SCOPUS-000288-1")</f>
        <v>SCOPUS-000288-1</v>
      </c>
      <c r="C136" s="6" t="str">
        <f>IFERROR(__xludf.DUMMYFUNCTION("""COMPUTED_VALUE"""),"EfficientNet B0")</f>
        <v>EfficientNet B0</v>
      </c>
      <c r="D136" s="5" t="str">
        <f>IFERROR(__xludf.DUMMYFUNCTION("""COMPUTED_VALUE"""),"Accuy")</f>
        <v>Accuy</v>
      </c>
      <c r="E136" s="5" t="str">
        <f>IFERROR(__xludf.DUMMYFUNCTION("""COMPUTED_VALUE"""),"Accuracy")</f>
        <v>Accuracy</v>
      </c>
      <c r="F136" s="5">
        <f>IFERROR(__xludf.DUMMYFUNCTION("""COMPUTED_VALUE"""),98.87)</f>
        <v>98.87</v>
      </c>
    </row>
    <row r="137" ht="15.75" customHeight="1">
      <c r="A137" s="5" t="str">
        <f>IFERROR(__xludf.DUMMYFUNCTION("""COMPUTED_VALUE"""),"SCOPUS-000289")</f>
        <v>SCOPUS-000289</v>
      </c>
      <c r="B137" s="5" t="str">
        <f>IFERROR(__xludf.DUMMYFUNCTION("""COMPUTED_VALUE"""),"SCOPUS-000289-1")</f>
        <v>SCOPUS-000289-1</v>
      </c>
      <c r="C137" s="6" t="str">
        <f>IFERROR(__xludf.DUMMYFUNCTION("""COMPUTED_VALUE"""),"YOLOv8n")</f>
        <v>YOLOv8n</v>
      </c>
      <c r="D137" s="5" t="str">
        <f>IFERROR(__xludf.DUMMYFUNCTION("""COMPUTED_VALUE"""),"mAP50")</f>
        <v>mAP50</v>
      </c>
      <c r="E137" s="5" t="str">
        <f>IFERROR(__xludf.DUMMYFUNCTION("""COMPUTED_VALUE"""),"mAP@0.5")</f>
        <v>mAP@0.5</v>
      </c>
      <c r="F137" s="5">
        <f>IFERROR(__xludf.DUMMYFUNCTION("""COMPUTED_VALUE"""),80.6)</f>
        <v>80.6</v>
      </c>
    </row>
    <row r="138" ht="15.75" customHeight="1">
      <c r="A138" s="5" t="str">
        <f>IFERROR(__xludf.DUMMYFUNCTION("""COMPUTED_VALUE"""),"SCOPUS-000306")</f>
        <v>SCOPUS-000306</v>
      </c>
      <c r="B138" s="5" t="str">
        <f>IFERROR(__xludf.DUMMYFUNCTION("""COMPUTED_VALUE"""),"SCOPUS-000306-1")</f>
        <v>SCOPUS-000306-1</v>
      </c>
      <c r="C138" s="6" t="str">
        <f>IFERROR(__xludf.DUMMYFUNCTION("""COMPUTED_VALUE"""),"YOLOv8 (original tiles)")</f>
        <v>YOLOv8 (original tiles)</v>
      </c>
      <c r="D138" s="5" t="str">
        <f>IFERROR(__xludf.DUMMYFUNCTION("""COMPUTED_VALUE"""),"MIOU")</f>
        <v>MIOU</v>
      </c>
      <c r="E138" s="5" t="str">
        <f>IFERROR(__xludf.DUMMYFUNCTION("""COMPUTED_VALUE"""),"mIoU")</f>
        <v>mIoU</v>
      </c>
      <c r="F138" s="5">
        <f>IFERROR(__xludf.DUMMYFUNCTION("""COMPUTED_VALUE"""),51.5)</f>
        <v>51.5</v>
      </c>
    </row>
    <row r="139" ht="15.75" customHeight="1">
      <c r="A139" s="5" t="str">
        <f>IFERROR(__xludf.DUMMYFUNCTION("""COMPUTED_VALUE"""),"SCOPUS-000319")</f>
        <v>SCOPUS-000319</v>
      </c>
      <c r="B139" s="5" t="str">
        <f>IFERROR(__xludf.DUMMYFUNCTION("""COMPUTED_VALUE"""),"SCOPUS-000319-1")</f>
        <v>SCOPUS-000319-1</v>
      </c>
      <c r="C139" s="6" t="str">
        <f>IFERROR(__xludf.DUMMYFUNCTION("""COMPUTED_VALUE"""),"DenseNet121")</f>
        <v>DenseNet121</v>
      </c>
      <c r="D139" s="5" t="str">
        <f>IFERROR(__xludf.DUMMYFUNCTION("""COMPUTED_VALUE"""),"Accuracy")</f>
        <v>Accuracy</v>
      </c>
      <c r="E139" s="5" t="str">
        <f>IFERROR(__xludf.DUMMYFUNCTION("""COMPUTED_VALUE"""),"Accuracy")</f>
        <v>Accuracy</v>
      </c>
      <c r="F139" s="5">
        <f>IFERROR(__xludf.DUMMYFUNCTION("""COMPUTED_VALUE"""),91.61)</f>
        <v>91.61</v>
      </c>
    </row>
    <row r="140" ht="15.75" customHeight="1">
      <c r="A140" s="5" t="str">
        <f>IFERROR(__xludf.DUMMYFUNCTION("""COMPUTED_VALUE"""),"SCOPUS-000344")</f>
        <v>SCOPUS-000344</v>
      </c>
      <c r="B140" s="5" t="str">
        <f>IFERROR(__xludf.DUMMYFUNCTION("""COMPUTED_VALUE"""),"SCOPUS-000344-1")</f>
        <v>SCOPUS-000344-1</v>
      </c>
      <c r="C140" s="6" t="str">
        <f>IFERROR(__xludf.DUMMYFUNCTION("""COMPUTED_VALUE"""),"proposed model based RGB")</f>
        <v>proposed model based RGB</v>
      </c>
      <c r="D140" s="5" t="str">
        <f>IFERROR(__xludf.DUMMYFUNCTION("""COMPUTED_VALUE"""),"Accuracy")</f>
        <v>Accuracy</v>
      </c>
      <c r="E140" s="5" t="str">
        <f>IFERROR(__xludf.DUMMYFUNCTION("""COMPUTED_VALUE"""),"Accuracy")</f>
        <v>Accuracy</v>
      </c>
      <c r="F140" s="5">
        <f>IFERROR(__xludf.DUMMYFUNCTION("""COMPUTED_VALUE"""),86.2)</f>
        <v>86.2</v>
      </c>
    </row>
    <row r="141" ht="15.75" customHeight="1">
      <c r="A141" s="5" t="str">
        <f>IFERROR(__xludf.DUMMYFUNCTION("""COMPUTED_VALUE"""),"SCOPUS-000364")</f>
        <v>SCOPUS-000364</v>
      </c>
      <c r="B141" s="5" t="str">
        <f>IFERROR(__xludf.DUMMYFUNCTION("""COMPUTED_VALUE"""),"SCOPUS-000364-1")</f>
        <v>SCOPUS-000364-1</v>
      </c>
      <c r="C141" s="6" t="str">
        <f>IFERROR(__xludf.DUMMYFUNCTION("""COMPUTED_VALUE"""),"Faster RCNN R101-FPN (no augmentation)")</f>
        <v>Faster RCNN R101-FPN (no augmentation)</v>
      </c>
      <c r="D141" s="5" t="str">
        <f>IFERROR(__xludf.DUMMYFUNCTION("""COMPUTED_VALUE"""),"mAP@0.5")</f>
        <v>mAP@0.5</v>
      </c>
      <c r="E141" s="5" t="str">
        <f>IFERROR(__xludf.DUMMYFUNCTION("""COMPUTED_VALUE"""),"mAP@0.5")</f>
        <v>mAP@0.5</v>
      </c>
      <c r="F141" s="5">
        <f>IFERROR(__xludf.DUMMYFUNCTION("""COMPUTED_VALUE"""),76.92)</f>
        <v>76.92</v>
      </c>
    </row>
    <row r="142" ht="15.75" customHeight="1">
      <c r="A142" s="5" t="str">
        <f>IFERROR(__xludf.DUMMYFUNCTION("""COMPUTED_VALUE"""),"SCOPUS-000372")</f>
        <v>SCOPUS-000372</v>
      </c>
      <c r="B142" s="5" t="str">
        <f>IFERROR(__xludf.DUMMYFUNCTION("""COMPUTED_VALUE"""),"SCOPUS-000372-1")</f>
        <v>SCOPUS-000372-1</v>
      </c>
      <c r="C142" s="6" t="str">
        <f>IFERROR(__xludf.DUMMYFUNCTION("""COMPUTED_VALUE"""),"InceptionV3")</f>
        <v>InceptionV3</v>
      </c>
      <c r="D142" s="5" t="str">
        <f>IFERROR(__xludf.DUMMYFUNCTION("""COMPUTED_VALUE"""),"Accuracy")</f>
        <v>Accuracy</v>
      </c>
      <c r="E142" s="5" t="str">
        <f>IFERROR(__xludf.DUMMYFUNCTION("""COMPUTED_VALUE"""),"Accuracy")</f>
        <v>Accuracy</v>
      </c>
      <c r="F142" s="5">
        <f>IFERROR(__xludf.DUMMYFUNCTION("""COMPUTED_VALUE"""),97.91)</f>
        <v>97.91</v>
      </c>
    </row>
    <row r="143" ht="15.75" customHeight="1">
      <c r="A143" s="5" t="str">
        <f>IFERROR(__xludf.DUMMYFUNCTION("""COMPUTED_VALUE"""),"SCOPUS-000379")</f>
        <v>SCOPUS-000379</v>
      </c>
      <c r="B143" s="5" t="str">
        <f>IFERROR(__xludf.DUMMYFUNCTION("""COMPUTED_VALUE"""),"SCOPUS-000379-1")</f>
        <v>SCOPUS-000379-1</v>
      </c>
      <c r="C143" s="6" t="str">
        <f>IFERROR(__xludf.DUMMYFUNCTION("""COMPUTED_VALUE"""),"VGG19 (ImageNet transfer)")</f>
        <v>VGG19 (ImageNet transfer)</v>
      </c>
      <c r="D143" s="5" t="str">
        <f>IFERROR(__xludf.DUMMYFUNCTION("""COMPUTED_VALUE"""),"Accuracy (%)")</f>
        <v>Accuracy (%)</v>
      </c>
      <c r="E143" s="5" t="str">
        <f>IFERROR(__xludf.DUMMYFUNCTION("""COMPUTED_VALUE"""),"Accuracy")</f>
        <v>Accuracy</v>
      </c>
      <c r="F143" s="5">
        <f>IFERROR(__xludf.DUMMYFUNCTION("""COMPUTED_VALUE"""),97.44)</f>
        <v>97.44</v>
      </c>
    </row>
    <row r="144" ht="15.75" customHeight="1">
      <c r="A144" s="5" t="str">
        <f>IFERROR(__xludf.DUMMYFUNCTION("""COMPUTED_VALUE"""),"SCOPUS-000383")</f>
        <v>SCOPUS-000383</v>
      </c>
      <c r="B144" s="5" t="str">
        <f>IFERROR(__xludf.DUMMYFUNCTION("""COMPUTED_VALUE"""),"SCOPUS-000383-1")</f>
        <v>SCOPUS-000383-1</v>
      </c>
      <c r="C144" s="6" t="str">
        <f>IFERROR(__xludf.DUMMYFUNCTION("""COMPUTED_VALUE"""),"YOLOv3 Training Image Set 4 (10 m, 20k iter)")</f>
        <v>YOLOv3 Training Image Set 4 (10 m, 20k iter)</v>
      </c>
      <c r="D144" s="5" t="str">
        <f>IFERROR(__xludf.DUMMYFUNCTION("""COMPUTED_VALUE"""),"mAP @ T = 0.5")</f>
        <v>mAP @ T = 0.5</v>
      </c>
      <c r="E144" s="5" t="str">
        <f>IFERROR(__xludf.DUMMYFUNCTION("""COMPUTED_VALUE"""),"mAP@0.5")</f>
        <v>mAP@0.5</v>
      </c>
      <c r="F144" s="5">
        <f>IFERROR(__xludf.DUMMYFUNCTION("""COMPUTED_VALUE"""),44.72)</f>
        <v>44.72</v>
      </c>
    </row>
    <row r="145" ht="15.75" customHeight="1">
      <c r="A145" s="5" t="str">
        <f>IFERROR(__xludf.DUMMYFUNCTION("""COMPUTED_VALUE"""),"SCOPUS-000402")</f>
        <v>SCOPUS-000402</v>
      </c>
      <c r="B145" s="5" t="str">
        <f>IFERROR(__xludf.DUMMYFUNCTION("""COMPUTED_VALUE"""),"SCOPUS-000402-1")</f>
        <v>SCOPUS-000402-1</v>
      </c>
      <c r="C145" s="6" t="str">
        <f>IFERROR(__xludf.DUMMYFUNCTION("""COMPUTED_VALUE"""),"Faster-RCNN ResNet-50-FPN (no augmentation)")</f>
        <v>Faster-RCNN ResNet-50-FPN (no augmentation)</v>
      </c>
      <c r="D145" s="5" t="str">
        <f>IFERROR(__xludf.DUMMYFUNCTION("""COMPUTED_VALUE"""),"mAP")</f>
        <v>mAP</v>
      </c>
      <c r="E145" s="5" t="str">
        <f>IFERROR(__xludf.DUMMYFUNCTION("""COMPUTED_VALUE"""),"mAP@0.5")</f>
        <v>mAP@0.5</v>
      </c>
      <c r="F145" s="5">
        <f>IFERROR(__xludf.DUMMYFUNCTION("""COMPUTED_VALUE"""),78.71)</f>
        <v>78.71</v>
      </c>
    </row>
    <row r="146" ht="15.75" customHeight="1">
      <c r="A146" s="5" t="str">
        <f>IFERROR(__xludf.DUMMYFUNCTION("""COMPUTED_VALUE"""),"SCOPUS-000415")</f>
        <v>SCOPUS-000415</v>
      </c>
      <c r="B146" s="5" t="str">
        <f>IFERROR(__xludf.DUMMYFUNCTION("""COMPUTED_VALUE"""),"SCOPUS-000415-1")</f>
        <v>SCOPUS-000415-1</v>
      </c>
      <c r="C146" s="6" t="str">
        <f>IFERROR(__xludf.DUMMYFUNCTION("""COMPUTED_VALUE"""),"Deeplab-v3 ResNet50 (matched-quality baseline images)")</f>
        <v>Deeplab-v3 ResNet50 (matched-quality baseline images)</v>
      </c>
      <c r="D146" s="5" t="str">
        <f>IFERROR(__xludf.DUMMYFUNCTION("""COMPUTED_VALUE"""),"mIoU (%)")</f>
        <v>mIoU (%)</v>
      </c>
      <c r="E146" s="5" t="str">
        <f>IFERROR(__xludf.DUMMYFUNCTION("""COMPUTED_VALUE"""),"mIoU")</f>
        <v>mIoU</v>
      </c>
      <c r="F146" s="5">
        <f>IFERROR(__xludf.DUMMYFUNCTION("""COMPUTED_VALUE"""),68.6)</f>
        <v>68.6</v>
      </c>
    </row>
    <row r="147" ht="15.75" customHeight="1">
      <c r="A147" s="5" t="str">
        <f>IFERROR(__xludf.DUMMYFUNCTION("""COMPUTED_VALUE"""),"SCOPUS-000421")</f>
        <v>SCOPUS-000421</v>
      </c>
      <c r="B147" s="5" t="str">
        <f>IFERROR(__xludf.DUMMYFUNCTION("""COMPUTED_VALUE"""),"SCOPUS-000421-1")</f>
        <v>SCOPUS-000421-1</v>
      </c>
      <c r="C147" s="6" t="str">
        <f>IFERROR(__xludf.DUMMYFUNCTION("""COMPUTED_VALUE"""),"EfficientDet-D3")</f>
        <v>EfficientDet-D3</v>
      </c>
      <c r="D147" s="5" t="str">
        <f>IFERROR(__xludf.DUMMYFUNCTION("""COMPUTED_VALUE"""),"AP")</f>
        <v>AP</v>
      </c>
      <c r="E147" s="5" t="str">
        <f>IFERROR(__xludf.DUMMYFUNCTION("""COMPUTED_VALUE"""),"mAP@0.5")</f>
        <v>mAP@0.5</v>
      </c>
      <c r="F147" s="5">
        <f>IFERROR(__xludf.DUMMYFUNCTION("""COMPUTED_VALUE"""),35.17)</f>
        <v>35.17</v>
      </c>
    </row>
    <row r="148" ht="15.75" customHeight="1">
      <c r="A148" s="5" t="str">
        <f>IFERROR(__xludf.DUMMYFUNCTION("""COMPUTED_VALUE"""),"SCOPUS-000429")</f>
        <v>SCOPUS-000429</v>
      </c>
      <c r="B148" s="5" t="str">
        <f>IFERROR(__xludf.DUMMYFUNCTION("""COMPUTED_VALUE"""),"SCOPUS-000429-1")</f>
        <v>SCOPUS-000429-1</v>
      </c>
      <c r="C148" s="6" t="str">
        <f>IFERROR(__xludf.DUMMYFUNCTION("""COMPUTED_VALUE"""),"YOLOv3")</f>
        <v>YOLOv3</v>
      </c>
      <c r="D148" s="5" t="str">
        <f>IFERROR(__xludf.DUMMYFUNCTION("""COMPUTED_VALUE"""),"Mean average precision")</f>
        <v>Mean average precision</v>
      </c>
      <c r="E148" s="5" t="str">
        <f>IFERROR(__xludf.DUMMYFUNCTION("""COMPUTED_VALUE"""),"mAP@0.5")</f>
        <v>mAP@0.5</v>
      </c>
      <c r="F148" s="5">
        <f>IFERROR(__xludf.DUMMYFUNCTION("""COMPUTED_VALUE"""),91.8)</f>
        <v>91.8</v>
      </c>
    </row>
    <row r="149" ht="15.75" customHeight="1">
      <c r="A149" s="5" t="str">
        <f>IFERROR(__xludf.DUMMYFUNCTION("""COMPUTED_VALUE"""),"SCOPUS-000441")</f>
        <v>SCOPUS-000441</v>
      </c>
      <c r="B149" s="5" t="str">
        <f>IFERROR(__xludf.DUMMYFUNCTION("""COMPUTED_VALUE"""),"SCOPUS-000441-1")</f>
        <v>SCOPUS-000441-1</v>
      </c>
      <c r="C149" s="6" t="str">
        <f>IFERROR(__xludf.DUMMYFUNCTION("""COMPUTED_VALUE"""),"U-Net")</f>
        <v>U-Net</v>
      </c>
      <c r="D149" s="5" t="str">
        <f>IFERROR(__xludf.DUMMYFUNCTION("""COMPUTED_VALUE"""),"mIoU")</f>
        <v>mIoU</v>
      </c>
      <c r="E149" s="5" t="str">
        <f>IFERROR(__xludf.DUMMYFUNCTION("""COMPUTED_VALUE"""),"mIoU")</f>
        <v>mIoU</v>
      </c>
      <c r="F149" s="5">
        <f>IFERROR(__xludf.DUMMYFUNCTION("""COMPUTED_VALUE"""),71.0)</f>
        <v>71</v>
      </c>
    </row>
    <row r="150" ht="15.75" customHeight="1">
      <c r="A150" s="5" t="str">
        <f>IFERROR(__xludf.DUMMYFUNCTION("""COMPUTED_VALUE"""),"SCOPUS-000454")</f>
        <v>SCOPUS-000454</v>
      </c>
      <c r="B150" s="5" t="str">
        <f>IFERROR(__xludf.DUMMYFUNCTION("""COMPUTED_VALUE"""),"SCOPUS-000454-1")</f>
        <v>SCOPUS-000454-1</v>
      </c>
      <c r="C150" s="6" t="str">
        <f>IFERROR(__xludf.DUMMYFUNCTION("""COMPUTED_VALUE"""),"ResNet50 (real only)")</f>
        <v>ResNet50 (real only)</v>
      </c>
      <c r="D150" s="5" t="str">
        <f>IFERROR(__xludf.DUMMYFUNCTION("""COMPUTED_VALUE"""),"Top-1 acc.")</f>
        <v>Top-1 acc.</v>
      </c>
      <c r="E150" s="5" t="str">
        <f>IFERROR(__xludf.DUMMYFUNCTION("""COMPUTED_VALUE"""),"Accuracy")</f>
        <v>Accuracy</v>
      </c>
      <c r="F150" s="5">
        <f>IFERROR(__xludf.DUMMYFUNCTION("""COMPUTED_VALUE"""),98.43)</f>
        <v>98.43</v>
      </c>
    </row>
    <row r="151" ht="15.75" customHeight="1">
      <c r="A151" s="5" t="str">
        <f>IFERROR(__xludf.DUMMYFUNCTION("""COMPUTED_VALUE"""),"SCOPUS-000459")</f>
        <v>SCOPUS-000459</v>
      </c>
      <c r="B151" s="5" t="str">
        <f>IFERROR(__xludf.DUMMYFUNCTION("""COMPUTED_VALUE"""),"SCOPUS-000459-1")</f>
        <v>SCOPUS-000459-1</v>
      </c>
      <c r="C151" s="6" t="str">
        <f>IFERROR(__xludf.DUMMYFUNCTION("""COMPUTED_VALUE"""),"Inception V4 (scratch, mixed)")</f>
        <v>Inception V4 (scratch, mixed)</v>
      </c>
      <c r="D151" s="5" t="str">
        <f>IFERROR(__xludf.DUMMYFUNCTION("""COMPUTED_VALUE"""),"Accuracy")</f>
        <v>Accuracy</v>
      </c>
      <c r="E151" s="5" t="str">
        <f>IFERROR(__xludf.DUMMYFUNCTION("""COMPUTED_VALUE"""),"Accuracy")</f>
        <v>Accuracy</v>
      </c>
      <c r="F151" s="5">
        <f>IFERROR(__xludf.DUMMYFUNCTION("""COMPUTED_VALUE"""),99.41)</f>
        <v>99.41</v>
      </c>
    </row>
    <row r="152" ht="15.75" customHeight="1">
      <c r="A152" s="5" t="str">
        <f>IFERROR(__xludf.DUMMYFUNCTION("""COMPUTED_VALUE"""),"SCOPUS-000471")</f>
        <v>SCOPUS-000471</v>
      </c>
      <c r="B152" s="5" t="str">
        <f>IFERROR(__xludf.DUMMYFUNCTION("""COMPUTED_VALUE"""),"SCOPUS-000471-1")</f>
        <v>SCOPUS-000471-1</v>
      </c>
      <c r="C152" s="6" t="str">
        <f>IFERROR(__xludf.DUMMYFUNCTION("""COMPUTED_VALUE"""),"ResNet50")</f>
        <v>ResNet50</v>
      </c>
      <c r="D152" s="5" t="str">
        <f>IFERROR(__xludf.DUMMYFUNCTION("""COMPUTED_VALUE"""),"Accuracy")</f>
        <v>Accuracy</v>
      </c>
      <c r="E152" s="5" t="str">
        <f>IFERROR(__xludf.DUMMYFUNCTION("""COMPUTED_VALUE"""),"Accuracy")</f>
        <v>Accuracy</v>
      </c>
      <c r="F152" s="5">
        <f>IFERROR(__xludf.DUMMYFUNCTION("""COMPUTED_VALUE"""),94.12)</f>
        <v>94.12</v>
      </c>
    </row>
    <row r="153" ht="15.75" customHeight="1">
      <c r="A153" s="5" t="str">
        <f>IFERROR(__xludf.DUMMYFUNCTION("""COMPUTED_VALUE"""),"SCOPUS-000480")</f>
        <v>SCOPUS-000480</v>
      </c>
      <c r="B153" s="5" t="str">
        <f>IFERROR(__xludf.DUMMYFUNCTION("""COMPUTED_VALUE"""),"SCOPUS-000480-1")</f>
        <v>SCOPUS-000480-1</v>
      </c>
      <c r="C153" s="6" t="str">
        <f>IFERROR(__xludf.DUMMYFUNCTION("""COMPUTED_VALUE"""),"ResNet-50 (combined, real only)")</f>
        <v>ResNet-50 (combined, real only)</v>
      </c>
      <c r="D153" s="5" t="str">
        <f>IFERROR(__xludf.DUMMYFUNCTION("""COMPUTED_VALUE"""),"Testing accuracy")</f>
        <v>Testing accuracy</v>
      </c>
      <c r="E153" s="5" t="str">
        <f>IFERROR(__xludf.DUMMYFUNCTION("""COMPUTED_VALUE"""),"Accuracy")</f>
        <v>Accuracy</v>
      </c>
      <c r="F153" s="5">
        <f>IFERROR(__xludf.DUMMYFUNCTION("""COMPUTED_VALUE"""),98.06)</f>
        <v>98.06</v>
      </c>
    </row>
    <row r="154" ht="15.75" customHeight="1">
      <c r="A154" s="5" t="str">
        <f>IFERROR(__xludf.DUMMYFUNCTION("""COMPUTED_VALUE"""),"SCOPUS-000492")</f>
        <v>SCOPUS-000492</v>
      </c>
      <c r="B154" s="5" t="str">
        <f>IFERROR(__xludf.DUMMYFUNCTION("""COMPUTED_VALUE"""),"SCOPUS-000492-1")</f>
        <v>SCOPUS-000492-1</v>
      </c>
      <c r="C154" s="6" t="str">
        <f>IFERROR(__xludf.DUMMYFUNCTION("""COMPUTED_VALUE"""),"AlexNet TL (real only)")</f>
        <v>AlexNet TL (real only)</v>
      </c>
      <c r="D154" s="5" t="str">
        <f>IFERROR(__xludf.DUMMYFUNCTION("""COMPUTED_VALUE"""),"accuracy")</f>
        <v>accuracy</v>
      </c>
      <c r="E154" s="5" t="str">
        <f>IFERROR(__xludf.DUMMYFUNCTION("""COMPUTED_VALUE"""),"Accuracy")</f>
        <v>Accuracy</v>
      </c>
      <c r="F154" s="5">
        <f>IFERROR(__xludf.DUMMYFUNCTION("""COMPUTED_VALUE"""),97.07)</f>
        <v>97.07</v>
      </c>
    </row>
    <row r="155" ht="15.75" customHeight="1">
      <c r="A155" s="5" t="str">
        <f>IFERROR(__xludf.DUMMYFUNCTION("""COMPUTED_VALUE"""),"SCOPUS-000493")</f>
        <v>SCOPUS-000493</v>
      </c>
      <c r="B155" s="5" t="str">
        <f>IFERROR(__xludf.DUMMYFUNCTION("""COMPUTED_VALUE"""),"SCOPUS-000493-1")</f>
        <v>SCOPUS-000493-1</v>
      </c>
      <c r="C155" s="6" t="str">
        <f>IFERROR(__xludf.DUMMYFUNCTION("""COMPUTED_VALUE"""),"MobileNetV2")</f>
        <v>MobileNetV2</v>
      </c>
      <c r="D155" s="5" t="str">
        <f>IFERROR(__xludf.DUMMYFUNCTION("""COMPUTED_VALUE"""),"Acc")</f>
        <v>Acc</v>
      </c>
      <c r="E155" s="5" t="str">
        <f>IFERROR(__xludf.DUMMYFUNCTION("""COMPUTED_VALUE"""),"Accuracy")</f>
        <v>Accuracy</v>
      </c>
      <c r="F155" s="5">
        <f>IFERROR(__xludf.DUMMYFUNCTION("""COMPUTED_VALUE"""),87.83)</f>
        <v>87.83</v>
      </c>
    </row>
    <row r="156" ht="15.75" customHeight="1">
      <c r="A156" s="5" t="str">
        <f>IFERROR(__xludf.DUMMYFUNCTION("""COMPUTED_VALUE"""),"SCOPUS-000505")</f>
        <v>SCOPUS-000505</v>
      </c>
      <c r="B156" s="5" t="str">
        <f>IFERROR(__xludf.DUMMYFUNCTION("""COMPUTED_VALUE"""),"SCOPUS-000505-1")</f>
        <v>SCOPUS-000505-1</v>
      </c>
      <c r="C156" s="6" t="str">
        <f>IFERROR(__xludf.DUMMYFUNCTION("""COMPUTED_VALUE"""),"NN")</f>
        <v>NN</v>
      </c>
      <c r="D156" s="5" t="str">
        <f>IFERROR(__xludf.DUMMYFUNCTION("""COMPUTED_VALUE"""),"Accuracy")</f>
        <v>Accuracy</v>
      </c>
      <c r="E156" s="5" t="str">
        <f>IFERROR(__xludf.DUMMYFUNCTION("""COMPUTED_VALUE"""),"Accuracy")</f>
        <v>Accuracy</v>
      </c>
      <c r="F156" s="5">
        <f>IFERROR(__xludf.DUMMYFUNCTION("""COMPUTED_VALUE"""),93.5)</f>
        <v>93.5</v>
      </c>
    </row>
    <row r="157" ht="15.75" customHeight="1">
      <c r="A157" s="5" t="str">
        <f>IFERROR(__xludf.DUMMYFUNCTION("""COMPUTED_VALUE"""),"SCOPUS-000532")</f>
        <v>SCOPUS-000532</v>
      </c>
      <c r="B157" s="5" t="str">
        <f>IFERROR(__xludf.DUMMYFUNCTION("""COMPUTED_VALUE"""),"SCOPUS-000532-1")</f>
        <v>SCOPUS-000532-1</v>
      </c>
      <c r="C157" s="6" t="str">
        <f>IFERROR(__xludf.DUMMYFUNCTION("""COMPUTED_VALUE"""),"YOLOv8 (RGB)")</f>
        <v>YOLOv8 (RGB)</v>
      </c>
      <c r="D157" s="5" t="str">
        <f>IFERROR(__xludf.DUMMYFUNCTION("""COMPUTED_VALUE"""),"mAP0.5")</f>
        <v>mAP0.5</v>
      </c>
      <c r="E157" s="5" t="str">
        <f>IFERROR(__xludf.DUMMYFUNCTION("""COMPUTED_VALUE"""),"mAP@0.5")</f>
        <v>mAP@0.5</v>
      </c>
      <c r="F157" s="5">
        <f>IFERROR(__xludf.DUMMYFUNCTION("""COMPUTED_VALUE"""),89.3)</f>
        <v>89.3</v>
      </c>
    </row>
    <row r="158" ht="15.75" customHeight="1">
      <c r="A158" s="5" t="str">
        <f>IFERROR(__xludf.DUMMYFUNCTION("""COMPUTED_VALUE"""),"SCOPUS-000542")</f>
        <v>SCOPUS-000542</v>
      </c>
      <c r="B158" s="5" t="str">
        <f>IFERROR(__xludf.DUMMYFUNCTION("""COMPUTED_VALUE"""),"SCOPUS-000542-1")</f>
        <v>SCOPUS-000542-1</v>
      </c>
      <c r="C158" s="6" t="str">
        <f>IFERROR(__xludf.DUMMYFUNCTION("""COMPUTED_VALUE"""),"YOLOv3 (5×100 images, without field S)")</f>
        <v>YOLOv3 (5×100 images, without field S)</v>
      </c>
      <c r="D158" s="5" t="str">
        <f>IFERROR(__xludf.DUMMYFUNCTION("""COMPUTED_VALUE"""),"mAP")</f>
        <v>mAP</v>
      </c>
      <c r="E158" s="5" t="str">
        <f>IFERROR(__xludf.DUMMYFUNCTION("""COMPUTED_VALUE"""),"mAP@0.5")</f>
        <v>mAP@0.5</v>
      </c>
      <c r="F158" s="5">
        <f>IFERROR(__xludf.DUMMYFUNCTION("""COMPUTED_VALUE"""),20.0)</f>
        <v>20</v>
      </c>
    </row>
    <row r="159" ht="15.75" customHeight="1">
      <c r="A159" s="5" t="str">
        <f>IFERROR(__xludf.DUMMYFUNCTION("""COMPUTED_VALUE"""),"SCOPUS-000545")</f>
        <v>SCOPUS-000545</v>
      </c>
      <c r="B159" s="5" t="str">
        <f>IFERROR(__xludf.DUMMYFUNCTION("""COMPUTED_VALUE"""),"SCOPUS-000545-1")</f>
        <v>SCOPUS-000545-1</v>
      </c>
      <c r="C159" s="6" t="str">
        <f>IFERROR(__xludf.DUMMYFUNCTION("""COMPUTED_VALUE"""),"BaseNet (VGG16 encoder–decoder)")</f>
        <v>BaseNet (VGG16 encoder–decoder)</v>
      </c>
      <c r="D159" s="5" t="str">
        <f>IFERROR(__xludf.DUMMYFUNCTION("""COMPUTED_VALUE"""),"MIoU")</f>
        <v>MIoU</v>
      </c>
      <c r="E159" s="5" t="str">
        <f>IFERROR(__xludf.DUMMYFUNCTION("""COMPUTED_VALUE"""),"mIoU")</f>
        <v>mIoU</v>
      </c>
      <c r="F159" s="5">
        <f>IFERROR(__xludf.DUMMYFUNCTION("""COMPUTED_VALUE"""),88.33)</f>
        <v>88.33</v>
      </c>
    </row>
    <row r="160" ht="15.75" customHeight="1">
      <c r="A160" s="5" t="str">
        <f>IFERROR(__xludf.DUMMYFUNCTION("""COMPUTED_VALUE"""),"SCOPUS-000552")</f>
        <v>SCOPUS-000552</v>
      </c>
      <c r="B160" s="5" t="str">
        <f>IFERROR(__xludf.DUMMYFUNCTION("""COMPUTED_VALUE"""),"SCOPUS-000552-1")</f>
        <v>SCOPUS-000552-1</v>
      </c>
      <c r="C160" s="6" t="str">
        <f>IFERROR(__xludf.DUMMYFUNCTION("""COMPUTED_VALUE"""),"YOLOv4")</f>
        <v>YOLOv4</v>
      </c>
      <c r="D160" s="5" t="str">
        <f>IFERROR(__xludf.DUMMYFUNCTION("""COMPUTED_VALUE"""),"mAP@ IoU = 0.5")</f>
        <v>mAP@ IoU = 0.5</v>
      </c>
      <c r="E160" s="5" t="str">
        <f>IFERROR(__xludf.DUMMYFUNCTION("""COMPUTED_VALUE"""),"mAP@0.5")</f>
        <v>mAP@0.5</v>
      </c>
      <c r="F160" s="5">
        <f>IFERROR(__xludf.DUMMYFUNCTION("""COMPUTED_VALUE"""),93.4)</f>
        <v>93.4</v>
      </c>
    </row>
    <row r="161" ht="15.75" customHeight="1">
      <c r="A161" s="5" t="str">
        <f>IFERROR(__xludf.DUMMYFUNCTION("""COMPUTED_VALUE"""),"SCOPUS-000582")</f>
        <v>SCOPUS-000582</v>
      </c>
      <c r="B161" s="5" t="str">
        <f>IFERROR(__xludf.DUMMYFUNCTION("""COMPUTED_VALUE"""),"SCOPUS-000582-1")</f>
        <v>SCOPUS-000582-1</v>
      </c>
      <c r="C161" s="6" t="str">
        <f>IFERROR(__xludf.DUMMYFUNCTION("""COMPUTED_VALUE"""),"Thermal RT (ragweed, Casselton 8 DAA)")</f>
        <v>Thermal RT (ragweed, Casselton 8 DAA)</v>
      </c>
      <c r="D161" s="5" t="str">
        <f>IFERROR(__xludf.DUMMYFUNCTION("""COMPUTED_VALUE"""),"Accuracy")</f>
        <v>Accuracy</v>
      </c>
      <c r="E161" s="5" t="str">
        <f>IFERROR(__xludf.DUMMYFUNCTION("""COMPUTED_VALUE"""),"Accuracy")</f>
        <v>Accuracy</v>
      </c>
      <c r="F161" s="5">
        <f>IFERROR(__xludf.DUMMYFUNCTION("""COMPUTED_VALUE"""),62.7)</f>
        <v>62.7</v>
      </c>
    </row>
    <row r="162" ht="15.75" customHeight="1">
      <c r="A162" s="5" t="str">
        <f>IFERROR(__xludf.DUMMYFUNCTION("""COMPUTED_VALUE"""),"SCOPUS-000600")</f>
        <v>SCOPUS-000600</v>
      </c>
      <c r="B162" s="5" t="str">
        <f>IFERROR(__xludf.DUMMYFUNCTION("""COMPUTED_VALUE"""),"SCOPUS-000600-1")</f>
        <v>SCOPUS-000600-1</v>
      </c>
      <c r="C162" s="6" t="str">
        <f>IFERROR(__xludf.DUMMYFUNCTION("""COMPUTED_VALUE"""),"VGG13_bn")</f>
        <v>VGG13_bn</v>
      </c>
      <c r="D162" s="5" t="str">
        <f>IFERROR(__xludf.DUMMYFUNCTION("""COMPUTED_VALUE"""),"Test Accuracy")</f>
        <v>Test Accuracy</v>
      </c>
      <c r="E162" s="5" t="str">
        <f>IFERROR(__xludf.DUMMYFUNCTION("""COMPUTED_VALUE"""),"Accuracy")</f>
        <v>Accuracy</v>
      </c>
      <c r="F162" s="5">
        <f>IFERROR(__xludf.DUMMYFUNCTION("""COMPUTED_VALUE"""),76.67)</f>
        <v>76.67</v>
      </c>
    </row>
    <row r="163" ht="15.75" customHeight="1">
      <c r="A163" s="5" t="str">
        <f>IFERROR(__xludf.DUMMYFUNCTION("""COMPUTED_VALUE"""),"SCOPUS-000620")</f>
        <v>SCOPUS-000620</v>
      </c>
      <c r="B163" s="5" t="str">
        <f>IFERROR(__xludf.DUMMYFUNCTION("""COMPUTED_VALUE"""),"SCOPUS-000620-1")</f>
        <v>SCOPUS-000620-1</v>
      </c>
      <c r="C163" s="6" t="str">
        <f>IFERROR(__xludf.DUMMYFUNCTION("""COMPUTED_VALUE"""),"ResNet50 (scratch on TomatoWeeds)")</f>
        <v>ResNet50 (scratch on TomatoWeeds)</v>
      </c>
      <c r="D163" s="5" t="str">
        <f>IFERROR(__xludf.DUMMYFUNCTION("""COMPUTED_VALUE"""),"Accuracy")</f>
        <v>Accuracy</v>
      </c>
      <c r="E163" s="5" t="str">
        <f>IFERROR(__xludf.DUMMYFUNCTION("""COMPUTED_VALUE"""),"Accuracy")</f>
        <v>Accuracy</v>
      </c>
      <c r="F163" s="5">
        <f>IFERROR(__xludf.DUMMYFUNCTION("""COMPUTED_VALUE"""),73.7)</f>
        <v>73.7</v>
      </c>
    </row>
    <row r="164" ht="15.75" customHeight="1">
      <c r="A164" s="5" t="str">
        <f>IFERROR(__xludf.DUMMYFUNCTION("""COMPUTED_VALUE"""),"SCOPUS-000623")</f>
        <v>SCOPUS-000623</v>
      </c>
      <c r="B164" s="5" t="str">
        <f>IFERROR(__xludf.DUMMYFUNCTION("""COMPUTED_VALUE"""),"SCOPUS-000623-1")</f>
        <v>SCOPUS-000623-1</v>
      </c>
      <c r="C164" s="6" t="str">
        <f>IFERROR(__xludf.DUMMYFUNCTION("""COMPUTED_VALUE"""),"Simple CNN")</f>
        <v>Simple CNN</v>
      </c>
      <c r="D164" s="5" t="str">
        <f>IFERROR(__xludf.DUMMYFUNCTION("""COMPUTED_VALUE"""),"Accuracy")</f>
        <v>Accuracy</v>
      </c>
      <c r="E164" s="5" t="str">
        <f>IFERROR(__xludf.DUMMYFUNCTION("""COMPUTED_VALUE"""),"Accuracy")</f>
        <v>Accuracy</v>
      </c>
      <c r="F164" s="5">
        <f>IFERROR(__xludf.DUMMYFUNCTION("""COMPUTED_VALUE"""),53.0)</f>
        <v>53</v>
      </c>
    </row>
    <row r="165" ht="15.75" customHeight="1">
      <c r="A165" s="5" t="str">
        <f>IFERROR(__xludf.DUMMYFUNCTION("""COMPUTED_VALUE"""),"SCOPUS-000626")</f>
        <v>SCOPUS-000626</v>
      </c>
      <c r="B165" s="5" t="str">
        <f>IFERROR(__xludf.DUMMYFUNCTION("""COMPUTED_VALUE"""),"SCOPUS-000626-1")</f>
        <v>SCOPUS-000626-1</v>
      </c>
      <c r="C165" s="6" t="str">
        <f>IFERROR(__xludf.DUMMYFUNCTION("""COMPUTED_VALUE"""),"ResNet-50")</f>
        <v>ResNet-50</v>
      </c>
      <c r="D165" s="5" t="str">
        <f>IFERROR(__xludf.DUMMYFUNCTION("""COMPUTED_VALUE"""),"Accuracy")</f>
        <v>Accuracy</v>
      </c>
      <c r="E165" s="5" t="str">
        <f>IFERROR(__xludf.DUMMYFUNCTION("""COMPUTED_VALUE"""),"Accuracy")</f>
        <v>Accuracy</v>
      </c>
      <c r="F165" s="5">
        <f>IFERROR(__xludf.DUMMYFUNCTION("""COMPUTED_VALUE"""),96.1)</f>
        <v>96.1</v>
      </c>
    </row>
    <row r="166" ht="15.75" customHeight="1">
      <c r="A166" s="5" t="str">
        <f>IFERROR(__xludf.DUMMYFUNCTION("""COMPUTED_VALUE"""),"SCOPUS-000628")</f>
        <v>SCOPUS-000628</v>
      </c>
      <c r="B166" s="5" t="str">
        <f>IFERROR(__xludf.DUMMYFUNCTION("""COMPUTED_VALUE"""),"SCOPUS-000628-1")</f>
        <v>SCOPUS-000628-1</v>
      </c>
      <c r="C166" s="6" t="str">
        <f>IFERROR(__xludf.DUMMYFUNCTION("""COMPUTED_VALUE"""),"WeedVision C1 (flip/rotate/shear DA)")</f>
        <v>WeedVision C1 (flip/rotate/shear DA)</v>
      </c>
      <c r="D166" s="5" t="str">
        <f>IFERROR(__xludf.DUMMYFUNCTION("""COMPUTED_VALUE"""),"mAP@0.5")</f>
        <v>mAP@0.5</v>
      </c>
      <c r="E166" s="5" t="str">
        <f>IFERROR(__xludf.DUMMYFUNCTION("""COMPUTED_VALUE"""),"mAP@0.5")</f>
        <v>mAP@0.5</v>
      </c>
      <c r="F166" s="5">
        <f>IFERROR(__xludf.DUMMYFUNCTION("""COMPUTED_VALUE"""),60.7)</f>
        <v>60.7</v>
      </c>
    </row>
    <row r="167">
      <c r="A167" s="6" t="str">
        <f>IFERROR(__xludf.DUMMYFUNCTION("""COMPUTED_VALUE"""),"SCOPUS-000676")</f>
        <v>SCOPUS-000676</v>
      </c>
      <c r="B167" s="6" t="str">
        <f>IFERROR(__xludf.DUMMYFUNCTION("""COMPUTED_VALUE"""),"SCOPUS-000676-1")</f>
        <v>SCOPUS-000676-1</v>
      </c>
      <c r="C167" s="6" t="str">
        <f>IFERROR(__xludf.DUMMYFUNCTION("""COMPUTED_VALUE"""),"KNN")</f>
        <v>KNN</v>
      </c>
      <c r="D167" s="6" t="str">
        <f>IFERROR(__xludf.DUMMYFUNCTION("""COMPUTED_VALUE"""),"Accuracy")</f>
        <v>Accuracy</v>
      </c>
      <c r="E167" s="6" t="str">
        <f>IFERROR(__xludf.DUMMYFUNCTION("""COMPUTED_VALUE"""),"Accuracy")</f>
        <v>Accuracy</v>
      </c>
      <c r="F167" s="6">
        <f>IFERROR(__xludf.DUMMYFUNCTION("""COMPUTED_VALUE"""),83.0)</f>
        <v>83</v>
      </c>
    </row>
    <row r="168">
      <c r="A168" s="6" t="str">
        <f>IFERROR(__xludf.DUMMYFUNCTION("""COMPUTED_VALUE"""),"SCOPUS-000753")</f>
        <v>SCOPUS-000753</v>
      </c>
      <c r="B168" s="6" t="str">
        <f>IFERROR(__xludf.DUMMYFUNCTION("""COMPUTED_VALUE"""),"SCOPUS-000753-1")</f>
        <v>SCOPUS-000753-1</v>
      </c>
      <c r="C168" s="6" t="str">
        <f>IFERROR(__xludf.DUMMYFUNCTION("""COMPUTED_VALUE"""),"UNET_VGG16")</f>
        <v>UNET_VGG16</v>
      </c>
      <c r="D168" s="6" t="str">
        <f>IFERROR(__xludf.DUMMYFUNCTION("""COMPUTED_VALUE"""),"MIOU")</f>
        <v>MIOU</v>
      </c>
      <c r="E168" s="6" t="str">
        <f>IFERROR(__xludf.DUMMYFUNCTION("""COMPUTED_VALUE"""),"mIoU")</f>
        <v>mIoU</v>
      </c>
      <c r="F168" s="6">
        <f>IFERROR(__xludf.DUMMYFUNCTION("""COMPUTED_VALUE"""),78.05)</f>
        <v>78.05</v>
      </c>
    </row>
    <row r="169">
      <c r="A169" s="6" t="str">
        <f>IFERROR(__xludf.DUMMYFUNCTION("""COMPUTED_VALUE"""),"WEBSCI-000421")</f>
        <v>WEBSCI-000421</v>
      </c>
      <c r="B169" s="6" t="str">
        <f>IFERROR(__xludf.DUMMYFUNCTION("""COMPUTED_VALUE"""),"WEBSCI-000421-1")</f>
        <v>WEBSCI-000421-1</v>
      </c>
      <c r="C169" s="6" t="str">
        <f>IFERROR(__xludf.DUMMYFUNCTION("""COMPUTED_VALUE"""),"AlexNet (ImageNet PT, SGDM lr 0.001)")</f>
        <v>AlexNet (ImageNet PT, SGDM lr 0.001)</v>
      </c>
      <c r="D169" s="6" t="str">
        <f>IFERROR(__xludf.DUMMYFUNCTION("""COMPUTED_VALUE"""),"Validation Accuracy")</f>
        <v>Validation Accuracy</v>
      </c>
      <c r="E169" s="6" t="str">
        <f>IFERROR(__xludf.DUMMYFUNCTION("""COMPUTED_VALUE"""),"Accuracy")</f>
        <v>Accuracy</v>
      </c>
      <c r="F169" s="6">
        <f>IFERROR(__xludf.DUMMYFUNCTION("""COMPUTED_VALUE"""),71.41)</f>
        <v>71.41</v>
      </c>
    </row>
    <row r="170">
      <c r="A170" s="6" t="str">
        <f>IFERROR(__xludf.DUMMYFUNCTION("""COMPUTED_VALUE"""),"WEBSCI-000559")</f>
        <v>WEBSCI-000559</v>
      </c>
      <c r="B170" s="6" t="str">
        <f>IFERROR(__xludf.DUMMYFUNCTION("""COMPUTED_VALUE"""),"WEBSCI-000559-1")</f>
        <v>WEBSCI-000559-1</v>
      </c>
      <c r="C170" s="6" t="str">
        <f>IFERROR(__xludf.DUMMYFUNCTION("""COMPUTED_VALUE"""),"Our method without transfer learning")</f>
        <v>Our method without transfer learning</v>
      </c>
      <c r="D170" s="6" t="str">
        <f>IFERROR(__xludf.DUMMYFUNCTION("""COMPUTED_VALUE"""),"Accuracy")</f>
        <v>Accuracy</v>
      </c>
      <c r="E170" s="6" t="str">
        <f>IFERROR(__xludf.DUMMYFUNCTION("""COMPUTED_VALUE"""),"Accuracy")</f>
        <v>Accuracy</v>
      </c>
      <c r="F170" s="6">
        <f>IFERROR(__xludf.DUMMYFUNCTION("""COMPUTED_VALUE"""),80.0)</f>
        <v>80</v>
      </c>
    </row>
  </sheetData>
  <conditionalFormatting sqref="A4:F170">
    <cfRule type="expression" dxfId="5" priority="1" stopIfTrue="1">
      <formula>ISEVEN(ROW())</formula>
    </cfRule>
  </conditionalFormatting>
  <conditionalFormatting sqref="A4:F170">
    <cfRule type="expression" dxfId="6" priority="2" stopIfTrue="1">
      <formula>ISODD(ROW())</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4.5"/>
    <col customWidth="1" min="2" max="2" width="18.25"/>
    <col customWidth="1" min="3" max="3" width="31.38"/>
    <col customWidth="1" min="4" max="4" width="16.38"/>
    <col customWidth="1" min="5" max="5" width="14.5"/>
    <col customWidth="1" min="6" max="6" width="12.0"/>
    <col customWidth="1" min="7" max="7" width="10.75"/>
  </cols>
  <sheetData>
    <row r="1" ht="22.5" customHeight="1">
      <c r="A1" s="10" t="str">
        <f>IFERROR(__xludf.DUMMYFUNCTION("VSTACK(IMPORTRANGE(""https://docs.google.com/spreadsheets/d/1IG-NLlNbWxgmur-Ok920jusl5qwxm6_N-HtBuRIcbS0/edit"",""'8-Mitigation Performance Results'!A1:G364""),QUERY(IMPORTRANGE(""https://docs.google.com/spreadsheets/d/1o-YvsM1EXkN6ZzOgu4zM9Uz7mmya31G7zJC"&amp;"OonMGAME/edit"",""'8-Mitigation Performance Result'!A1:G150""),""select * offset 3"",0))"),"Mitigation-Results")</f>
        <v>Mitigation-Results</v>
      </c>
      <c r="B1" s="10"/>
      <c r="C1" s="10"/>
      <c r="D1" s="10"/>
      <c r="E1" s="10"/>
      <c r="F1" s="10"/>
      <c r="G1" s="10"/>
    </row>
    <row r="2" ht="19.5" customHeight="1">
      <c r="A2" s="10" t="str">
        <f>IFERROR(__xludf.DUMMYFUNCTION("""COMPUTED_VALUE"""),"One row per tested/proposed model -- performance and gain (percentage points) over that paper's baseline")</f>
        <v>One row per tested/proposed model -- performance and gain (percentage points) over that paper's baseline</v>
      </c>
      <c r="B2" s="10"/>
      <c r="C2" s="10"/>
      <c r="D2" s="10"/>
      <c r="E2" s="10"/>
      <c r="F2" s="10"/>
      <c r="G2" s="10"/>
    </row>
    <row r="3" ht="19.5" customHeight="1">
      <c r="A3" s="10" t="str">
        <f>IFERROR(__xludf.DUMMYFUNCTION("""COMPUTED_VALUE"""),"Study ID")</f>
        <v>Study ID</v>
      </c>
      <c r="B3" s="10" t="str">
        <f>IFERROR(__xludf.DUMMYFUNCTION("""COMPUTED_VALUE"""),"Study Instance ID")</f>
        <v>Study Instance ID</v>
      </c>
      <c r="C3" s="10" t="str">
        <f>IFERROR(__xludf.DUMMYFUNCTION("""COMPUTED_VALUE"""),"Mitigation Modules")</f>
        <v>Mitigation Modules</v>
      </c>
      <c r="D3" s="10" t="str">
        <f>IFERROR(__xludf.DUMMYFUNCTION("""COMPUTED_VALUE"""),"Metric")</f>
        <v>Metric</v>
      </c>
      <c r="E3" s="10" t="str">
        <f>IFERROR(__xludf.DUMMYFUNCTION("""COMPUTED_VALUE"""),"Metric Family")</f>
        <v>Metric Family</v>
      </c>
      <c r="F3" s="10" t="str">
        <f>IFERROR(__xludf.DUMMYFUNCTION("""COMPUTED_VALUE"""),"Mitigation (%)")</f>
        <v>Mitigation (%)</v>
      </c>
      <c r="G3" s="10" t="str">
        <f>IFERROR(__xludf.DUMMYFUNCTION("""COMPUTED_VALUE"""),"Gain")</f>
        <v>Gain</v>
      </c>
    </row>
    <row r="4" ht="15.75" customHeight="1">
      <c r="A4" s="5" t="str">
        <f>IFERROR(__xludf.DUMMYFUNCTION("""COMPUTED_VALUE"""),"SCOPUS-000349")</f>
        <v>SCOPUS-000349</v>
      </c>
      <c r="B4" s="5" t="str">
        <f>IFERROR(__xludf.DUMMYFUNCTION("""COMPUTED_VALUE"""),"SCOPUS-000349-1")</f>
        <v>SCOPUS-000349-1</v>
      </c>
      <c r="C4" s="6" t="str">
        <f>IFERROR(__xludf.DUMMYFUNCTION("""COMPUTED_VALUE"""),"NoRGN")</f>
        <v>NoRGN</v>
      </c>
      <c r="D4" s="5" t="str">
        <f>IFERROR(__xludf.DUMMYFUNCTION("""COMPUTED_VALUE"""),"mIoU")</f>
        <v>mIoU</v>
      </c>
      <c r="E4" s="5" t="str">
        <f>IFERROR(__xludf.DUMMYFUNCTION("""COMPUTED_VALUE"""),"mIoU")</f>
        <v>mIoU</v>
      </c>
      <c r="F4" s="5">
        <f>IFERROR(__xludf.DUMMYFUNCTION("""COMPUTED_VALUE"""),67.6)</f>
        <v>67.6</v>
      </c>
      <c r="G4" s="5">
        <f>IFERROR(__xludf.DUMMYFUNCTION("""COMPUTED_VALUE"""),4.3)</f>
        <v>4.3</v>
      </c>
    </row>
    <row r="5" ht="15.75" customHeight="1">
      <c r="A5" s="5" t="str">
        <f>IFERROR(__xludf.DUMMYFUNCTION("""COMPUTED_VALUE"""),"SCOPUS-000349")</f>
        <v>SCOPUS-000349</v>
      </c>
      <c r="B5" s="5" t="str">
        <f>IFERROR(__xludf.DUMMYFUNCTION("""COMPUTED_VALUE"""),"SCOPUS-000349-2")</f>
        <v>SCOPUS-000349-2</v>
      </c>
      <c r="C5" s="6" t="str">
        <f>IFERROR(__xludf.DUMMYFUNCTION("""COMPUTED_VALUE"""),"SynthFakeRGNnoTL")</f>
        <v>SynthFakeRGNnoTL</v>
      </c>
      <c r="D5" s="5" t="str">
        <f>IFERROR(__xludf.DUMMYFUNCTION("""COMPUTED_VALUE"""),"mIoU")</f>
        <v>mIoU</v>
      </c>
      <c r="E5" s="5" t="str">
        <f>IFERROR(__xludf.DUMMYFUNCTION("""COMPUTED_VALUE"""),"mIoU")</f>
        <v>mIoU</v>
      </c>
      <c r="F5" s="5">
        <f>IFERROR(__xludf.DUMMYFUNCTION("""COMPUTED_VALUE"""),69.8)</f>
        <v>69.8</v>
      </c>
      <c r="G5" s="5">
        <f>IFERROR(__xludf.DUMMYFUNCTION("""COMPUTED_VALUE"""),6.5)</f>
        <v>6.5</v>
      </c>
    </row>
    <row r="6" ht="15.75" customHeight="1">
      <c r="A6" s="5" t="str">
        <f>IFERROR(__xludf.DUMMYFUNCTION("""COMPUTED_VALUE"""),"SCOPUS-000349")</f>
        <v>SCOPUS-000349</v>
      </c>
      <c r="B6" s="5" t="str">
        <f>IFERROR(__xludf.DUMMYFUNCTION("""COMPUTED_VALUE"""),"SCOPUS-000349-3")</f>
        <v>SCOPUS-000349-3</v>
      </c>
      <c r="C6" s="6" t="str">
        <f>IFERROR(__xludf.DUMMYFUNCTION("""COMPUTED_VALUE"""),"SynthFakeRGN")</f>
        <v>SynthFakeRGN</v>
      </c>
      <c r="D6" s="5" t="str">
        <f>IFERROR(__xludf.DUMMYFUNCTION("""COMPUTED_VALUE"""),"mIoU")</f>
        <v>mIoU</v>
      </c>
      <c r="E6" s="5" t="str">
        <f>IFERROR(__xludf.DUMMYFUNCTION("""COMPUTED_VALUE"""),"mIoU")</f>
        <v>mIoU</v>
      </c>
      <c r="F6" s="5">
        <f>IFERROR(__xludf.DUMMYFUNCTION("""COMPUTED_VALUE"""),74.9)</f>
        <v>74.9</v>
      </c>
      <c r="G6" s="5">
        <f>IFERROR(__xludf.DUMMYFUNCTION("""COMPUTED_VALUE"""),11.6)</f>
        <v>11.6</v>
      </c>
    </row>
    <row r="7" ht="15.75" customHeight="1">
      <c r="A7" s="5" t="str">
        <f>IFERROR(__xludf.DUMMYFUNCTION("""COMPUTED_VALUE"""),"SCOPUS-000349")</f>
        <v>SCOPUS-000349</v>
      </c>
      <c r="B7" s="5" t="str">
        <f>IFERROR(__xludf.DUMMYFUNCTION("""COMPUTED_VALUE"""),"SCOPUS-000349-4")</f>
        <v>SCOPUS-000349-4</v>
      </c>
      <c r="C7" s="6" t="str">
        <f>IFERROR(__xludf.DUMMYFUNCTION("""COMPUTED_VALUE"""),"TrueRGN")</f>
        <v>TrueRGN</v>
      </c>
      <c r="D7" s="5" t="str">
        <f>IFERROR(__xludf.DUMMYFUNCTION("""COMPUTED_VALUE"""),"mIoU")</f>
        <v>mIoU</v>
      </c>
      <c r="E7" s="5" t="str">
        <f>IFERROR(__xludf.DUMMYFUNCTION("""COMPUTED_VALUE"""),"mIoU")</f>
        <v>mIoU</v>
      </c>
      <c r="F7" s="5">
        <f>IFERROR(__xludf.DUMMYFUNCTION("""COMPUTED_VALUE"""),75.3)</f>
        <v>75.3</v>
      </c>
      <c r="G7" s="5">
        <f>IFERROR(__xludf.DUMMYFUNCTION("""COMPUTED_VALUE"""),12.0)</f>
        <v>12</v>
      </c>
    </row>
    <row r="8" ht="15.75" customHeight="1">
      <c r="A8" s="5" t="str">
        <f>IFERROR(__xludf.DUMMYFUNCTION("""COMPUTED_VALUE"""),"SCOPUS-000473")</f>
        <v>SCOPUS-000473</v>
      </c>
      <c r="B8" s="5" t="str">
        <f>IFERROR(__xludf.DUMMYFUNCTION("""COMPUTED_VALUE"""),"SCOPUS-000473-1")</f>
        <v>SCOPUS-000473-1</v>
      </c>
      <c r="C8" s="6" t="str">
        <f>IFERROR(__xludf.DUMMYFUNCTION("""COMPUTED_VALUE"""),"ViT-B-16")</f>
        <v>ViT-B-16</v>
      </c>
      <c r="D8" s="5" t="str">
        <f>IFERROR(__xludf.DUMMYFUNCTION("""COMPUTED_VALUE"""),"Accuracy")</f>
        <v>Accuracy</v>
      </c>
      <c r="E8" s="5" t="str">
        <f>IFERROR(__xludf.DUMMYFUNCTION("""COMPUTED_VALUE"""),"Accuracy")</f>
        <v>Accuracy</v>
      </c>
      <c r="F8" s="5">
        <f>IFERROR(__xludf.DUMMYFUNCTION("""COMPUTED_VALUE"""),91.1)</f>
        <v>91.1</v>
      </c>
      <c r="G8" s="5">
        <f>IFERROR(__xludf.DUMMYFUNCTION("""COMPUTED_VALUE"""),5.7)</f>
        <v>5.7</v>
      </c>
    </row>
    <row r="9" ht="15.75" customHeight="1">
      <c r="A9" s="5" t="str">
        <f>IFERROR(__xludf.DUMMYFUNCTION("""COMPUTED_VALUE"""),"SCOPUS-000473")</f>
        <v>SCOPUS-000473</v>
      </c>
      <c r="B9" s="5" t="str">
        <f>IFERROR(__xludf.DUMMYFUNCTION("""COMPUTED_VALUE"""),"SCOPUS-000473-2")</f>
        <v>SCOPUS-000473-2</v>
      </c>
      <c r="C9" s="6" t="str">
        <f>IFERROR(__xludf.DUMMYFUNCTION("""COMPUTED_VALUE"""),"ConvNeXt-Base-SSL")</f>
        <v>ConvNeXt-Base-SSL</v>
      </c>
      <c r="D9" s="5" t="str">
        <f>IFERROR(__xludf.DUMMYFUNCTION("""COMPUTED_VALUE"""),"Accuracy")</f>
        <v>Accuracy</v>
      </c>
      <c r="E9" s="5" t="str">
        <f>IFERROR(__xludf.DUMMYFUNCTION("""COMPUTED_VALUE"""),"Accuracy")</f>
        <v>Accuracy</v>
      </c>
      <c r="F9" s="5">
        <f>IFERROR(__xludf.DUMMYFUNCTION("""COMPUTED_VALUE"""),92.33)</f>
        <v>92.33</v>
      </c>
      <c r="G9" s="5">
        <f>IFERROR(__xludf.DUMMYFUNCTION("""COMPUTED_VALUE"""),1.6)</f>
        <v>1.6</v>
      </c>
    </row>
    <row r="10" ht="15.75" customHeight="1">
      <c r="A10" s="5" t="str">
        <f>IFERROR(__xludf.DUMMYFUNCTION("""COMPUTED_VALUE"""),"SCOPUS-000722")</f>
        <v>SCOPUS-000722</v>
      </c>
      <c r="B10" s="5" t="str">
        <f>IFERROR(__xludf.DUMMYFUNCTION("""COMPUTED_VALUE"""),"SCOPUS-000722-1")</f>
        <v>SCOPUS-000722-1</v>
      </c>
      <c r="C10" s="6" t="str">
        <f>IFERROR(__xludf.DUMMYFUNCTION("""COMPUTED_VALUE"""),"Proposed")</f>
        <v>Proposed</v>
      </c>
      <c r="D10" s="5" t="str">
        <f>IFERROR(__xludf.DUMMYFUNCTION("""COMPUTED_VALUE"""),"mIoU")</f>
        <v>mIoU</v>
      </c>
      <c r="E10" s="5" t="str">
        <f>IFERROR(__xludf.DUMMYFUNCTION("""COMPUTED_VALUE"""),"mIoU")</f>
        <v>mIoU</v>
      </c>
      <c r="F10" s="5">
        <f>IFERROR(__xludf.DUMMYFUNCTION("""COMPUTED_VALUE"""),76.79226)</f>
        <v>76.79226</v>
      </c>
      <c r="G10" s="5">
        <f>IFERROR(__xludf.DUMMYFUNCTION("""COMPUTED_VALUE"""),20.3)</f>
        <v>20.3</v>
      </c>
    </row>
    <row r="11" ht="15.75" customHeight="1">
      <c r="A11" s="5" t="str">
        <f>IFERROR(__xludf.DUMMYFUNCTION("""COMPUTED_VALUE"""),"SCOPUS-000153")</f>
        <v>SCOPUS-000153</v>
      </c>
      <c r="B11" s="5" t="str">
        <f>IFERROR(__xludf.DUMMYFUNCTION("""COMPUTED_VALUE"""),"SCOPUS-000153-1")</f>
        <v>SCOPUS-000153-1</v>
      </c>
      <c r="C11" s="6" t="str">
        <f>IFERROR(__xludf.DUMMYFUNCTION("""COMPUTED_VALUE"""),"DeepLabV3")</f>
        <v>DeepLabV3</v>
      </c>
      <c r="D11" s="5" t="str">
        <f>IFERROR(__xludf.DUMMYFUNCTION("""COMPUTED_VALUE"""),"mIoU")</f>
        <v>mIoU</v>
      </c>
      <c r="E11" s="5" t="str">
        <f>IFERROR(__xludf.DUMMYFUNCTION("""COMPUTED_VALUE"""),"mIoU")</f>
        <v>mIoU</v>
      </c>
      <c r="F11" s="5">
        <f>IFERROR(__xludf.DUMMYFUNCTION("""COMPUTED_VALUE"""),84.69)</f>
        <v>84.69</v>
      </c>
      <c r="G11" s="5">
        <f>IFERROR(__xludf.DUMMYFUNCTION("""COMPUTED_VALUE"""),6.8)</f>
        <v>6.8</v>
      </c>
    </row>
    <row r="12" ht="15.75" customHeight="1">
      <c r="A12" s="5" t="str">
        <f>IFERROR(__xludf.DUMMYFUNCTION("""COMPUTED_VALUE"""),"SCOPUS-000153")</f>
        <v>SCOPUS-000153</v>
      </c>
      <c r="B12" s="5" t="str">
        <f>IFERROR(__xludf.DUMMYFUNCTION("""COMPUTED_VALUE"""),"SCOPUS-000153-2")</f>
        <v>SCOPUS-000153-2</v>
      </c>
      <c r="C12" s="6" t="str">
        <f>IFERROR(__xludf.DUMMYFUNCTION("""COMPUTED_VALUE"""),"PSPNet")</f>
        <v>PSPNet</v>
      </c>
      <c r="D12" s="5" t="str">
        <f>IFERROR(__xludf.DUMMYFUNCTION("""COMPUTED_VALUE"""),"mIoU")</f>
        <v>mIoU</v>
      </c>
      <c r="E12" s="5" t="str">
        <f>IFERROR(__xludf.DUMMYFUNCTION("""COMPUTED_VALUE"""),"mIoU")</f>
        <v>mIoU</v>
      </c>
      <c r="F12" s="5">
        <f>IFERROR(__xludf.DUMMYFUNCTION("""COMPUTED_VALUE"""),85.01)</f>
        <v>85.01</v>
      </c>
      <c r="G12" s="5">
        <f>IFERROR(__xludf.DUMMYFUNCTION("""COMPUTED_VALUE"""),7.1)</f>
        <v>7.1</v>
      </c>
    </row>
    <row r="13" ht="15.75" customHeight="1">
      <c r="A13" s="5" t="str">
        <f>IFERROR(__xludf.DUMMYFUNCTION("""COMPUTED_VALUE"""),"SCOPUS-000153")</f>
        <v>SCOPUS-000153</v>
      </c>
      <c r="B13" s="5" t="str">
        <f>IFERROR(__xludf.DUMMYFUNCTION("""COMPUTED_VALUE"""),"SCOPUS-000153-3")</f>
        <v>SCOPUS-000153-3</v>
      </c>
      <c r="C13" s="6" t="str">
        <f>IFERROR(__xludf.DUMMYFUNCTION("""COMPUTED_VALUE"""),"FPN")</f>
        <v>FPN</v>
      </c>
      <c r="D13" s="5" t="str">
        <f>IFERROR(__xludf.DUMMYFUNCTION("""COMPUTED_VALUE"""),"mIoU")</f>
        <v>mIoU</v>
      </c>
      <c r="E13" s="5" t="str">
        <f>IFERROR(__xludf.DUMMYFUNCTION("""COMPUTED_VALUE"""),"mIoU")</f>
        <v>mIoU</v>
      </c>
      <c r="F13" s="5">
        <f>IFERROR(__xludf.DUMMYFUNCTION("""COMPUTED_VALUE"""),88.11)</f>
        <v>88.11</v>
      </c>
      <c r="G13" s="5">
        <f>IFERROR(__xludf.DUMMYFUNCTION("""COMPUTED_VALUE"""),10.2)</f>
        <v>10.2</v>
      </c>
    </row>
    <row r="14" ht="15.75" customHeight="1">
      <c r="A14" s="5" t="str">
        <f>IFERROR(__xludf.DUMMYFUNCTION("""COMPUTED_VALUE"""),"SCOPUS-000153")</f>
        <v>SCOPUS-000153</v>
      </c>
      <c r="B14" s="5" t="str">
        <f>IFERROR(__xludf.DUMMYFUNCTION("""COMPUTED_VALUE"""),"SCOPUS-000153-4")</f>
        <v>SCOPUS-000153-4</v>
      </c>
      <c r="C14" s="6" t="str">
        <f>IFERROR(__xludf.DUMMYFUNCTION("""COMPUTED_VALUE"""),"DeepLabV3+")</f>
        <v>DeepLabV3+</v>
      </c>
      <c r="D14" s="5" t="str">
        <f>IFERROR(__xludf.DUMMYFUNCTION("""COMPUTED_VALUE"""),"mIoU")</f>
        <v>mIoU</v>
      </c>
      <c r="E14" s="5" t="str">
        <f>IFERROR(__xludf.DUMMYFUNCTION("""COMPUTED_VALUE"""),"mIoU")</f>
        <v>mIoU</v>
      </c>
      <c r="F14" s="5">
        <f>IFERROR(__xludf.DUMMYFUNCTION("""COMPUTED_VALUE"""),88.55)</f>
        <v>88.55</v>
      </c>
      <c r="G14" s="5">
        <f>IFERROR(__xludf.DUMMYFUNCTION("""COMPUTED_VALUE"""),10.6)</f>
        <v>10.6</v>
      </c>
    </row>
    <row r="15" ht="15.75" customHeight="1">
      <c r="A15" s="5" t="str">
        <f>IFERROR(__xludf.DUMMYFUNCTION("""COMPUTED_VALUE"""),"SCOPUS-000153")</f>
        <v>SCOPUS-000153</v>
      </c>
      <c r="B15" s="5" t="str">
        <f>IFERROR(__xludf.DUMMYFUNCTION("""COMPUTED_VALUE"""),"SCOPUS-000153-5")</f>
        <v>SCOPUS-000153-5</v>
      </c>
      <c r="C15" s="6" t="str">
        <f>IFERROR(__xludf.DUMMYFUNCTION("""COMPUTED_VALUE"""),"UPerNet")</f>
        <v>UPerNet</v>
      </c>
      <c r="D15" s="5" t="str">
        <f>IFERROR(__xludf.DUMMYFUNCTION("""COMPUTED_VALUE"""),"mIoU")</f>
        <v>mIoU</v>
      </c>
      <c r="E15" s="5" t="str">
        <f>IFERROR(__xludf.DUMMYFUNCTION("""COMPUTED_VALUE"""),"mIoU")</f>
        <v>mIoU</v>
      </c>
      <c r="F15" s="5">
        <f>IFERROR(__xludf.DUMMYFUNCTION("""COMPUTED_VALUE"""),89.14)</f>
        <v>89.14</v>
      </c>
      <c r="G15" s="5">
        <f>IFERROR(__xludf.DUMMYFUNCTION("""COMPUTED_VALUE"""),11.2)</f>
        <v>11.2</v>
      </c>
    </row>
    <row r="16" ht="15.75" customHeight="1">
      <c r="A16" s="5" t="str">
        <f>IFERROR(__xludf.DUMMYFUNCTION("""COMPUTED_VALUE"""),"SCOPUS-000153")</f>
        <v>SCOPUS-000153</v>
      </c>
      <c r="B16" s="5" t="str">
        <f>IFERROR(__xludf.DUMMYFUNCTION("""COMPUTED_VALUE"""),"SCOPUS-000153-6")</f>
        <v>SCOPUS-000153-6</v>
      </c>
      <c r="C16" s="6" t="str">
        <f>IFERROR(__xludf.DUMMYFUNCTION("""COMPUTED_VALUE"""),"MAnet")</f>
        <v>MAnet</v>
      </c>
      <c r="D16" s="5" t="str">
        <f>IFERROR(__xludf.DUMMYFUNCTION("""COMPUTED_VALUE"""),"mIoU")</f>
        <v>mIoU</v>
      </c>
      <c r="E16" s="5" t="str">
        <f>IFERROR(__xludf.DUMMYFUNCTION("""COMPUTED_VALUE"""),"mIoU")</f>
        <v>mIoU</v>
      </c>
      <c r="F16" s="5">
        <f>IFERROR(__xludf.DUMMYFUNCTION("""COMPUTED_VALUE"""),91.95)</f>
        <v>91.95</v>
      </c>
      <c r="G16" s="5">
        <f>IFERROR(__xludf.DUMMYFUNCTION("""COMPUTED_VALUE"""),14.0)</f>
        <v>14</v>
      </c>
    </row>
    <row r="17" ht="15.75" customHeight="1">
      <c r="A17" s="5" t="str">
        <f>IFERROR(__xludf.DUMMYFUNCTION("""COMPUTED_VALUE"""),"SCOPUS-000153")</f>
        <v>SCOPUS-000153</v>
      </c>
      <c r="B17" s="5" t="str">
        <f>IFERROR(__xludf.DUMMYFUNCTION("""COMPUTED_VALUE"""),"SCOPUS-000153-7")</f>
        <v>SCOPUS-000153-7</v>
      </c>
      <c r="C17" s="6" t="str">
        <f>IFERROR(__xludf.DUMMYFUNCTION("""COMPUTED_VALUE"""),"Linknet")</f>
        <v>Linknet</v>
      </c>
      <c r="D17" s="5" t="str">
        <f>IFERROR(__xludf.DUMMYFUNCTION("""COMPUTED_VALUE"""),"mIoU")</f>
        <v>mIoU</v>
      </c>
      <c r="E17" s="5" t="str">
        <f>IFERROR(__xludf.DUMMYFUNCTION("""COMPUTED_VALUE"""),"mIoU")</f>
        <v>mIoU</v>
      </c>
      <c r="F17" s="5">
        <f>IFERROR(__xludf.DUMMYFUNCTION("""COMPUTED_VALUE"""),92.28)</f>
        <v>92.28</v>
      </c>
      <c r="G17" s="5">
        <f>IFERROR(__xludf.DUMMYFUNCTION("""COMPUTED_VALUE"""),14.4)</f>
        <v>14.4</v>
      </c>
    </row>
    <row r="18" ht="15.75" customHeight="1">
      <c r="A18" s="5" t="str">
        <f>IFERROR(__xludf.DUMMYFUNCTION("""COMPUTED_VALUE"""),"SCOPUS-000153")</f>
        <v>SCOPUS-000153</v>
      </c>
      <c r="B18" s="5" t="str">
        <f>IFERROR(__xludf.DUMMYFUNCTION("""COMPUTED_VALUE"""),"SCOPUS-000153-8")</f>
        <v>SCOPUS-000153-8</v>
      </c>
      <c r="C18" s="6" t="str">
        <f>IFERROR(__xludf.DUMMYFUNCTION("""COMPUTED_VALUE"""),"Unet++")</f>
        <v>Unet++</v>
      </c>
      <c r="D18" s="5" t="str">
        <f>IFERROR(__xludf.DUMMYFUNCTION("""COMPUTED_VALUE"""),"mIoU")</f>
        <v>mIoU</v>
      </c>
      <c r="E18" s="5" t="str">
        <f>IFERROR(__xludf.DUMMYFUNCTION("""COMPUTED_VALUE"""),"mIoU")</f>
        <v>mIoU</v>
      </c>
      <c r="F18" s="5">
        <f>IFERROR(__xludf.DUMMYFUNCTION("""COMPUTED_VALUE"""),92.68)</f>
        <v>92.68</v>
      </c>
      <c r="G18" s="5">
        <f>IFERROR(__xludf.DUMMYFUNCTION("""COMPUTED_VALUE"""),14.8)</f>
        <v>14.8</v>
      </c>
    </row>
    <row r="19" ht="15.75" customHeight="1">
      <c r="A19" s="5" t="str">
        <f>IFERROR(__xludf.DUMMYFUNCTION("""COMPUTED_VALUE"""),"SCOPUS-000153")</f>
        <v>SCOPUS-000153</v>
      </c>
      <c r="B19" s="5" t="str">
        <f>IFERROR(__xludf.DUMMYFUNCTION("""COMPUTED_VALUE"""),"SCOPUS-000153-9")</f>
        <v>SCOPUS-000153-9</v>
      </c>
      <c r="C19" s="6" t="str">
        <f>IFERROR(__xludf.DUMMYFUNCTION("""COMPUTED_VALUE"""),"Unet")</f>
        <v>Unet</v>
      </c>
      <c r="D19" s="5" t="str">
        <f>IFERROR(__xludf.DUMMYFUNCTION("""COMPUTED_VALUE"""),"mIoU")</f>
        <v>mIoU</v>
      </c>
      <c r="E19" s="5" t="str">
        <f>IFERROR(__xludf.DUMMYFUNCTION("""COMPUTED_VALUE"""),"mIoU")</f>
        <v>mIoU</v>
      </c>
      <c r="F19" s="5">
        <f>IFERROR(__xludf.DUMMYFUNCTION("""COMPUTED_VALUE"""),92.87)</f>
        <v>92.87</v>
      </c>
      <c r="G19" s="5">
        <f>IFERROR(__xludf.DUMMYFUNCTION("""COMPUTED_VALUE"""),14.9)</f>
        <v>14.9</v>
      </c>
    </row>
    <row r="20" ht="15.75" customHeight="1">
      <c r="A20" s="5" t="str">
        <f>IFERROR(__xludf.DUMMYFUNCTION("""COMPUTED_VALUE"""),"SCOPUS-000153")</f>
        <v>SCOPUS-000153</v>
      </c>
      <c r="B20" s="5" t="str">
        <f>IFERROR(__xludf.DUMMYFUNCTION("""COMPUTED_VALUE"""),"SCOPUS-000153-10")</f>
        <v>SCOPUS-000153-10</v>
      </c>
      <c r="C20" s="6" t="str">
        <f>IFERROR(__xludf.DUMMYFUNCTION("""COMPUTED_VALUE"""),"UNET-SA")</f>
        <v>UNET-SA</v>
      </c>
      <c r="D20" s="5" t="str">
        <f>IFERROR(__xludf.DUMMYFUNCTION("""COMPUTED_VALUE"""),"mIoU")</f>
        <v>mIoU</v>
      </c>
      <c r="E20" s="5" t="str">
        <f>IFERROR(__xludf.DUMMYFUNCTION("""COMPUTED_VALUE"""),"mIoU")</f>
        <v>mIoU</v>
      </c>
      <c r="F20" s="5">
        <f>IFERROR(__xludf.DUMMYFUNCTION("""COMPUTED_VALUE"""),94.49)</f>
        <v>94.49</v>
      </c>
      <c r="G20" s="5">
        <f>IFERROR(__xludf.DUMMYFUNCTION("""COMPUTED_VALUE"""),16.6)</f>
        <v>16.6</v>
      </c>
    </row>
    <row r="21" ht="15.75" customHeight="1">
      <c r="A21" s="5" t="str">
        <f>IFERROR(__xludf.DUMMYFUNCTION("""COMPUTED_VALUE"""),"SCOPUS-000522")</f>
        <v>SCOPUS-000522</v>
      </c>
      <c r="B21" s="5" t="str">
        <f>IFERROR(__xludf.DUMMYFUNCTION("""COMPUTED_VALUE"""),"SCOPUS-000522-1")</f>
        <v>SCOPUS-000522-1</v>
      </c>
      <c r="C21" s="6" t="str">
        <f>IFERROR(__xludf.DUMMYFUNCTION("""COMPUTED_VALUE"""),"YOLOv7 and Augmentation")</f>
        <v>YOLOv7 and Augmentation</v>
      </c>
      <c r="D21" s="5" t="str">
        <f>IFERROR(__xludf.DUMMYFUNCTION("""COMPUTED_VALUE"""),"mAP@0.5")</f>
        <v>mAP@0.5</v>
      </c>
      <c r="E21" s="5" t="str">
        <f>IFERROR(__xludf.DUMMYFUNCTION("""COMPUTED_VALUE"""),"mAP@0.5")</f>
        <v>mAP@0.5</v>
      </c>
      <c r="F21" s="5">
        <f>IFERROR(__xludf.DUMMYFUNCTION("""COMPUTED_VALUE"""),83.085)</f>
        <v>83.085</v>
      </c>
      <c r="G21" s="5">
        <f>IFERROR(__xludf.DUMMYFUNCTION("""COMPUTED_VALUE"""),17.7)</f>
        <v>17.7</v>
      </c>
    </row>
    <row r="22" ht="15.75" customHeight="1">
      <c r="A22" s="5" t="str">
        <f>IFERROR(__xludf.DUMMYFUNCTION("""COMPUTED_VALUE"""),"SCOPUS-000522")</f>
        <v>SCOPUS-000522</v>
      </c>
      <c r="B22" s="5" t="str">
        <f>IFERROR(__xludf.DUMMYFUNCTION("""COMPUTED_VALUE"""),"SCOPUS-000522-2")</f>
        <v>SCOPUS-000522-2</v>
      </c>
      <c r="C22" s="6" t="str">
        <f>IFERROR(__xludf.DUMMYFUNCTION("""COMPUTED_VALUE"""),"Faster-RCNN and Augmentation")</f>
        <v>Faster-RCNN and Augmentation</v>
      </c>
      <c r="D22" s="5" t="str">
        <f>IFERROR(__xludf.DUMMYFUNCTION("""COMPUTED_VALUE"""),"mAP@0.5")</f>
        <v>mAP@0.5</v>
      </c>
      <c r="E22" s="5" t="str">
        <f>IFERROR(__xludf.DUMMYFUNCTION("""COMPUTED_VALUE"""),"mAP@0.5")</f>
        <v>mAP@0.5</v>
      </c>
      <c r="F22" s="5">
        <f>IFERROR(__xludf.DUMMYFUNCTION("""COMPUTED_VALUE"""),92.135)</f>
        <v>92.135</v>
      </c>
      <c r="G22" s="5">
        <f>IFERROR(__xludf.DUMMYFUNCTION("""COMPUTED_VALUE"""),3.0)</f>
        <v>3</v>
      </c>
    </row>
    <row r="23" ht="15.75" customHeight="1">
      <c r="A23" s="5" t="str">
        <f>IFERROR(__xludf.DUMMYFUNCTION("""COMPUTED_VALUE"""),"SCOPUS-000522")</f>
        <v>SCOPUS-000522</v>
      </c>
      <c r="B23" s="5" t="str">
        <f>IFERROR(__xludf.DUMMYFUNCTION("""COMPUTED_VALUE"""),"SCOPUS-000522-3")</f>
        <v>SCOPUS-000522-3</v>
      </c>
      <c r="C23" s="6" t="str">
        <f>IFERROR(__xludf.DUMMYFUNCTION("""COMPUTED_VALUE"""),"RetinaNet and Augmentation")</f>
        <v>RetinaNet and Augmentation</v>
      </c>
      <c r="D23" s="5" t="str">
        <f>IFERROR(__xludf.DUMMYFUNCTION("""COMPUTED_VALUE"""),"mAP@0.5")</f>
        <v>mAP@0.5</v>
      </c>
      <c r="E23" s="5" t="str">
        <f>IFERROR(__xludf.DUMMYFUNCTION("""COMPUTED_VALUE"""),"mAP@0.5")</f>
        <v>mAP@0.5</v>
      </c>
      <c r="F23" s="5">
        <f>IFERROR(__xludf.DUMMYFUNCTION("""COMPUTED_VALUE"""),92.755)</f>
        <v>92.755</v>
      </c>
      <c r="G23" s="5">
        <f>IFERROR(__xludf.DUMMYFUNCTION("""COMPUTED_VALUE"""),2.4)</f>
        <v>2.4</v>
      </c>
    </row>
    <row r="24" ht="15.75" customHeight="1">
      <c r="A24" s="5" t="str">
        <f>IFERROR(__xludf.DUMMYFUNCTION("""COMPUTED_VALUE"""),"SCOPUS-000487")</f>
        <v>SCOPUS-000487</v>
      </c>
      <c r="B24" s="5" t="str">
        <f>IFERROR(__xludf.DUMMYFUNCTION("""COMPUTED_VALUE"""),"SCOPUS-000487-1")</f>
        <v>SCOPUS-000487-1</v>
      </c>
      <c r="C24" s="6" t="str">
        <f>IFERROR(__xludf.DUMMYFUNCTION("""COMPUTED_VALUE"""),"SegNet Mixed")</f>
        <v>SegNet Mixed</v>
      </c>
      <c r="D24" s="5" t="str">
        <f>IFERROR(__xludf.DUMMYFUNCTION("""COMPUTED_VALUE"""),"mIoU")</f>
        <v>mIoU</v>
      </c>
      <c r="E24" s="5" t="str">
        <f>IFERROR(__xludf.DUMMYFUNCTION("""COMPUTED_VALUE"""),"mIoU")</f>
        <v>mIoU</v>
      </c>
      <c r="F24" s="5">
        <f>IFERROR(__xludf.DUMMYFUNCTION("""COMPUTED_VALUE"""),70.0)</f>
        <v>70</v>
      </c>
      <c r="G24" s="5">
        <f>IFERROR(__xludf.DUMMYFUNCTION("""COMPUTED_VALUE"""),4.0)</f>
        <v>4</v>
      </c>
    </row>
    <row r="25" ht="15.75" customHeight="1">
      <c r="A25" s="5" t="str">
        <f>IFERROR(__xludf.DUMMYFUNCTION("""COMPUTED_VALUE"""),"SCOPUS-000487")</f>
        <v>SCOPUS-000487</v>
      </c>
      <c r="B25" s="5" t="str">
        <f>IFERROR(__xludf.DUMMYFUNCTION("""COMPUTED_VALUE"""),"SCOPUS-000487-2")</f>
        <v>SCOPUS-000487-2</v>
      </c>
      <c r="C25" s="6" t="str">
        <f>IFERROR(__xludf.DUMMYFUNCTION("""COMPUTED_VALUE"""),"U-Net Mixed")</f>
        <v>U-Net Mixed</v>
      </c>
      <c r="D25" s="5" t="str">
        <f>IFERROR(__xludf.DUMMYFUNCTION("""COMPUTED_VALUE"""),"mIoU")</f>
        <v>mIoU</v>
      </c>
      <c r="E25" s="5" t="str">
        <f>IFERROR(__xludf.DUMMYFUNCTION("""COMPUTED_VALUE"""),"mIoU")</f>
        <v>mIoU</v>
      </c>
      <c r="F25" s="5">
        <f>IFERROR(__xludf.DUMMYFUNCTION("""COMPUTED_VALUE"""),71.0)</f>
        <v>71</v>
      </c>
      <c r="G25" s="5">
        <f>IFERROR(__xludf.DUMMYFUNCTION("""COMPUTED_VALUE"""),3.0)</f>
        <v>3</v>
      </c>
    </row>
    <row r="26" ht="15.75" customHeight="1">
      <c r="A26" s="5" t="str">
        <f>IFERROR(__xludf.DUMMYFUNCTION("""COMPUTED_VALUE"""),"SCOPUS-000487")</f>
        <v>SCOPUS-000487</v>
      </c>
      <c r="B26" s="5" t="str">
        <f>IFERROR(__xludf.DUMMYFUNCTION("""COMPUTED_VALUE"""),"SCOPUS-000487-3")</f>
        <v>SCOPUS-000487-3</v>
      </c>
      <c r="C26" s="6" t="str">
        <f>IFERROR(__xludf.DUMMYFUNCTION("""COMPUTED_VALUE"""),"UNet-ResNet Mixed")</f>
        <v>UNet-ResNet Mixed</v>
      </c>
      <c r="D26" s="5" t="str">
        <f>IFERROR(__xludf.DUMMYFUNCTION("""COMPUTED_VALUE"""),"mIoU")</f>
        <v>mIoU</v>
      </c>
      <c r="E26" s="5" t="str">
        <f>IFERROR(__xludf.DUMMYFUNCTION("""COMPUTED_VALUE"""),"mIoU")</f>
        <v>mIoU</v>
      </c>
      <c r="F26" s="5">
        <f>IFERROR(__xludf.DUMMYFUNCTION("""COMPUTED_VALUE"""),72.0)</f>
        <v>72</v>
      </c>
      <c r="G26" s="5">
        <f>IFERROR(__xludf.DUMMYFUNCTION("""COMPUTED_VALUE"""),5.0)</f>
        <v>5</v>
      </c>
    </row>
    <row r="27" ht="15.75" customHeight="1">
      <c r="A27" s="5" t="str">
        <f>IFERROR(__xludf.DUMMYFUNCTION("""COMPUTED_VALUE"""),"SCOPUS-000487")</f>
        <v>SCOPUS-000487</v>
      </c>
      <c r="B27" s="5" t="str">
        <f>IFERROR(__xludf.DUMMYFUNCTION("""COMPUTED_VALUE"""),"SCOPUS-000487-4")</f>
        <v>SCOPUS-000487-4</v>
      </c>
      <c r="C27" s="6" t="str">
        <f>IFERROR(__xludf.DUMMYFUNCTION("""COMPUTED_VALUE"""),"Bonnet Mixed")</f>
        <v>Bonnet Mixed</v>
      </c>
      <c r="D27" s="5" t="str">
        <f>IFERROR(__xludf.DUMMYFUNCTION("""COMPUTED_VALUE"""),"mIoU")</f>
        <v>mIoU</v>
      </c>
      <c r="E27" s="5" t="str">
        <f>IFERROR(__xludf.DUMMYFUNCTION("""COMPUTED_VALUE"""),"mIoU")</f>
        <v>mIoU</v>
      </c>
      <c r="F27" s="5">
        <f>IFERROR(__xludf.DUMMYFUNCTION("""COMPUTED_VALUE"""),76.0)</f>
        <v>76</v>
      </c>
      <c r="G27" s="5">
        <f>IFERROR(__xludf.DUMMYFUNCTION("""COMPUTED_VALUE"""),6.0)</f>
        <v>6</v>
      </c>
    </row>
    <row r="28" ht="15.75" customHeight="1">
      <c r="A28" s="5" t="str">
        <f>IFERROR(__xludf.DUMMYFUNCTION("""COMPUTED_VALUE"""),"SCOPUS-000328")</f>
        <v>SCOPUS-000328</v>
      </c>
      <c r="B28" s="5" t="str">
        <f>IFERROR(__xludf.DUMMYFUNCTION("""COMPUTED_VALUE"""),"SCOPUS-000328-1")</f>
        <v>SCOPUS-000328-1</v>
      </c>
      <c r="C28" s="6" t="str">
        <f>IFERROR(__xludf.DUMMYFUNCTION("""COMPUTED_VALUE"""),"SEGNET")</f>
        <v>SEGNET</v>
      </c>
      <c r="D28" s="5" t="str">
        <f>IFERROR(__xludf.DUMMYFUNCTION("""COMPUTED_VALUE"""),"mIoU")</f>
        <v>mIoU</v>
      </c>
      <c r="E28" s="5" t="str">
        <f>IFERROR(__xludf.DUMMYFUNCTION("""COMPUTED_VALUE"""),"mIoU")</f>
        <v>mIoU</v>
      </c>
      <c r="F28" s="5">
        <f>IFERROR(__xludf.DUMMYFUNCTION("""COMPUTED_VALUE"""),74.11)</f>
        <v>74.11</v>
      </c>
      <c r="G28" s="5">
        <f>IFERROR(__xludf.DUMMYFUNCTION("""COMPUTED_VALUE"""),1.7)</f>
        <v>1.7</v>
      </c>
    </row>
    <row r="29" ht="15.75" customHeight="1">
      <c r="A29" s="5" t="str">
        <f>IFERROR(__xludf.DUMMYFUNCTION("""COMPUTED_VALUE"""),"SCOPUS-000328")</f>
        <v>SCOPUS-000328</v>
      </c>
      <c r="B29" s="5" t="str">
        <f>IFERROR(__xludf.DUMMYFUNCTION("""COMPUTED_VALUE"""),"SCOPUS-000328-2")</f>
        <v>SCOPUS-000328-2</v>
      </c>
      <c r="C29" s="6" t="str">
        <f>IFERROR(__xludf.DUMMYFUNCTION("""COMPUTED_VALUE"""),"UNET")</f>
        <v>UNET</v>
      </c>
      <c r="D29" s="5" t="str">
        <f>IFERROR(__xludf.DUMMYFUNCTION("""COMPUTED_VALUE"""),"mIoU")</f>
        <v>mIoU</v>
      </c>
      <c r="E29" s="5" t="str">
        <f>IFERROR(__xludf.DUMMYFUNCTION("""COMPUTED_VALUE"""),"mIoU")</f>
        <v>mIoU</v>
      </c>
      <c r="F29" s="5">
        <f>IFERROR(__xludf.DUMMYFUNCTION("""COMPUTED_VALUE"""),82.74)</f>
        <v>82.74</v>
      </c>
      <c r="G29" s="5">
        <f>IFERROR(__xludf.DUMMYFUNCTION("""COMPUTED_VALUE"""),10.3)</f>
        <v>10.3</v>
      </c>
    </row>
    <row r="30" ht="15.75" customHeight="1">
      <c r="A30" s="5" t="str">
        <f>IFERROR(__xludf.DUMMYFUNCTION("""COMPUTED_VALUE"""),"SCOPUS-000328")</f>
        <v>SCOPUS-000328</v>
      </c>
      <c r="B30" s="5" t="str">
        <f>IFERROR(__xludf.DUMMYFUNCTION("""COMPUTED_VALUE"""),"SCOPUS-000328-3")</f>
        <v>SCOPUS-000328-3</v>
      </c>
      <c r="C30" s="6" t="str">
        <f>IFERROR(__xludf.DUMMYFUNCTION("""COMPUTED_VALUE"""),"DEEPLAB3")</f>
        <v>DEEPLAB3</v>
      </c>
      <c r="D30" s="5" t="str">
        <f>IFERROR(__xludf.DUMMYFUNCTION("""COMPUTED_VALUE"""),"mIoU")</f>
        <v>mIoU</v>
      </c>
      <c r="E30" s="5" t="str">
        <f>IFERROR(__xludf.DUMMYFUNCTION("""COMPUTED_VALUE"""),"mIoU")</f>
        <v>mIoU</v>
      </c>
      <c r="F30" s="5">
        <f>IFERROR(__xludf.DUMMYFUNCTION("""COMPUTED_VALUE"""),82.57)</f>
        <v>82.57</v>
      </c>
      <c r="G30" s="5">
        <f>IFERROR(__xludf.DUMMYFUNCTION("""COMPUTED_VALUE"""),10.1)</f>
        <v>10.1</v>
      </c>
    </row>
    <row r="31" ht="15.75" customHeight="1">
      <c r="A31" s="5" t="str">
        <f>IFERROR(__xludf.DUMMYFUNCTION("""COMPUTED_VALUE"""),"SCOPUS-000328")</f>
        <v>SCOPUS-000328</v>
      </c>
      <c r="B31" s="5" t="str">
        <f>IFERROR(__xludf.DUMMYFUNCTION("""COMPUTED_VALUE"""),"SCOPUS-000328-4")</f>
        <v>SCOPUS-000328-4</v>
      </c>
      <c r="C31" s="6" t="str">
        <f>IFERROR(__xludf.DUMMYFUNCTION("""COMPUTED_VALUE"""),"CED-NET")</f>
        <v>CED-NET</v>
      </c>
      <c r="D31" s="5" t="str">
        <f>IFERROR(__xludf.DUMMYFUNCTION("""COMPUTED_VALUE"""),"mIoU")</f>
        <v>mIoU</v>
      </c>
      <c r="E31" s="5" t="str">
        <f>IFERROR(__xludf.DUMMYFUNCTION("""COMPUTED_VALUE"""),"mIoU")</f>
        <v>mIoU</v>
      </c>
      <c r="F31" s="5">
        <f>IFERROR(__xludf.DUMMYFUNCTION("""COMPUTED_VALUE"""),83.44)</f>
        <v>83.44</v>
      </c>
      <c r="G31" s="5">
        <f>IFERROR(__xludf.DUMMYFUNCTION("""COMPUTED_VALUE"""),11.0)</f>
        <v>11</v>
      </c>
    </row>
    <row r="32" ht="15.75" customHeight="1">
      <c r="A32" s="5" t="str">
        <f>IFERROR(__xludf.DUMMYFUNCTION("""COMPUTED_VALUE"""),"SCOPUS-000328")</f>
        <v>SCOPUS-000328</v>
      </c>
      <c r="B32" s="5" t="str">
        <f>IFERROR(__xludf.DUMMYFUNCTION("""COMPUTED_VALUE"""),"SCOPUS-000328-5")</f>
        <v>SCOPUS-000328-5</v>
      </c>
      <c r="C32" s="6" t="str">
        <f>IFERROR(__xludf.DUMMYFUNCTION("""COMPUTED_VALUE"""),"MTS-CNN")</f>
        <v>MTS-CNN</v>
      </c>
      <c r="D32" s="5" t="str">
        <f>IFERROR(__xludf.DUMMYFUNCTION("""COMPUTED_VALUE"""),"mIoU")</f>
        <v>mIoU</v>
      </c>
      <c r="E32" s="5" t="str">
        <f>IFERROR(__xludf.DUMMYFUNCTION("""COMPUTED_VALUE"""),"mIoU")</f>
        <v>mIoU</v>
      </c>
      <c r="F32" s="5">
        <f>IFERROR(__xludf.DUMMYFUNCTION("""COMPUTED_VALUE"""),91.64)</f>
        <v>91.64</v>
      </c>
      <c r="G32" s="5">
        <f>IFERROR(__xludf.DUMMYFUNCTION("""COMPUTED_VALUE"""),19.2)</f>
        <v>19.2</v>
      </c>
    </row>
    <row r="33" ht="15.75" customHeight="1">
      <c r="A33" s="5" t="str">
        <f>IFERROR(__xludf.DUMMYFUNCTION("""COMPUTED_VALUE"""),"SCOPUS-000328")</f>
        <v>SCOPUS-000328</v>
      </c>
      <c r="B33" s="5" t="str">
        <f>IFERROR(__xludf.DUMMYFUNCTION("""COMPUTED_VALUE"""),"SCOPUS-000328-6")</f>
        <v>SCOPUS-000328-6</v>
      </c>
      <c r="C33" s="6" t="str">
        <f>IFERROR(__xludf.DUMMYFUNCTION("""COMPUTED_VALUE"""),"MFRWF CWF")</f>
        <v>MFRWF CWF</v>
      </c>
      <c r="D33" s="5" t="str">
        <f>IFERROR(__xludf.DUMMYFUNCTION("""COMPUTED_VALUE"""),"mIoU")</f>
        <v>mIoU</v>
      </c>
      <c r="E33" s="5" t="str">
        <f>IFERROR(__xludf.DUMMYFUNCTION("""COMPUTED_VALUE"""),"mIoU")</f>
        <v>mIoU</v>
      </c>
      <c r="F33" s="5">
        <f>IFERROR(__xludf.DUMMYFUNCTION("""COMPUTED_VALUE"""),91.64)</f>
        <v>91.64</v>
      </c>
      <c r="G33" s="5">
        <f>IFERROR(__xludf.DUMMYFUNCTION("""COMPUTED_VALUE"""),19.2)</f>
        <v>19.2</v>
      </c>
    </row>
    <row r="34" ht="15.75" customHeight="1">
      <c r="A34" s="5" t="str">
        <f>IFERROR(__xludf.DUMMYFUNCTION("""COMPUTED_VALUE"""),"SCOPUS-000234")</f>
        <v>SCOPUS-000234</v>
      </c>
      <c r="B34" s="5" t="str">
        <f>IFERROR(__xludf.DUMMYFUNCTION("""COMPUTED_VALUE"""),"SCOPUS-000234-1")</f>
        <v>SCOPUS-000234-1</v>
      </c>
      <c r="C34" s="6" t="str">
        <f>IFERROR(__xludf.DUMMYFUNCTION("""COMPUTED_VALUE"""),"YOLOv4-tiny")</f>
        <v>YOLOv4-tiny</v>
      </c>
      <c r="D34" s="5" t="str">
        <f>IFERROR(__xludf.DUMMYFUNCTION("""COMPUTED_VALUE"""),"mAP@0.5")</f>
        <v>mAP@0.5</v>
      </c>
      <c r="E34" s="5" t="str">
        <f>IFERROR(__xludf.DUMMYFUNCTION("""COMPUTED_VALUE"""),"mAP@0.5")</f>
        <v>mAP@0.5</v>
      </c>
      <c r="F34" s="5">
        <f>IFERROR(__xludf.DUMMYFUNCTION("""COMPUTED_VALUE"""),75.8)</f>
        <v>75.8</v>
      </c>
      <c r="G34" s="5">
        <f>IFERROR(__xludf.DUMMYFUNCTION("""COMPUTED_VALUE"""),2.7)</f>
        <v>2.7</v>
      </c>
    </row>
    <row r="35" ht="15.75" customHeight="1">
      <c r="A35" s="5" t="str">
        <f>IFERROR(__xludf.DUMMYFUNCTION("""COMPUTED_VALUE"""),"SCOPUS-000234")</f>
        <v>SCOPUS-000234</v>
      </c>
      <c r="B35" s="5" t="str">
        <f>IFERROR(__xludf.DUMMYFUNCTION("""COMPUTED_VALUE"""),"SCOPUS-000234-2")</f>
        <v>SCOPUS-000234-2</v>
      </c>
      <c r="C35" s="6" t="str">
        <f>IFERROR(__xludf.DUMMYFUNCTION("""COMPUTED_VALUE"""),"YOLOv5s")</f>
        <v>YOLOv5s</v>
      </c>
      <c r="D35" s="5" t="str">
        <f>IFERROR(__xludf.DUMMYFUNCTION("""COMPUTED_VALUE"""),"mAP@0.5")</f>
        <v>mAP@0.5</v>
      </c>
      <c r="E35" s="5" t="str">
        <f>IFERROR(__xludf.DUMMYFUNCTION("""COMPUTED_VALUE"""),"mAP@0.5")</f>
        <v>mAP@0.5</v>
      </c>
      <c r="F35" s="5">
        <f>IFERROR(__xludf.DUMMYFUNCTION("""COMPUTED_VALUE"""),74.0)</f>
        <v>74</v>
      </c>
      <c r="G35" s="5">
        <f>IFERROR(__xludf.DUMMYFUNCTION("""COMPUTED_VALUE"""),0.9)</f>
        <v>0.9</v>
      </c>
    </row>
    <row r="36" ht="15.75" customHeight="1">
      <c r="A36" s="5" t="str">
        <f>IFERROR(__xludf.DUMMYFUNCTION("""COMPUTED_VALUE"""),"SCOPUS-000234")</f>
        <v>SCOPUS-000234</v>
      </c>
      <c r="B36" s="5" t="str">
        <f>IFERROR(__xludf.DUMMYFUNCTION("""COMPUTED_VALUE"""),"SCOPUS-000234-3")</f>
        <v>SCOPUS-000234-3</v>
      </c>
      <c r="C36" s="6" t="str">
        <f>IFERROR(__xludf.DUMMYFUNCTION("""COMPUTED_VALUE"""),"YOLOv7")</f>
        <v>YOLOv7</v>
      </c>
      <c r="D36" s="5" t="str">
        <f>IFERROR(__xludf.DUMMYFUNCTION("""COMPUTED_VALUE"""),"mAP@0.5")</f>
        <v>mAP@0.5</v>
      </c>
      <c r="E36" s="5" t="str">
        <f>IFERROR(__xludf.DUMMYFUNCTION("""COMPUTED_VALUE"""),"mAP@0.5")</f>
        <v>mAP@0.5</v>
      </c>
      <c r="F36" s="5">
        <f>IFERROR(__xludf.DUMMYFUNCTION("""COMPUTED_VALUE"""),78.3)</f>
        <v>78.3</v>
      </c>
      <c r="G36" s="5">
        <f>IFERROR(__xludf.DUMMYFUNCTION("""COMPUTED_VALUE"""),5.2)</f>
        <v>5.2</v>
      </c>
    </row>
    <row r="37" ht="15.75" customHeight="1">
      <c r="A37" s="5" t="str">
        <f>IFERROR(__xludf.DUMMYFUNCTION("""COMPUTED_VALUE"""),"SCOPUS-000234")</f>
        <v>SCOPUS-000234</v>
      </c>
      <c r="B37" s="5" t="str">
        <f>IFERROR(__xludf.DUMMYFUNCTION("""COMPUTED_VALUE"""),"SCOPUS-000234-4")</f>
        <v>SCOPUS-000234-4</v>
      </c>
      <c r="C37" s="6" t="str">
        <f>IFERROR(__xludf.DUMMYFUNCTION("""COMPUTED_VALUE"""),"YOLOv9")</f>
        <v>YOLOv9</v>
      </c>
      <c r="D37" s="5" t="str">
        <f>IFERROR(__xludf.DUMMYFUNCTION("""COMPUTED_VALUE"""),"mAP@0.5")</f>
        <v>mAP@0.5</v>
      </c>
      <c r="E37" s="5" t="str">
        <f>IFERROR(__xludf.DUMMYFUNCTION("""COMPUTED_VALUE"""),"mAP@0.5")</f>
        <v>mAP@0.5</v>
      </c>
      <c r="F37" s="5">
        <f>IFERROR(__xludf.DUMMYFUNCTION("""COMPUTED_VALUE"""),78.4)</f>
        <v>78.4</v>
      </c>
      <c r="G37" s="5">
        <f>IFERROR(__xludf.DUMMYFUNCTION("""COMPUTED_VALUE"""),5.3)</f>
        <v>5.3</v>
      </c>
    </row>
    <row r="38" ht="15.75" customHeight="1">
      <c r="A38" s="5" t="str">
        <f>IFERROR(__xludf.DUMMYFUNCTION("""COMPUTED_VALUE"""),"SCOPUS-000234")</f>
        <v>SCOPUS-000234</v>
      </c>
      <c r="B38" s="5" t="str">
        <f>IFERROR(__xludf.DUMMYFUNCTION("""COMPUTED_VALUE"""),"SCOPUS-000234-5")</f>
        <v>SCOPUS-000234-5</v>
      </c>
      <c r="C38" s="6" t="str">
        <f>IFERROR(__xludf.DUMMYFUNCTION("""COMPUTED_VALUE"""),"YOLOv8-C2f_M3-BiFPN-MPDIoU")</f>
        <v>YOLOv8-C2f_M3-BiFPN-MPDIoU</v>
      </c>
      <c r="D38" s="5" t="str">
        <f>IFERROR(__xludf.DUMMYFUNCTION("""COMPUTED_VALUE"""),"mAP@0.5")</f>
        <v>mAP@0.5</v>
      </c>
      <c r="E38" s="5" t="str">
        <f>IFERROR(__xludf.DUMMYFUNCTION("""COMPUTED_VALUE"""),"mAP@0.5")</f>
        <v>mAP@0.5</v>
      </c>
      <c r="F38" s="5">
        <f>IFERROR(__xludf.DUMMYFUNCTION("""COMPUTED_VALUE"""),89.7)</f>
        <v>89.7</v>
      </c>
      <c r="G38" s="5">
        <f>IFERROR(__xludf.DUMMYFUNCTION("""COMPUTED_VALUE"""),16.6)</f>
        <v>16.6</v>
      </c>
    </row>
    <row r="39" ht="15.75" customHeight="1">
      <c r="A39" s="5" t="str">
        <f>IFERROR(__xludf.DUMMYFUNCTION("""COMPUTED_VALUE"""),"SCOPUS-000220")</f>
        <v>SCOPUS-000220</v>
      </c>
      <c r="B39" s="5" t="str">
        <f>IFERROR(__xludf.DUMMYFUNCTION("""COMPUTED_VALUE"""),"SCOPUS-000220-2")</f>
        <v>SCOPUS-000220-2</v>
      </c>
      <c r="C39" s="6" t="str">
        <f>IFERROR(__xludf.DUMMYFUNCTION("""COMPUTED_VALUE"""),"YOLO-SW")</f>
        <v>YOLO-SW</v>
      </c>
      <c r="D39" s="5" t="str">
        <f>IFERROR(__xludf.DUMMYFUNCTION("""COMPUTED_VALUE"""),"mAP@0.5")</f>
        <v>mAP@0.5</v>
      </c>
      <c r="E39" s="5" t="str">
        <f>IFERROR(__xludf.DUMMYFUNCTION("""COMPUTED_VALUE"""),"mAP@0.5")</f>
        <v>mAP@0.5</v>
      </c>
      <c r="F39" s="5">
        <f>IFERROR(__xludf.DUMMYFUNCTION("""COMPUTED_VALUE"""),92.3)</f>
        <v>92.3</v>
      </c>
      <c r="G39" s="5">
        <f>IFERROR(__xludf.DUMMYFUNCTION("""COMPUTED_VALUE"""),4.0)</f>
        <v>4</v>
      </c>
    </row>
    <row r="40" ht="15.75" customHeight="1">
      <c r="A40" s="5" t="str">
        <f>IFERROR(__xludf.DUMMYFUNCTION("""COMPUTED_VALUE"""),"SCOPUS-000211")</f>
        <v>SCOPUS-000211</v>
      </c>
      <c r="B40" s="5" t="str">
        <f>IFERROR(__xludf.DUMMYFUNCTION("""COMPUTED_VALUE"""),"SCOPUS-000211-1")</f>
        <v>SCOPUS-000211-1</v>
      </c>
      <c r="C40" s="6" t="str">
        <f>IFERROR(__xludf.DUMMYFUNCTION("""COMPUTED_VALUE"""),"HAD-YOLO")</f>
        <v>HAD-YOLO</v>
      </c>
      <c r="D40" s="5" t="str">
        <f>IFERROR(__xludf.DUMMYFUNCTION("""COMPUTED_VALUE"""),"mAP@0.5")</f>
        <v>mAP@0.5</v>
      </c>
      <c r="E40" s="5" t="str">
        <f>IFERROR(__xludf.DUMMYFUNCTION("""COMPUTED_VALUE"""),"mAP@0.5")</f>
        <v>mAP@0.5</v>
      </c>
      <c r="F40" s="5">
        <f>IFERROR(__xludf.DUMMYFUNCTION("""COMPUTED_VALUE"""),94.2)</f>
        <v>94.2</v>
      </c>
      <c r="G40" s="5">
        <f>IFERROR(__xludf.DUMMYFUNCTION("""COMPUTED_VALUE"""),10.3)</f>
        <v>10.3</v>
      </c>
    </row>
    <row r="41" ht="15.75" customHeight="1">
      <c r="A41" s="5" t="str">
        <f>IFERROR(__xludf.DUMMYFUNCTION("""COMPUTED_VALUE"""),"SCOPUS-000195")</f>
        <v>SCOPUS-000195</v>
      </c>
      <c r="B41" s="5" t="str">
        <f>IFERROR(__xludf.DUMMYFUNCTION("""COMPUTED_VALUE"""),"SCOPUS-000195-1")</f>
        <v>SCOPUS-000195-1</v>
      </c>
      <c r="C41" s="6" t="str">
        <f>IFERROR(__xludf.DUMMYFUNCTION("""COMPUTED_VALUE"""),"Model 5")</f>
        <v>Model 5</v>
      </c>
      <c r="D41" s="5" t="str">
        <f>IFERROR(__xludf.DUMMYFUNCTION("""COMPUTED_VALUE"""),"Accuracy")</f>
        <v>Accuracy</v>
      </c>
      <c r="E41" s="5" t="str">
        <f>IFERROR(__xludf.DUMMYFUNCTION("""COMPUTED_VALUE"""),"Accuracy")</f>
        <v>Accuracy</v>
      </c>
      <c r="F41" s="5">
        <f>IFERROR(__xludf.DUMMYFUNCTION("""COMPUTED_VALUE"""),94.06)</f>
        <v>94.06</v>
      </c>
      <c r="G41" s="5">
        <f>IFERROR(__xludf.DUMMYFUNCTION("""COMPUTED_VALUE"""),54.1)</f>
        <v>54.1</v>
      </c>
    </row>
    <row r="42" ht="15.75" customHeight="1">
      <c r="A42" s="5" t="str">
        <f>IFERROR(__xludf.DUMMYFUNCTION("""COMPUTED_VALUE"""),"SCOPUS-000045")</f>
        <v>SCOPUS-000045</v>
      </c>
      <c r="B42" s="5" t="str">
        <f>IFERROR(__xludf.DUMMYFUNCTION("""COMPUTED_VALUE"""),"SCOPUS-000045-1")</f>
        <v>SCOPUS-000045-1</v>
      </c>
      <c r="C42" s="6" t="str">
        <f>IFERROR(__xludf.DUMMYFUNCTION("""COMPUTED_VALUE"""),"Mixed (RGB)")</f>
        <v>Mixed (RGB)</v>
      </c>
      <c r="D42" s="5" t="str">
        <f>IFERROR(__xludf.DUMMYFUNCTION("""COMPUTED_VALUE"""),"mIoU")</f>
        <v>mIoU</v>
      </c>
      <c r="E42" s="5" t="str">
        <f>IFERROR(__xludf.DUMMYFUNCTION("""COMPUTED_VALUE"""),"mIoU")</f>
        <v>mIoU</v>
      </c>
      <c r="F42" s="5">
        <f>IFERROR(__xludf.DUMMYFUNCTION("""COMPUTED_VALUE"""),78.0)</f>
        <v>78</v>
      </c>
      <c r="G42" s="5">
        <f>IFERROR(__xludf.DUMMYFUNCTION("""COMPUTED_VALUE"""),8.0)</f>
        <v>8</v>
      </c>
    </row>
    <row r="43" ht="15.75" customHeight="1">
      <c r="A43" s="5" t="str">
        <f>IFERROR(__xludf.DUMMYFUNCTION("""COMPUTED_VALUE"""),"SCOPUS-000045")</f>
        <v>SCOPUS-000045</v>
      </c>
      <c r="B43" s="5" t="str">
        <f>IFERROR(__xludf.DUMMYFUNCTION("""COMPUTED_VALUE"""),"SCOPUS-000045-2")</f>
        <v>SCOPUS-000045-2</v>
      </c>
      <c r="C43" s="6" t="str">
        <f>IFERROR(__xludf.DUMMYFUNCTION("""COMPUTED_VALUE"""),"Mixed (RGB + NIR)")</f>
        <v>Mixed (RGB + NIR)</v>
      </c>
      <c r="D43" s="5" t="str">
        <f>IFERROR(__xludf.DUMMYFUNCTION("""COMPUTED_VALUE"""),"mIoU")</f>
        <v>mIoU</v>
      </c>
      <c r="E43" s="5" t="str">
        <f>IFERROR(__xludf.DUMMYFUNCTION("""COMPUTED_VALUE"""),"mIoU")</f>
        <v>mIoU</v>
      </c>
      <c r="F43" s="5">
        <f>IFERROR(__xludf.DUMMYFUNCTION("""COMPUTED_VALUE"""),82.0)</f>
        <v>82</v>
      </c>
      <c r="G43" s="5">
        <f>IFERROR(__xludf.DUMMYFUNCTION("""COMPUTED_VALUE"""),5.0)</f>
        <v>5</v>
      </c>
    </row>
    <row r="44" ht="15.75" customHeight="1">
      <c r="A44" s="5" t="str">
        <f>IFERROR(__xludf.DUMMYFUNCTION("""COMPUTED_VALUE"""),"SCOPUS-000031")</f>
        <v>SCOPUS-000031</v>
      </c>
      <c r="B44" s="5" t="str">
        <f>IFERROR(__xludf.DUMMYFUNCTION("""COMPUTED_VALUE"""),"SCOPUS-000031-1")</f>
        <v>SCOPUS-000031-1</v>
      </c>
      <c r="C44" s="6" t="str">
        <f>IFERROR(__xludf.DUMMYFUNCTION("""COMPUTED_VALUE"""),"Deeplabv3")</f>
        <v>Deeplabv3</v>
      </c>
      <c r="D44" s="5" t="str">
        <f>IFERROR(__xludf.DUMMYFUNCTION("""COMPUTED_VALUE"""),"mIoU")</f>
        <v>mIoU</v>
      </c>
      <c r="E44" s="5" t="str">
        <f>IFERROR(__xludf.DUMMYFUNCTION("""COMPUTED_VALUE"""),"mIoU")</f>
        <v>mIoU</v>
      </c>
      <c r="F44" s="5">
        <f>IFERROR(__xludf.DUMMYFUNCTION("""COMPUTED_VALUE"""),53.66)</f>
        <v>53.66</v>
      </c>
      <c r="G44" s="5">
        <f>IFERROR(__xludf.DUMMYFUNCTION("""COMPUTED_VALUE"""),1.7)</f>
        <v>1.7</v>
      </c>
    </row>
    <row r="45" ht="15.75" customHeight="1">
      <c r="A45" s="5" t="str">
        <f>IFERROR(__xludf.DUMMYFUNCTION("""COMPUTED_VALUE"""),"SCOPUS-000031")</f>
        <v>SCOPUS-000031</v>
      </c>
      <c r="B45" s="5" t="str">
        <f>IFERROR(__xludf.DUMMYFUNCTION("""COMPUTED_VALUE"""),"SCOPUS-000031-2")</f>
        <v>SCOPUS-000031-2</v>
      </c>
      <c r="C45" s="6" t="str">
        <f>IFERROR(__xludf.DUMMYFUNCTION("""COMPUTED_VALUE"""),"Specialized-CNN")</f>
        <v>Specialized-CNN</v>
      </c>
      <c r="D45" s="5" t="str">
        <f>IFERROR(__xludf.DUMMYFUNCTION("""COMPUTED_VALUE"""),"mIoU")</f>
        <v>mIoU</v>
      </c>
      <c r="E45" s="5" t="str">
        <f>IFERROR(__xludf.DUMMYFUNCTION("""COMPUTED_VALUE"""),"mIoU")</f>
        <v>mIoU</v>
      </c>
      <c r="F45" s="5">
        <f>IFERROR(__xludf.DUMMYFUNCTION("""COMPUTED_VALUE"""),54.2)</f>
        <v>54.2</v>
      </c>
      <c r="G45" s="5">
        <f>IFERROR(__xludf.DUMMYFUNCTION("""COMPUTED_VALUE"""),2.2)</f>
        <v>2.2</v>
      </c>
    </row>
    <row r="46" ht="15.75" customHeight="1">
      <c r="A46" s="5" t="str">
        <f>IFERROR(__xludf.DUMMYFUNCTION("""COMPUTED_VALUE"""),"SCOPUS-000031")</f>
        <v>SCOPUS-000031</v>
      </c>
      <c r="B46" s="5" t="str">
        <f>IFERROR(__xludf.DUMMYFUNCTION("""COMPUTED_VALUE"""),"SCOPUS-000031-3")</f>
        <v>SCOPUS-000031-3</v>
      </c>
      <c r="C46" s="6" t="str">
        <f>IFERROR(__xludf.DUMMYFUNCTION("""COMPUTED_VALUE"""),"Knet")</f>
        <v>Knet</v>
      </c>
      <c r="D46" s="5" t="str">
        <f>IFERROR(__xludf.DUMMYFUNCTION("""COMPUTED_VALUE"""),"mIoU")</f>
        <v>mIoU</v>
      </c>
      <c r="E46" s="5" t="str">
        <f>IFERROR(__xludf.DUMMYFUNCTION("""COMPUTED_VALUE"""),"mIoU")</f>
        <v>mIoU</v>
      </c>
      <c r="F46" s="5">
        <f>IFERROR(__xludf.DUMMYFUNCTION("""COMPUTED_VALUE"""),56.86)</f>
        <v>56.86</v>
      </c>
      <c r="G46" s="5">
        <f>IFERROR(__xludf.DUMMYFUNCTION("""COMPUTED_VALUE"""),4.9)</f>
        <v>4.9</v>
      </c>
    </row>
    <row r="47" ht="15.75" customHeight="1">
      <c r="A47" s="5" t="str">
        <f>IFERROR(__xludf.DUMMYFUNCTION("""COMPUTED_VALUE"""),"SCOPUS-000031")</f>
        <v>SCOPUS-000031</v>
      </c>
      <c r="B47" s="5" t="str">
        <f>IFERROR(__xludf.DUMMYFUNCTION("""COMPUTED_VALUE"""),"SCOPUS-000031-4")</f>
        <v>SCOPUS-000031-4</v>
      </c>
      <c r="C47" s="6" t="str">
        <f>IFERROR(__xludf.DUMMYFUNCTION("""COMPUTED_VALUE"""),"Swin-Transformer")</f>
        <v>Swin-Transformer</v>
      </c>
      <c r="D47" s="5" t="str">
        <f>IFERROR(__xludf.DUMMYFUNCTION("""COMPUTED_VALUE"""),"mIoU")</f>
        <v>mIoU</v>
      </c>
      <c r="E47" s="5" t="str">
        <f>IFERROR(__xludf.DUMMYFUNCTION("""COMPUTED_VALUE"""),"mIoU")</f>
        <v>mIoU</v>
      </c>
      <c r="F47" s="5">
        <f>IFERROR(__xludf.DUMMYFUNCTION("""COMPUTED_VALUE"""),58.18)</f>
        <v>58.18</v>
      </c>
      <c r="G47" s="5">
        <f>IFERROR(__xludf.DUMMYFUNCTION("""COMPUTED_VALUE"""),6.2)</f>
        <v>6.2</v>
      </c>
    </row>
    <row r="48" ht="15.75" customHeight="1">
      <c r="A48" s="5" t="str">
        <f>IFERROR(__xludf.DUMMYFUNCTION("""COMPUTED_VALUE"""),"SCOPUS-000031")</f>
        <v>SCOPUS-000031</v>
      </c>
      <c r="B48" s="5" t="str">
        <f>IFERROR(__xludf.DUMMYFUNCTION("""COMPUTED_VALUE"""),"SCOPUS-000031-5")</f>
        <v>SCOPUS-000031-5</v>
      </c>
      <c r="C48" s="6" t="str">
        <f>IFERROR(__xludf.DUMMYFUNCTION("""COMPUTED_VALUE"""),"SegFormer")</f>
        <v>SegFormer</v>
      </c>
      <c r="D48" s="5" t="str">
        <f>IFERROR(__xludf.DUMMYFUNCTION("""COMPUTED_VALUE"""),"mIoU")</f>
        <v>mIoU</v>
      </c>
      <c r="E48" s="5" t="str">
        <f>IFERROR(__xludf.DUMMYFUNCTION("""COMPUTED_VALUE"""),"mIoU")</f>
        <v>mIoU</v>
      </c>
      <c r="F48" s="5">
        <f>IFERROR(__xludf.DUMMYFUNCTION("""COMPUTED_VALUE"""),58.49)</f>
        <v>58.49</v>
      </c>
      <c r="G48" s="5">
        <f>IFERROR(__xludf.DUMMYFUNCTION("""COMPUTED_VALUE"""),6.5)</f>
        <v>6.5</v>
      </c>
    </row>
    <row r="49" ht="15.75" customHeight="1">
      <c r="A49" s="5" t="str">
        <f>IFERROR(__xludf.DUMMYFUNCTION("""COMPUTED_VALUE"""),"SCOPUS-000031")</f>
        <v>SCOPUS-000031</v>
      </c>
      <c r="B49" s="5" t="str">
        <f>IFERROR(__xludf.DUMMYFUNCTION("""COMPUTED_VALUE"""),"SCOPUS-000031-6")</f>
        <v>SCOPUS-000031-6</v>
      </c>
      <c r="C49" s="6" t="str">
        <f>IFERROR(__xludf.DUMMYFUNCTION("""COMPUTED_VALUE"""),"SWFormer")</f>
        <v>SWFormer</v>
      </c>
      <c r="D49" s="5" t="str">
        <f>IFERROR(__xludf.DUMMYFUNCTION("""COMPUTED_VALUE"""),"mIoU")</f>
        <v>mIoU</v>
      </c>
      <c r="E49" s="5" t="str">
        <f>IFERROR(__xludf.DUMMYFUNCTION("""COMPUTED_VALUE"""),"mIoU")</f>
        <v>mIoU</v>
      </c>
      <c r="F49" s="5">
        <f>IFERROR(__xludf.DUMMYFUNCTION("""COMPUTED_VALUE"""),61.24)</f>
        <v>61.24</v>
      </c>
      <c r="G49" s="5">
        <f>IFERROR(__xludf.DUMMYFUNCTION("""COMPUTED_VALUE"""),9.2)</f>
        <v>9.2</v>
      </c>
    </row>
    <row r="50" ht="15.75" customHeight="1">
      <c r="A50" s="5" t="str">
        <f>IFERROR(__xludf.DUMMYFUNCTION("""COMPUTED_VALUE"""),"SCOPUS-000014")</f>
        <v>SCOPUS-000014</v>
      </c>
      <c r="B50" s="5" t="str">
        <f>IFERROR(__xludf.DUMMYFUNCTION("""COMPUTED_VALUE"""),"SCOPUS-000014-1")</f>
        <v>SCOPUS-000014-1</v>
      </c>
      <c r="C50" s="6" t="str">
        <f>IFERROR(__xludf.DUMMYFUNCTION("""COMPUTED_VALUE"""),"Faster R-CNN")</f>
        <v>Faster R-CNN</v>
      </c>
      <c r="D50" s="5" t="str">
        <f>IFERROR(__xludf.DUMMYFUNCTION("""COMPUTED_VALUE"""),"mAP@0.5")</f>
        <v>mAP@0.5</v>
      </c>
      <c r="E50" s="5" t="str">
        <f>IFERROR(__xludf.DUMMYFUNCTION("""COMPUTED_VALUE"""),"mAP@0.5")</f>
        <v>mAP@0.5</v>
      </c>
      <c r="F50" s="5">
        <f>IFERROR(__xludf.DUMMYFUNCTION("""COMPUTED_VALUE"""),62.9)</f>
        <v>62.9</v>
      </c>
      <c r="G50" s="5">
        <f>IFERROR(__xludf.DUMMYFUNCTION("""COMPUTED_VALUE"""),8.2)</f>
        <v>8.2</v>
      </c>
    </row>
    <row r="51" ht="15.75" customHeight="1">
      <c r="A51" s="5" t="str">
        <f>IFERROR(__xludf.DUMMYFUNCTION("""COMPUTED_VALUE"""),"SCOPUS-000014")</f>
        <v>SCOPUS-000014</v>
      </c>
      <c r="B51" s="5" t="str">
        <f>IFERROR(__xludf.DUMMYFUNCTION("""COMPUTED_VALUE"""),"SCOPUS-000014-2")</f>
        <v>SCOPUS-000014-2</v>
      </c>
      <c r="C51" s="6" t="str">
        <f>IFERROR(__xludf.DUMMYFUNCTION("""COMPUTED_VALUE"""),"YOLO11n")</f>
        <v>YOLO11n</v>
      </c>
      <c r="D51" s="5" t="str">
        <f>IFERROR(__xludf.DUMMYFUNCTION("""COMPUTED_VALUE"""),"mAP@0.5")</f>
        <v>mAP@0.5</v>
      </c>
      <c r="E51" s="5" t="str">
        <f>IFERROR(__xludf.DUMMYFUNCTION("""COMPUTED_VALUE"""),"mAP@0.5")</f>
        <v>mAP@0.5</v>
      </c>
      <c r="F51" s="5">
        <f>IFERROR(__xludf.DUMMYFUNCTION("""COMPUTED_VALUE"""),66.5)</f>
        <v>66.5</v>
      </c>
      <c r="G51" s="5">
        <f>IFERROR(__xludf.DUMMYFUNCTION("""COMPUTED_VALUE"""),11.8)</f>
        <v>11.8</v>
      </c>
    </row>
    <row r="52" ht="15.75" customHeight="1">
      <c r="A52" s="5" t="str">
        <f>IFERROR(__xludf.DUMMYFUNCTION("""COMPUTED_VALUE"""),"SCOPUS-000014")</f>
        <v>SCOPUS-000014</v>
      </c>
      <c r="B52" s="5" t="str">
        <f>IFERROR(__xludf.DUMMYFUNCTION("""COMPUTED_VALUE"""),"SCOPUS-000014-3")</f>
        <v>SCOPUS-000014-3</v>
      </c>
      <c r="C52" s="6" t="str">
        <f>IFERROR(__xludf.DUMMYFUNCTION("""COMPUTED_VALUE"""),"HDMS-YOLO")</f>
        <v>HDMS-YOLO</v>
      </c>
      <c r="D52" s="5" t="str">
        <f>IFERROR(__xludf.DUMMYFUNCTION("""COMPUTED_VALUE"""),"mAP@0.5")</f>
        <v>mAP@0.5</v>
      </c>
      <c r="E52" s="5" t="str">
        <f>IFERROR(__xludf.DUMMYFUNCTION("""COMPUTED_VALUE"""),"mAP@0.5")</f>
        <v>mAP@0.5</v>
      </c>
      <c r="F52" s="5">
        <f>IFERROR(__xludf.DUMMYFUNCTION("""COMPUTED_VALUE"""),71.2)</f>
        <v>71.2</v>
      </c>
      <c r="G52" s="5">
        <f>IFERROR(__xludf.DUMMYFUNCTION("""COMPUTED_VALUE"""),16.5)</f>
        <v>16.5</v>
      </c>
    </row>
    <row r="53" ht="15.75" customHeight="1">
      <c r="A53" s="5" t="str">
        <f>IFERROR(__xludf.DUMMYFUNCTION("""COMPUTED_VALUE"""),"SCOPUS-000544")</f>
        <v>SCOPUS-000544</v>
      </c>
      <c r="B53" s="5" t="str">
        <f>IFERROR(__xludf.DUMMYFUNCTION("""COMPUTED_VALUE"""),"SCOPUS-000544-1")</f>
        <v>SCOPUS-000544-1</v>
      </c>
      <c r="C53" s="6" t="str">
        <f>IFERROR(__xludf.DUMMYFUNCTION("""COMPUTED_VALUE"""),"ResNet101 backbone (with data enhancement)")</f>
        <v>ResNet101 backbone (with data enhancement)</v>
      </c>
      <c r="D53" s="5" t="str">
        <f>IFERROR(__xludf.DUMMYFUNCTION("""COMPUTED_VALUE"""),"mIoU")</f>
        <v>mIoU</v>
      </c>
      <c r="E53" s="5" t="str">
        <f>IFERROR(__xludf.DUMMYFUNCTION("""COMPUTED_VALUE"""),"mIoU")</f>
        <v>mIoU</v>
      </c>
      <c r="F53" s="5">
        <f>IFERROR(__xludf.DUMMYFUNCTION("""COMPUTED_VALUE"""),60.7)</f>
        <v>60.7</v>
      </c>
      <c r="G53" s="5">
        <f>IFERROR(__xludf.DUMMYFUNCTION("""COMPUTED_VALUE"""),10.5)</f>
        <v>10.5</v>
      </c>
    </row>
    <row r="54" ht="15.75" customHeight="1">
      <c r="A54" s="5"/>
      <c r="B54" s="5"/>
      <c r="C54" s="6"/>
      <c r="D54" s="5"/>
      <c r="E54" s="5"/>
      <c r="F54" s="5"/>
      <c r="G54" s="5"/>
    </row>
    <row r="55" ht="15.75" customHeight="1">
      <c r="A55" s="5"/>
      <c r="B55" s="5"/>
      <c r="C55" s="6"/>
      <c r="D55" s="5"/>
      <c r="E55" s="5"/>
      <c r="F55" s="5"/>
      <c r="G55" s="5"/>
    </row>
    <row r="56" ht="15.75" customHeight="1">
      <c r="A56" s="5"/>
      <c r="B56" s="5"/>
      <c r="C56" s="6"/>
      <c r="D56" s="5"/>
      <c r="E56" s="5"/>
      <c r="F56" s="5"/>
      <c r="G56" s="5"/>
    </row>
    <row r="57" ht="15.75" customHeight="1">
      <c r="A57" s="5"/>
      <c r="B57" s="5"/>
      <c r="C57" s="6"/>
      <c r="D57" s="5"/>
      <c r="E57" s="5"/>
      <c r="F57" s="5"/>
      <c r="G57" s="5"/>
    </row>
    <row r="58" ht="15.75" customHeight="1">
      <c r="A58" s="5" t="str">
        <f>IFERROR(__xludf.DUMMYFUNCTION("""COMPUTED_VALUE"""),"SCOPUS-000592")</f>
        <v>SCOPUS-000592</v>
      </c>
      <c r="B58" s="5" t="str">
        <f>IFERROR(__xludf.DUMMYFUNCTION("""COMPUTED_VALUE"""),"SCOPUS-000592-1")</f>
        <v>SCOPUS-000592-1</v>
      </c>
      <c r="C58" s="6" t="str">
        <f>IFERROR(__xludf.DUMMYFUNCTION("""COMPUTED_VALUE"""),"DeepLab-V3+")</f>
        <v>DeepLab-V3+</v>
      </c>
      <c r="D58" s="5" t="str">
        <f>IFERROR(__xludf.DUMMYFUNCTION("""COMPUTED_VALUE"""),"mIoU")</f>
        <v>mIoU</v>
      </c>
      <c r="E58" s="5" t="str">
        <f>IFERROR(__xludf.DUMMYFUNCTION("""COMPUTED_VALUE"""),"mIoU")</f>
        <v>mIoU</v>
      </c>
      <c r="F58" s="5">
        <f>IFERROR(__xludf.DUMMYFUNCTION("""COMPUTED_VALUE"""),84.36)</f>
        <v>84.36</v>
      </c>
      <c r="G58" s="5">
        <f>IFERROR(__xludf.DUMMYFUNCTION("""COMPUTED_VALUE"""),5.3)</f>
        <v>5.3</v>
      </c>
    </row>
    <row r="59" ht="15.75" customHeight="1">
      <c r="A59" s="5" t="str">
        <f>IFERROR(__xludf.DUMMYFUNCTION("""COMPUTED_VALUE"""),"SCOPUS-000592")</f>
        <v>SCOPUS-000592</v>
      </c>
      <c r="B59" s="5" t="str">
        <f>IFERROR(__xludf.DUMMYFUNCTION("""COMPUTED_VALUE"""),"SCOPUS-000592-2")</f>
        <v>SCOPUS-000592-2</v>
      </c>
      <c r="C59" s="6" t="str">
        <f>IFERROR(__xludf.DUMMYFUNCTION("""COMPUTED_VALUE"""),"SL-Net")</f>
        <v>SL-Net</v>
      </c>
      <c r="D59" s="5" t="str">
        <f>IFERROR(__xludf.DUMMYFUNCTION("""COMPUTED_VALUE"""),"mIoU")</f>
        <v>mIoU</v>
      </c>
      <c r="E59" s="5" t="str">
        <f>IFERROR(__xludf.DUMMYFUNCTION("""COMPUTED_VALUE"""),"mIoU")</f>
        <v>mIoU</v>
      </c>
      <c r="F59" s="5">
        <f>IFERROR(__xludf.DUMMYFUNCTION("""COMPUTED_VALUE"""),87.3)</f>
        <v>87.3</v>
      </c>
      <c r="G59" s="5">
        <f>IFERROR(__xludf.DUMMYFUNCTION("""COMPUTED_VALUE"""),8.3)</f>
        <v>8.3</v>
      </c>
    </row>
    <row r="60" ht="15.75" customHeight="1">
      <c r="A60" s="5" t="str">
        <f>IFERROR(__xludf.DUMMYFUNCTION("""COMPUTED_VALUE"""),"SCOPUS-000475")</f>
        <v>SCOPUS-000475</v>
      </c>
      <c r="B60" s="5" t="str">
        <f>IFERROR(__xludf.DUMMYFUNCTION("""COMPUTED_VALUE"""),"SCOPUS-000475-1")</f>
        <v>SCOPUS-000475-1</v>
      </c>
      <c r="C60" s="6" t="str">
        <f>IFERROR(__xludf.DUMMYFUNCTION("""COMPUTED_VALUE"""),"FCN")</f>
        <v>FCN</v>
      </c>
      <c r="D60" s="5" t="str">
        <f>IFERROR(__xludf.DUMMYFUNCTION("""COMPUTED_VALUE"""),"mIoU")</f>
        <v>mIoU</v>
      </c>
      <c r="E60" s="5" t="str">
        <f>IFERROR(__xludf.DUMMYFUNCTION("""COMPUTED_VALUE"""),"mIoU")</f>
        <v>mIoU</v>
      </c>
      <c r="F60" s="5">
        <f>IFERROR(__xludf.DUMMYFUNCTION("""COMPUTED_VALUE"""),64.68)</f>
        <v>64.68</v>
      </c>
      <c r="G60" s="5">
        <f>IFERROR(__xludf.DUMMYFUNCTION("""COMPUTED_VALUE"""),8.7)</f>
        <v>8.7</v>
      </c>
    </row>
    <row r="61" ht="15.75" customHeight="1">
      <c r="A61" s="5" t="str">
        <f>IFERROR(__xludf.DUMMYFUNCTION("""COMPUTED_VALUE"""),"SCOPUS-000475")</f>
        <v>SCOPUS-000475</v>
      </c>
      <c r="B61" s="5" t="str">
        <f>IFERROR(__xludf.DUMMYFUNCTION("""COMPUTED_VALUE"""),"SCOPUS-000475-2")</f>
        <v>SCOPUS-000475-2</v>
      </c>
      <c r="C61" s="6" t="str">
        <f>IFERROR(__xludf.DUMMYFUNCTION("""COMPUTED_VALUE"""),"HRNet")</f>
        <v>HRNet</v>
      </c>
      <c r="D61" s="5" t="str">
        <f>IFERROR(__xludf.DUMMYFUNCTION("""COMPUTED_VALUE"""),"mIoU")</f>
        <v>mIoU</v>
      </c>
      <c r="E61" s="5" t="str">
        <f>IFERROR(__xludf.DUMMYFUNCTION("""COMPUTED_VALUE"""),"mIoU")</f>
        <v>mIoU</v>
      </c>
      <c r="F61" s="5">
        <f>IFERROR(__xludf.DUMMYFUNCTION("""COMPUTED_VALUE"""),76.07)</f>
        <v>76.07</v>
      </c>
      <c r="G61" s="5">
        <f>IFERROR(__xludf.DUMMYFUNCTION("""COMPUTED_VALUE"""),20.1)</f>
        <v>20.1</v>
      </c>
    </row>
    <row r="62" ht="15.75" customHeight="1">
      <c r="A62" s="5" t="str">
        <f>IFERROR(__xludf.DUMMYFUNCTION("""COMPUTED_VALUE"""),"SCOPUS-000475")</f>
        <v>SCOPUS-000475</v>
      </c>
      <c r="B62" s="5" t="str">
        <f>IFERROR(__xludf.DUMMYFUNCTION("""COMPUTED_VALUE"""),"SCOPUS-000475-3")</f>
        <v>SCOPUS-000475-3</v>
      </c>
      <c r="C62" s="6" t="str">
        <f>IFERROR(__xludf.DUMMYFUNCTION("""COMPUTED_VALUE"""),"SegFormer")</f>
        <v>SegFormer</v>
      </c>
      <c r="D62" s="5" t="str">
        <f>IFERROR(__xludf.DUMMYFUNCTION("""COMPUTED_VALUE"""),"mIoU")</f>
        <v>mIoU</v>
      </c>
      <c r="E62" s="5" t="str">
        <f>IFERROR(__xludf.DUMMYFUNCTION("""COMPUTED_VALUE"""),"mIoU")</f>
        <v>mIoU</v>
      </c>
      <c r="F62" s="5">
        <f>IFERROR(__xludf.DUMMYFUNCTION("""COMPUTED_VALUE"""),79.23)</f>
        <v>79.23</v>
      </c>
      <c r="G62" s="5">
        <f>IFERROR(__xludf.DUMMYFUNCTION("""COMPUTED_VALUE"""),23.3)</f>
        <v>23.3</v>
      </c>
    </row>
    <row r="63" ht="15.75" customHeight="1">
      <c r="A63" s="5" t="str">
        <f>IFERROR(__xludf.DUMMYFUNCTION("""COMPUTED_VALUE"""),"SCOPUS-000475")</f>
        <v>SCOPUS-000475</v>
      </c>
      <c r="B63" s="5" t="str">
        <f>IFERROR(__xludf.DUMMYFUNCTION("""COMPUTED_VALUE"""),"SCOPUS-000475-4")</f>
        <v>SCOPUS-000475-4</v>
      </c>
      <c r="C63" s="6" t="str">
        <f>IFERROR(__xludf.DUMMYFUNCTION("""COMPUTED_VALUE"""),"DeepLabv3+")</f>
        <v>DeepLabv3+</v>
      </c>
      <c r="D63" s="5" t="str">
        <f>IFERROR(__xludf.DUMMYFUNCTION("""COMPUTED_VALUE"""),"mIoU")</f>
        <v>mIoU</v>
      </c>
      <c r="E63" s="5" t="str">
        <f>IFERROR(__xludf.DUMMYFUNCTION("""COMPUTED_VALUE"""),"mIoU")</f>
        <v>mIoU</v>
      </c>
      <c r="F63" s="5">
        <f>IFERROR(__xludf.DUMMYFUNCTION("""COMPUTED_VALUE"""),79.28)</f>
        <v>79.28</v>
      </c>
      <c r="G63" s="5">
        <f>IFERROR(__xludf.DUMMYFUNCTION("""COMPUTED_VALUE"""),23.3)</f>
        <v>23.3</v>
      </c>
    </row>
    <row r="64" ht="15.75" customHeight="1">
      <c r="A64" s="5" t="str">
        <f>IFERROR(__xludf.DUMMYFUNCTION("""COMPUTED_VALUE"""),"SCOPUS-000475")</f>
        <v>SCOPUS-000475</v>
      </c>
      <c r="B64" s="5" t="str">
        <f>IFERROR(__xludf.DUMMYFUNCTION("""COMPUTED_VALUE"""),"SCOPUS-000475-5")</f>
        <v>SCOPUS-000475-5</v>
      </c>
      <c r="C64" s="6" t="str">
        <f>IFERROR(__xludf.DUMMYFUNCTION("""COMPUTED_VALUE"""),"UNet")</f>
        <v>UNet</v>
      </c>
      <c r="D64" s="5" t="str">
        <f>IFERROR(__xludf.DUMMYFUNCTION("""COMPUTED_VALUE"""),"mIoU")</f>
        <v>mIoU</v>
      </c>
      <c r="E64" s="5" t="str">
        <f>IFERROR(__xludf.DUMMYFUNCTION("""COMPUTED_VALUE"""),"mIoU")</f>
        <v>mIoU</v>
      </c>
      <c r="F64" s="5">
        <f>IFERROR(__xludf.DUMMYFUNCTION("""COMPUTED_VALUE"""),81.2)</f>
        <v>81.2</v>
      </c>
      <c r="G64" s="5">
        <f>IFERROR(__xludf.DUMMYFUNCTION("""COMPUTED_VALUE"""),25.3)</f>
        <v>25.3</v>
      </c>
    </row>
    <row r="65" ht="15.75" customHeight="1">
      <c r="A65" s="5" t="str">
        <f>IFERROR(__xludf.DUMMYFUNCTION("""COMPUTED_VALUE"""),"SCOPUS-000475")</f>
        <v>SCOPUS-000475</v>
      </c>
      <c r="B65" s="5" t="str">
        <f>IFERROR(__xludf.DUMMYFUNCTION("""COMPUTED_VALUE"""),"SCOPUS-000475-6")</f>
        <v>SCOPUS-000475-6</v>
      </c>
      <c r="C65" s="6" t="str">
        <f>IFERROR(__xludf.DUMMYFUNCTION("""COMPUTED_VALUE"""),"Proposed Model")</f>
        <v>Proposed Model</v>
      </c>
      <c r="D65" s="5" t="str">
        <f>IFERROR(__xludf.DUMMYFUNCTION("""COMPUTED_VALUE"""),"mIoU")</f>
        <v>mIoU</v>
      </c>
      <c r="E65" s="5" t="str">
        <f>IFERROR(__xludf.DUMMYFUNCTION("""COMPUTED_VALUE"""),"mIoU")</f>
        <v>mIoU</v>
      </c>
      <c r="F65" s="5">
        <f>IFERROR(__xludf.DUMMYFUNCTION("""COMPUTED_VALUE"""),84.28)</f>
        <v>84.28</v>
      </c>
      <c r="G65" s="5">
        <f>IFERROR(__xludf.DUMMYFUNCTION("""COMPUTED_VALUE"""),28.3)</f>
        <v>28.3</v>
      </c>
    </row>
    <row r="66" ht="15.75" customHeight="1">
      <c r="A66" s="5" t="str">
        <f>IFERROR(__xludf.DUMMYFUNCTION("""COMPUTED_VALUE"""),"SCOPUS-000399")</f>
        <v>SCOPUS-000399</v>
      </c>
      <c r="B66" s="5" t="str">
        <f>IFERROR(__xludf.DUMMYFUNCTION("""COMPUTED_VALUE"""),"SCOPUS-000399-1")</f>
        <v>SCOPUS-000399-1</v>
      </c>
      <c r="C66" s="6" t="str">
        <f>IFERROR(__xludf.DUMMYFUNCTION("""COMPUTED_VALUE"""),"SN-GAN")</f>
        <v>SN-GAN</v>
      </c>
      <c r="D66" s="5" t="str">
        <f>IFERROR(__xludf.DUMMYFUNCTION("""COMPUTED_VALUE"""),"Accuracy")</f>
        <v>Accuracy</v>
      </c>
      <c r="E66" s="5" t="str">
        <f>IFERROR(__xludf.DUMMYFUNCTION("""COMPUTED_VALUE"""),"Accuracy")</f>
        <v>Accuracy</v>
      </c>
      <c r="F66" s="5">
        <f>IFERROR(__xludf.DUMMYFUNCTION("""COMPUTED_VALUE"""),81.77)</f>
        <v>81.77</v>
      </c>
      <c r="G66" s="5">
        <f>IFERROR(__xludf.DUMMYFUNCTION("""COMPUTED_VALUE"""),9.1)</f>
        <v>9.1</v>
      </c>
    </row>
    <row r="67" ht="15.75" customHeight="1">
      <c r="A67" s="5" t="str">
        <f>IFERROR(__xludf.DUMMYFUNCTION("""COMPUTED_VALUE"""),"SCOPUS-000399")</f>
        <v>SCOPUS-000399</v>
      </c>
      <c r="B67" s="5" t="str">
        <f>IFERROR(__xludf.DUMMYFUNCTION("""COMPUTED_VALUE"""),"SCOPUS-000399-2")</f>
        <v>SCOPUS-000399-2</v>
      </c>
      <c r="C67" s="6" t="str">
        <f>IFERROR(__xludf.DUMMYFUNCTION("""COMPUTED_VALUE"""),"CA-GAN")</f>
        <v>CA-GAN</v>
      </c>
      <c r="D67" s="5" t="str">
        <f>IFERROR(__xludf.DUMMYFUNCTION("""COMPUTED_VALUE"""),"Accuracy")</f>
        <v>Accuracy</v>
      </c>
      <c r="E67" s="5" t="str">
        <f>IFERROR(__xludf.DUMMYFUNCTION("""COMPUTED_VALUE"""),"Accuracy")</f>
        <v>Accuracy</v>
      </c>
      <c r="F67" s="5">
        <f>IFERROR(__xludf.DUMMYFUNCTION("""COMPUTED_VALUE"""),82.63)</f>
        <v>82.63</v>
      </c>
      <c r="G67" s="5">
        <f>IFERROR(__xludf.DUMMYFUNCTION("""COMPUTED_VALUE"""),9.9)</f>
        <v>9.9</v>
      </c>
    </row>
    <row r="68" ht="15.75" customHeight="1">
      <c r="A68" s="5" t="str">
        <f>IFERROR(__xludf.DUMMYFUNCTION("""COMPUTED_VALUE"""),"SCOPUS-000323")</f>
        <v>SCOPUS-000323</v>
      </c>
      <c r="B68" s="5" t="str">
        <f>IFERROR(__xludf.DUMMYFUNCTION("""COMPUTED_VALUE"""),"SCOPUS-000323-1")</f>
        <v>SCOPUS-000323-1</v>
      </c>
      <c r="C68" s="6" t="str">
        <f>IFERROR(__xludf.DUMMYFUNCTION("""COMPUTED_VALUE"""),"MobileNet")</f>
        <v>MobileNet</v>
      </c>
      <c r="D68" s="5" t="str">
        <f>IFERROR(__xludf.DUMMYFUNCTION("""COMPUTED_VALUE"""),"Accuracy")</f>
        <v>Accuracy</v>
      </c>
      <c r="E68" s="5" t="str">
        <f>IFERROR(__xludf.DUMMYFUNCTION("""COMPUTED_VALUE"""),"Accuracy")</f>
        <v>Accuracy</v>
      </c>
      <c r="F68" s="5">
        <f>IFERROR(__xludf.DUMMYFUNCTION("""COMPUTED_VALUE"""),87.01)</f>
        <v>87.01</v>
      </c>
      <c r="G68" s="5">
        <f>IFERROR(__xludf.DUMMYFUNCTION("""COMPUTED_VALUE"""),2.1)</f>
        <v>2.1</v>
      </c>
    </row>
    <row r="69" ht="15.75" customHeight="1">
      <c r="A69" s="5" t="str">
        <f>IFERROR(__xludf.DUMMYFUNCTION("""COMPUTED_VALUE"""),"SCOPUS-000323")</f>
        <v>SCOPUS-000323</v>
      </c>
      <c r="B69" s="5" t="str">
        <f>IFERROR(__xludf.DUMMYFUNCTION("""COMPUTED_VALUE"""),"SCOPUS-000323-2")</f>
        <v>SCOPUS-000323-2</v>
      </c>
      <c r="C69" s="6" t="str">
        <f>IFERROR(__xludf.DUMMYFUNCTION("""COMPUTED_VALUE"""),"EfficientNet")</f>
        <v>EfficientNet</v>
      </c>
      <c r="D69" s="5" t="str">
        <f>IFERROR(__xludf.DUMMYFUNCTION("""COMPUTED_VALUE"""),"Accuracy")</f>
        <v>Accuracy</v>
      </c>
      <c r="E69" s="5" t="str">
        <f>IFERROR(__xludf.DUMMYFUNCTION("""COMPUTED_VALUE"""),"Accuracy")</f>
        <v>Accuracy</v>
      </c>
      <c r="F69" s="5">
        <f>IFERROR(__xludf.DUMMYFUNCTION("""COMPUTED_VALUE"""),87.47)</f>
        <v>87.47</v>
      </c>
      <c r="G69" s="5">
        <f>IFERROR(__xludf.DUMMYFUNCTION("""COMPUTED_VALUE"""),2.6)</f>
        <v>2.6</v>
      </c>
    </row>
    <row r="70" ht="15.75" customHeight="1">
      <c r="A70" s="5" t="str">
        <f>IFERROR(__xludf.DUMMYFUNCTION("""COMPUTED_VALUE"""),"SCOPUS-000323")</f>
        <v>SCOPUS-000323</v>
      </c>
      <c r="B70" s="5" t="str">
        <f>IFERROR(__xludf.DUMMYFUNCTION("""COMPUTED_VALUE"""),"SCOPUS-000323-3")</f>
        <v>SCOPUS-000323-3</v>
      </c>
      <c r="C70" s="6" t="str">
        <f>IFERROR(__xludf.DUMMYFUNCTION("""COMPUTED_VALUE"""),"AlexNet")</f>
        <v>AlexNet</v>
      </c>
      <c r="D70" s="5" t="str">
        <f>IFERROR(__xludf.DUMMYFUNCTION("""COMPUTED_VALUE"""),"Accuracy")</f>
        <v>Accuracy</v>
      </c>
      <c r="E70" s="5" t="str">
        <f>IFERROR(__xludf.DUMMYFUNCTION("""COMPUTED_VALUE"""),"Accuracy")</f>
        <v>Accuracy</v>
      </c>
      <c r="F70" s="5">
        <f>IFERROR(__xludf.DUMMYFUNCTION("""COMPUTED_VALUE"""),89.33)</f>
        <v>89.33</v>
      </c>
      <c r="G70" s="5">
        <f>IFERROR(__xludf.DUMMYFUNCTION("""COMPUTED_VALUE"""),4.4)</f>
        <v>4.4</v>
      </c>
    </row>
    <row r="71" ht="15.75" customHeight="1">
      <c r="A71" s="5" t="str">
        <f>IFERROR(__xludf.DUMMYFUNCTION("""COMPUTED_VALUE"""),"SCOPUS-000323")</f>
        <v>SCOPUS-000323</v>
      </c>
      <c r="B71" s="5" t="str">
        <f>IFERROR(__xludf.DUMMYFUNCTION("""COMPUTED_VALUE"""),"SCOPUS-000323-4")</f>
        <v>SCOPUS-000323-4</v>
      </c>
      <c r="C71" s="6" t="str">
        <f>IFERROR(__xludf.DUMMYFUNCTION("""COMPUTED_VALUE"""),"ResNet18")</f>
        <v>ResNet18</v>
      </c>
      <c r="D71" s="5" t="str">
        <f>IFERROR(__xludf.DUMMYFUNCTION("""COMPUTED_VALUE"""),"Accuracy")</f>
        <v>Accuracy</v>
      </c>
      <c r="E71" s="5" t="str">
        <f>IFERROR(__xludf.DUMMYFUNCTION("""COMPUTED_VALUE"""),"Accuracy")</f>
        <v>Accuracy</v>
      </c>
      <c r="F71" s="5">
        <f>IFERROR(__xludf.DUMMYFUNCTION("""COMPUTED_VALUE"""),90.72)</f>
        <v>90.72</v>
      </c>
      <c r="G71" s="5">
        <f>IFERROR(__xludf.DUMMYFUNCTION("""COMPUTED_VALUE"""),5.8)</f>
        <v>5.8</v>
      </c>
    </row>
    <row r="72" ht="15.75" customHeight="1">
      <c r="A72" s="5" t="str">
        <f>IFERROR(__xludf.DUMMYFUNCTION("""COMPUTED_VALUE"""),"SCOPUS-000323")</f>
        <v>SCOPUS-000323</v>
      </c>
      <c r="B72" s="5" t="str">
        <f>IFERROR(__xludf.DUMMYFUNCTION("""COMPUTED_VALUE"""),"SCOPUS-000323-5")</f>
        <v>SCOPUS-000323-5</v>
      </c>
      <c r="C72" s="6" t="str">
        <f>IFERROR(__xludf.DUMMYFUNCTION("""COMPUTED_VALUE"""),"Xception")</f>
        <v>Xception</v>
      </c>
      <c r="D72" s="5" t="str">
        <f>IFERROR(__xludf.DUMMYFUNCTION("""COMPUTED_VALUE"""),"Accuracy")</f>
        <v>Accuracy</v>
      </c>
      <c r="E72" s="5" t="str">
        <f>IFERROR(__xludf.DUMMYFUNCTION("""COMPUTED_VALUE"""),"Accuracy")</f>
        <v>Accuracy</v>
      </c>
      <c r="F72" s="5">
        <f>IFERROR(__xludf.DUMMYFUNCTION("""COMPUTED_VALUE"""),90.95)</f>
        <v>90.95</v>
      </c>
      <c r="G72" s="5">
        <f>IFERROR(__xludf.DUMMYFUNCTION("""COMPUTED_VALUE"""),6.0)</f>
        <v>6</v>
      </c>
    </row>
    <row r="73" ht="15.75" customHeight="1">
      <c r="A73" s="5" t="str">
        <f>IFERROR(__xludf.DUMMYFUNCTION("""COMPUTED_VALUE"""),"SCOPUS-000323")</f>
        <v>SCOPUS-000323</v>
      </c>
      <c r="B73" s="5" t="str">
        <f>IFERROR(__xludf.DUMMYFUNCTION("""COMPUTED_VALUE"""),"SCOPUS-000323-6")</f>
        <v>SCOPUS-000323-6</v>
      </c>
      <c r="C73" s="6" t="str">
        <f>IFERROR(__xludf.DUMMYFUNCTION("""COMPUTED_VALUE"""),"ResNet34")</f>
        <v>ResNet34</v>
      </c>
      <c r="D73" s="5" t="str">
        <f>IFERROR(__xludf.DUMMYFUNCTION("""COMPUTED_VALUE"""),"Accuracy")</f>
        <v>Accuracy</v>
      </c>
      <c r="E73" s="5" t="str">
        <f>IFERROR(__xludf.DUMMYFUNCTION("""COMPUTED_VALUE"""),"Accuracy")</f>
        <v>Accuracy</v>
      </c>
      <c r="F73" s="5">
        <f>IFERROR(__xludf.DUMMYFUNCTION("""COMPUTED_VALUE"""),94.43)</f>
        <v>94.43</v>
      </c>
      <c r="G73" s="5">
        <f>IFERROR(__xludf.DUMMYFUNCTION("""COMPUTED_VALUE"""),9.5)</f>
        <v>9.5</v>
      </c>
    </row>
    <row r="74" ht="15.75" customHeight="1">
      <c r="A74" s="5" t="str">
        <f>IFERROR(__xludf.DUMMYFUNCTION("""COMPUTED_VALUE"""),"SCOPUS-000323")</f>
        <v>SCOPUS-000323</v>
      </c>
      <c r="B74" s="5" t="str">
        <f>IFERROR(__xludf.DUMMYFUNCTION("""COMPUTED_VALUE"""),"SCOPUS-000323-7")</f>
        <v>SCOPUS-000323-7</v>
      </c>
      <c r="C74" s="6" t="str">
        <f>IFERROR(__xludf.DUMMYFUNCTION("""COMPUTED_VALUE"""),"DenseNet169")</f>
        <v>DenseNet169</v>
      </c>
      <c r="D74" s="5" t="str">
        <f>IFERROR(__xludf.DUMMYFUNCTION("""COMPUTED_VALUE"""),"Accuracy")</f>
        <v>Accuracy</v>
      </c>
      <c r="E74" s="5" t="str">
        <f>IFERROR(__xludf.DUMMYFUNCTION("""COMPUTED_VALUE"""),"Accuracy")</f>
        <v>Accuracy</v>
      </c>
      <c r="F74" s="5">
        <f>IFERROR(__xludf.DUMMYFUNCTION("""COMPUTED_VALUE"""),94.59)</f>
        <v>94.59</v>
      </c>
      <c r="G74" s="5">
        <f>IFERROR(__xludf.DUMMYFUNCTION("""COMPUTED_VALUE"""),9.7)</f>
        <v>9.7</v>
      </c>
    </row>
    <row r="75" ht="15.75" customHeight="1">
      <c r="A75" s="5" t="str">
        <f>IFERROR(__xludf.DUMMYFUNCTION("""COMPUTED_VALUE"""),"SCOPUS-000323")</f>
        <v>SCOPUS-000323</v>
      </c>
      <c r="B75" s="5" t="str">
        <f>IFERROR(__xludf.DUMMYFUNCTION("""COMPUTED_VALUE"""),"SCOPUS-000323-8")</f>
        <v>SCOPUS-000323-8</v>
      </c>
      <c r="C75" s="6" t="str">
        <f>IFERROR(__xludf.DUMMYFUNCTION("""COMPUTED_VALUE"""),"Proposed Network")</f>
        <v>Proposed Network</v>
      </c>
      <c r="D75" s="5" t="str">
        <f>IFERROR(__xludf.DUMMYFUNCTION("""COMPUTED_VALUE"""),"Accuracy")</f>
        <v>Accuracy</v>
      </c>
      <c r="E75" s="5" t="str">
        <f>IFERROR(__xludf.DUMMYFUNCTION("""COMPUTED_VALUE"""),"Accuracy")</f>
        <v>Accuracy</v>
      </c>
      <c r="F75" s="5">
        <f>IFERROR(__xludf.DUMMYFUNCTION("""COMPUTED_VALUE"""),99.07)</f>
        <v>99.07</v>
      </c>
      <c r="G75" s="5">
        <f>IFERROR(__xludf.DUMMYFUNCTION("""COMPUTED_VALUE"""),4.5)</f>
        <v>4.5</v>
      </c>
    </row>
    <row r="76" ht="15.75" customHeight="1">
      <c r="A76" s="5" t="str">
        <f>IFERROR(__xludf.DUMMYFUNCTION("""COMPUTED_VALUE"""),"SCOPUS-000295")</f>
        <v>SCOPUS-000295</v>
      </c>
      <c r="B76" s="5" t="str">
        <f>IFERROR(__xludf.DUMMYFUNCTION("""COMPUTED_VALUE"""),"SCOPUS-000295-1")</f>
        <v>SCOPUS-000295-1</v>
      </c>
      <c r="C76" s="6" t="str">
        <f>IFERROR(__xludf.DUMMYFUNCTION("""COMPUTED_VALUE"""),"DINO")</f>
        <v>DINO</v>
      </c>
      <c r="D76" s="5" t="str">
        <f>IFERROR(__xludf.DUMMYFUNCTION("""COMPUTED_VALUE"""),"mAP@0.5")</f>
        <v>mAP@0.5</v>
      </c>
      <c r="E76" s="5" t="str">
        <f>IFERROR(__xludf.DUMMYFUNCTION("""COMPUTED_VALUE"""),"mAP@0.5")</f>
        <v>mAP@0.5</v>
      </c>
      <c r="F76" s="5">
        <f>IFERROR(__xludf.DUMMYFUNCTION("""COMPUTED_VALUE"""),87.8)</f>
        <v>87.8</v>
      </c>
      <c r="G76" s="5">
        <f>IFERROR(__xludf.DUMMYFUNCTION("""COMPUTED_VALUE"""),8.6)</f>
        <v>8.6</v>
      </c>
    </row>
    <row r="77" ht="15.75" customHeight="1">
      <c r="A77" s="5" t="str">
        <f>IFERROR(__xludf.DUMMYFUNCTION("""COMPUTED_VALUE"""),"SCOPUS-000295")</f>
        <v>SCOPUS-000295</v>
      </c>
      <c r="B77" s="5" t="str">
        <f>IFERROR(__xludf.DUMMYFUNCTION("""COMPUTED_VALUE"""),"SCOPUS-000295-2")</f>
        <v>SCOPUS-000295-2</v>
      </c>
      <c r="C77" s="6" t="str">
        <f>IFERROR(__xludf.DUMMYFUNCTION("""COMPUTED_VALUE"""),"Dynamic R-CNN-R50")</f>
        <v>Dynamic R-CNN-R50</v>
      </c>
      <c r="D77" s="5" t="str">
        <f>IFERROR(__xludf.DUMMYFUNCTION("""COMPUTED_VALUE"""),"mAP@0.5")</f>
        <v>mAP@0.5</v>
      </c>
      <c r="E77" s="5" t="str">
        <f>IFERROR(__xludf.DUMMYFUNCTION("""COMPUTED_VALUE"""),"mAP@0.5")</f>
        <v>mAP@0.5</v>
      </c>
      <c r="F77" s="5">
        <f>IFERROR(__xludf.DUMMYFUNCTION("""COMPUTED_VALUE"""),93.3)</f>
        <v>93.3</v>
      </c>
      <c r="G77" s="5">
        <f>IFERROR(__xludf.DUMMYFUNCTION("""COMPUTED_VALUE"""),14.1)</f>
        <v>14.1</v>
      </c>
    </row>
    <row r="78" ht="15.75" customHeight="1">
      <c r="A78" s="5" t="str">
        <f>IFERROR(__xludf.DUMMYFUNCTION("""COMPUTED_VALUE"""),"SCOPUS-000295")</f>
        <v>SCOPUS-000295</v>
      </c>
      <c r="B78" s="5" t="str">
        <f>IFERROR(__xludf.DUMMYFUNCTION("""COMPUTED_VALUE"""),"SCOPUS-000295-3")</f>
        <v>SCOPUS-000295-3</v>
      </c>
      <c r="C78" s="6" t="str">
        <f>IFERROR(__xludf.DUMMYFUNCTION("""COMPUTED_VALUE"""),"AutoAssign-R50")</f>
        <v>AutoAssign-R50</v>
      </c>
      <c r="D78" s="5" t="str">
        <f>IFERROR(__xludf.DUMMYFUNCTION("""COMPUTED_VALUE"""),"mAP@0.5")</f>
        <v>mAP@0.5</v>
      </c>
      <c r="E78" s="5" t="str">
        <f>IFERROR(__xludf.DUMMYFUNCTION("""COMPUTED_VALUE"""),"mAP@0.5")</f>
        <v>mAP@0.5</v>
      </c>
      <c r="F78" s="5">
        <f>IFERROR(__xludf.DUMMYFUNCTION("""COMPUTED_VALUE"""),94.1)</f>
        <v>94.1</v>
      </c>
      <c r="G78" s="5">
        <f>IFERROR(__xludf.DUMMYFUNCTION("""COMPUTED_VALUE"""),14.9)</f>
        <v>14.9</v>
      </c>
    </row>
    <row r="79" ht="15.75" customHeight="1">
      <c r="A79" s="5" t="str">
        <f>IFERROR(__xludf.DUMMYFUNCTION("""COMPUTED_VALUE"""),"SCOPUS-000295")</f>
        <v>SCOPUS-000295</v>
      </c>
      <c r="B79" s="5" t="str">
        <f>IFERROR(__xludf.DUMMYFUNCTION("""COMPUTED_VALUE"""),"SCOPUS-000295-4")</f>
        <v>SCOPUS-000295-4</v>
      </c>
      <c r="C79" s="6" t="str">
        <f>IFERROR(__xludf.DUMMYFUNCTION("""COMPUTED_VALUE"""),"FreeAnchor-R50")</f>
        <v>FreeAnchor-R50</v>
      </c>
      <c r="D79" s="5" t="str">
        <f>IFERROR(__xludf.DUMMYFUNCTION("""COMPUTED_VALUE"""),"mAP@0.5")</f>
        <v>mAP@0.5</v>
      </c>
      <c r="E79" s="5" t="str">
        <f>IFERROR(__xludf.DUMMYFUNCTION("""COMPUTED_VALUE"""),"mAP@0.5")</f>
        <v>mAP@0.5</v>
      </c>
      <c r="F79" s="5">
        <f>IFERROR(__xludf.DUMMYFUNCTION("""COMPUTED_VALUE"""),94.5)</f>
        <v>94.5</v>
      </c>
      <c r="G79" s="5">
        <f>IFERROR(__xludf.DUMMYFUNCTION("""COMPUTED_VALUE"""),15.3)</f>
        <v>15.3</v>
      </c>
    </row>
    <row r="80" ht="15.75" customHeight="1">
      <c r="A80" s="5" t="str">
        <f>IFERROR(__xludf.DUMMYFUNCTION("""COMPUTED_VALUE"""),"SCOPUS-000295")</f>
        <v>SCOPUS-000295</v>
      </c>
      <c r="B80" s="5" t="str">
        <f>IFERROR(__xludf.DUMMYFUNCTION("""COMPUTED_VALUE"""),"SCOPUS-000295-5")</f>
        <v>SCOPUS-000295-5</v>
      </c>
      <c r="C80" s="6" t="str">
        <f>IFERROR(__xludf.DUMMYFUNCTION("""COMPUTED_VALUE"""),"Grid R-CNN")</f>
        <v>Grid R-CNN</v>
      </c>
      <c r="D80" s="5" t="str">
        <f>IFERROR(__xludf.DUMMYFUNCTION("""COMPUTED_VALUE"""),"mAP@0.5")</f>
        <v>mAP@0.5</v>
      </c>
      <c r="E80" s="5" t="str">
        <f>IFERROR(__xludf.DUMMYFUNCTION("""COMPUTED_VALUE"""),"mAP@0.5")</f>
        <v>mAP@0.5</v>
      </c>
      <c r="F80" s="5">
        <f>IFERROR(__xludf.DUMMYFUNCTION("""COMPUTED_VALUE"""),94.9)</f>
        <v>94.9</v>
      </c>
      <c r="G80" s="5">
        <f>IFERROR(__xludf.DUMMYFUNCTION("""COMPUTED_VALUE"""),15.7)</f>
        <v>15.7</v>
      </c>
    </row>
    <row r="81" ht="15.75" customHeight="1">
      <c r="A81" s="5" t="str">
        <f>IFERROR(__xludf.DUMMYFUNCTION("""COMPUTED_VALUE"""),"SCOPUS-000295")</f>
        <v>SCOPUS-000295</v>
      </c>
      <c r="B81" s="5" t="str">
        <f>IFERROR(__xludf.DUMMYFUNCTION("""COMPUTED_VALUE"""),"SCOPUS-000295-6")</f>
        <v>SCOPUS-000295-6</v>
      </c>
      <c r="C81" s="6" t="str">
        <f>IFERROR(__xludf.DUMMYFUNCTION("""COMPUTED_VALUE"""),"GFL")</f>
        <v>GFL</v>
      </c>
      <c r="D81" s="5" t="str">
        <f>IFERROR(__xludf.DUMMYFUNCTION("""COMPUTED_VALUE"""),"mAP@0.5")</f>
        <v>mAP@0.5</v>
      </c>
      <c r="E81" s="5" t="str">
        <f>IFERROR(__xludf.DUMMYFUNCTION("""COMPUTED_VALUE"""),"mAP@0.5")</f>
        <v>mAP@0.5</v>
      </c>
      <c r="F81" s="5">
        <f>IFERROR(__xludf.DUMMYFUNCTION("""COMPUTED_VALUE"""),95.1)</f>
        <v>95.1</v>
      </c>
      <c r="G81" s="5">
        <f>IFERROR(__xludf.DUMMYFUNCTION("""COMPUTED_VALUE"""),15.9)</f>
        <v>15.9</v>
      </c>
    </row>
    <row r="82" ht="15.75" customHeight="1">
      <c r="A82" s="5" t="str">
        <f>IFERROR(__xludf.DUMMYFUNCTION("""COMPUTED_VALUE"""),"SCOPUS-000295")</f>
        <v>SCOPUS-000295</v>
      </c>
      <c r="B82" s="5" t="str">
        <f>IFERROR(__xludf.DUMMYFUNCTION("""COMPUTED_VALUE"""),"SCOPUS-000295-7")</f>
        <v>SCOPUS-000295-7</v>
      </c>
      <c r="C82" s="6" t="str">
        <f>IFERROR(__xludf.DUMMYFUNCTION("""COMPUTED_VALUE"""),"TOOD-R50")</f>
        <v>TOOD-R50</v>
      </c>
      <c r="D82" s="5" t="str">
        <f>IFERROR(__xludf.DUMMYFUNCTION("""COMPUTED_VALUE"""),"mAP@0.5")</f>
        <v>mAP@0.5</v>
      </c>
      <c r="E82" s="5" t="str">
        <f>IFERROR(__xludf.DUMMYFUNCTION("""COMPUTED_VALUE"""),"mAP@0.5")</f>
        <v>mAP@0.5</v>
      </c>
      <c r="F82" s="5">
        <f>IFERROR(__xludf.DUMMYFUNCTION("""COMPUTED_VALUE"""),95.1)</f>
        <v>95.1</v>
      </c>
      <c r="G82" s="5">
        <f>IFERROR(__xludf.DUMMYFUNCTION("""COMPUTED_VALUE"""),15.9)</f>
        <v>15.9</v>
      </c>
    </row>
    <row r="83" ht="15.75" customHeight="1">
      <c r="A83" s="5" t="str">
        <f>IFERROR(__xludf.DUMMYFUNCTION("""COMPUTED_VALUE"""),"SCOPUS-000295")</f>
        <v>SCOPUS-000295</v>
      </c>
      <c r="B83" s="5" t="str">
        <f>IFERROR(__xludf.DUMMYFUNCTION("""COMPUTED_VALUE"""),"SCOPUS-000295-8")</f>
        <v>SCOPUS-000295-8</v>
      </c>
      <c r="C83" s="6" t="str">
        <f>IFERROR(__xludf.DUMMYFUNCTION("""COMPUTED_VALUE"""),"ATSS-R50")</f>
        <v>ATSS-R50</v>
      </c>
      <c r="D83" s="5" t="str">
        <f>IFERROR(__xludf.DUMMYFUNCTION("""COMPUTED_VALUE"""),"mAP@0.5")</f>
        <v>mAP@0.5</v>
      </c>
      <c r="E83" s="5" t="str">
        <f>IFERROR(__xludf.DUMMYFUNCTION("""COMPUTED_VALUE"""),"mAP@0.5")</f>
        <v>mAP@0.5</v>
      </c>
      <c r="F83" s="5">
        <f>IFERROR(__xludf.DUMMYFUNCTION("""COMPUTED_VALUE"""),95.4)</f>
        <v>95.4</v>
      </c>
      <c r="G83" s="5">
        <f>IFERROR(__xludf.DUMMYFUNCTION("""COMPUTED_VALUE"""),16.2)</f>
        <v>16.2</v>
      </c>
    </row>
    <row r="84" ht="15.75" customHeight="1">
      <c r="A84" s="5" t="str">
        <f>IFERROR(__xludf.DUMMYFUNCTION("""COMPUTED_VALUE"""),"SCOPUS-000295")</f>
        <v>SCOPUS-000295</v>
      </c>
      <c r="B84" s="5" t="str">
        <f>IFERROR(__xludf.DUMMYFUNCTION("""COMPUTED_VALUE"""),"SCOPUS-000295-9")</f>
        <v>SCOPUS-000295-9</v>
      </c>
      <c r="C84" s="6" t="str">
        <f>IFERROR(__xludf.DUMMYFUNCTION("""COMPUTED_VALUE"""),"FSAF")</f>
        <v>FSAF</v>
      </c>
      <c r="D84" s="5" t="str">
        <f>IFERROR(__xludf.DUMMYFUNCTION("""COMPUTED_VALUE"""),"mAP@0.5")</f>
        <v>mAP@0.5</v>
      </c>
      <c r="E84" s="5" t="str">
        <f>IFERROR(__xludf.DUMMYFUNCTION("""COMPUTED_VALUE"""),"mAP@0.5")</f>
        <v>mAP@0.5</v>
      </c>
      <c r="F84" s="5">
        <f>IFERROR(__xludf.DUMMYFUNCTION("""COMPUTED_VALUE"""),95.8)</f>
        <v>95.8</v>
      </c>
      <c r="G84" s="5">
        <f>IFERROR(__xludf.DUMMYFUNCTION("""COMPUTED_VALUE"""),16.6)</f>
        <v>16.6</v>
      </c>
    </row>
    <row r="85" ht="15.75" customHeight="1">
      <c r="A85" s="5" t="str">
        <f>IFERROR(__xludf.DUMMYFUNCTION("""COMPUTED_VALUE"""),"SCOPUS-000295")</f>
        <v>SCOPUS-000295</v>
      </c>
      <c r="B85" s="5" t="str">
        <f>IFERROR(__xludf.DUMMYFUNCTION("""COMPUTED_VALUE"""),"SCOPUS-000295-10")</f>
        <v>SCOPUS-000295-10</v>
      </c>
      <c r="C85" s="6" t="str">
        <f>IFERROR(__xludf.DUMMYFUNCTION("""COMPUTED_VALUE"""),"Cascade R-CNN-R50-FPN")</f>
        <v>Cascade R-CNN-R50-FPN</v>
      </c>
      <c r="D85" s="5" t="str">
        <f>IFERROR(__xludf.DUMMYFUNCTION("""COMPUTED_VALUE"""),"mAP@0.5")</f>
        <v>mAP@0.5</v>
      </c>
      <c r="E85" s="5" t="str">
        <f>IFERROR(__xludf.DUMMYFUNCTION("""COMPUTED_VALUE"""),"mAP@0.5")</f>
        <v>mAP@0.5</v>
      </c>
      <c r="F85" s="5">
        <f>IFERROR(__xludf.DUMMYFUNCTION("""COMPUTED_VALUE"""),96.0)</f>
        <v>96</v>
      </c>
      <c r="G85" s="5">
        <f>IFERROR(__xludf.DUMMYFUNCTION("""COMPUTED_VALUE"""),16.8)</f>
        <v>16.8</v>
      </c>
    </row>
    <row r="86" ht="15.75" customHeight="1">
      <c r="A86" s="5" t="str">
        <f>IFERROR(__xludf.DUMMYFUNCTION("""COMPUTED_VALUE"""),"SCOPUS-000295")</f>
        <v>SCOPUS-000295</v>
      </c>
      <c r="B86" s="5" t="str">
        <f>IFERROR(__xludf.DUMMYFUNCTION("""COMPUTED_VALUE"""),"SCOPUS-000295-11")</f>
        <v>SCOPUS-000295-11</v>
      </c>
      <c r="C86" s="6" t="str">
        <f>IFERROR(__xludf.DUMMYFUNCTION("""COMPUTED_VALUE"""),"Faster R-CNN-R50-FPN-CIOU")</f>
        <v>Faster R-CNN-R50-FPN-CIOU</v>
      </c>
      <c r="D86" s="5" t="str">
        <f>IFERROR(__xludf.DUMMYFUNCTION("""COMPUTED_VALUE"""),"mAP@0.5")</f>
        <v>mAP@0.5</v>
      </c>
      <c r="E86" s="5" t="str">
        <f>IFERROR(__xludf.DUMMYFUNCTION("""COMPUTED_VALUE"""),"mAP@0.5")</f>
        <v>mAP@0.5</v>
      </c>
      <c r="F86" s="5">
        <f>IFERROR(__xludf.DUMMYFUNCTION("""COMPUTED_VALUE"""),96.5)</f>
        <v>96.5</v>
      </c>
      <c r="G86" s="5">
        <f>IFERROR(__xludf.DUMMYFUNCTION("""COMPUTED_VALUE"""),17.3)</f>
        <v>17.3</v>
      </c>
    </row>
    <row r="87" ht="15.75" customHeight="1">
      <c r="A87" s="5" t="str">
        <f>IFERROR(__xludf.DUMMYFUNCTION("""COMPUTED_VALUE"""),"SCOPUS-000295")</f>
        <v>SCOPUS-000295</v>
      </c>
      <c r="B87" s="5" t="str">
        <f>IFERROR(__xludf.DUMMYFUNCTION("""COMPUTED_VALUE"""),"SCOPUS-000295-12")</f>
        <v>SCOPUS-000295-12</v>
      </c>
      <c r="C87" s="6" t="str">
        <f>IFERROR(__xludf.DUMMYFUNCTION("""COMPUTED_VALUE"""),"YOLOv9t")</f>
        <v>YOLOv9t</v>
      </c>
      <c r="D87" s="5" t="str">
        <f>IFERROR(__xludf.DUMMYFUNCTION("""COMPUTED_VALUE"""),"mAP@0.5")</f>
        <v>mAP@0.5</v>
      </c>
      <c r="E87" s="5" t="str">
        <f>IFERROR(__xludf.DUMMYFUNCTION("""COMPUTED_VALUE"""),"mAP@0.5")</f>
        <v>mAP@0.5</v>
      </c>
      <c r="F87" s="5">
        <f>IFERROR(__xludf.DUMMYFUNCTION("""COMPUTED_VALUE"""),97.9)</f>
        <v>97.9</v>
      </c>
      <c r="G87" s="5">
        <f>IFERROR(__xludf.DUMMYFUNCTION("""COMPUTED_VALUE"""),18.7)</f>
        <v>18.7</v>
      </c>
    </row>
    <row r="88" ht="15.75" customHeight="1">
      <c r="A88" s="5" t="str">
        <f>IFERROR(__xludf.DUMMYFUNCTION("""COMPUTED_VALUE"""),"SCOPUS-000295")</f>
        <v>SCOPUS-000295</v>
      </c>
      <c r="B88" s="5" t="str">
        <f>IFERROR(__xludf.DUMMYFUNCTION("""COMPUTED_VALUE"""),"SCOPUS-000295-2")</f>
        <v>SCOPUS-000295-2</v>
      </c>
      <c r="C88" s="6" t="str">
        <f>IFERROR(__xludf.DUMMYFUNCTION("""COMPUTED_VALUE"""),"CD-YOLOv10")</f>
        <v>CD-YOLOv10</v>
      </c>
      <c r="D88" s="5" t="str">
        <f>IFERROR(__xludf.DUMMYFUNCTION("""COMPUTED_VALUE"""),"mAP@0.5")</f>
        <v>mAP@0.5</v>
      </c>
      <c r="E88" s="5" t="str">
        <f>IFERROR(__xludf.DUMMYFUNCTION("""COMPUTED_VALUE"""),"mAP@0.5")</f>
        <v>mAP@0.5</v>
      </c>
      <c r="F88" s="5">
        <f>IFERROR(__xludf.DUMMYFUNCTION("""COMPUTED_VALUE"""),98.1)</f>
        <v>98.1</v>
      </c>
      <c r="G88" s="5">
        <f>IFERROR(__xludf.DUMMYFUNCTION("""COMPUTED_VALUE"""),1.2)</f>
        <v>1.2</v>
      </c>
    </row>
    <row r="89" ht="15.75" customHeight="1">
      <c r="A89" s="5" t="str">
        <f>IFERROR(__xludf.DUMMYFUNCTION("""COMPUTED_VALUE"""),"SCOPUS-000295")</f>
        <v>SCOPUS-000295</v>
      </c>
      <c r="B89" s="5" t="str">
        <f>IFERROR(__xludf.DUMMYFUNCTION("""COMPUTED_VALUE"""),"SCOPUS-000295-14")</f>
        <v>SCOPUS-000295-14</v>
      </c>
      <c r="C89" s="6" t="str">
        <f>IFERROR(__xludf.DUMMYFUNCTION("""COMPUTED_VALUE"""),"YOLOX-Tiny")</f>
        <v>YOLOX-Tiny</v>
      </c>
      <c r="D89" s="5" t="str">
        <f>IFERROR(__xludf.DUMMYFUNCTION("""COMPUTED_VALUE"""),"mAP@0.5")</f>
        <v>mAP@0.5</v>
      </c>
      <c r="E89" s="5" t="str">
        <f>IFERROR(__xludf.DUMMYFUNCTION("""COMPUTED_VALUE"""),"mAP@0.5")</f>
        <v>mAP@0.5</v>
      </c>
      <c r="F89" s="5">
        <f>IFERROR(__xludf.DUMMYFUNCTION("""COMPUTED_VALUE"""),98.2)</f>
        <v>98.2</v>
      </c>
      <c r="G89" s="5">
        <f>IFERROR(__xludf.DUMMYFUNCTION("""COMPUTED_VALUE"""),19.0)</f>
        <v>19</v>
      </c>
    </row>
    <row r="90" ht="15.75" customHeight="1">
      <c r="A90" s="5" t="str">
        <f>IFERROR(__xludf.DUMMYFUNCTION("""COMPUTED_VALUE"""),"SCOPUS-000295")</f>
        <v>SCOPUS-000295</v>
      </c>
      <c r="B90" s="5" t="str">
        <f>IFERROR(__xludf.DUMMYFUNCTION("""COMPUTED_VALUE"""),"SCOPUS-000295-15")</f>
        <v>SCOPUS-000295-15</v>
      </c>
      <c r="C90" s="6" t="str">
        <f>IFERROR(__xludf.DUMMYFUNCTION("""COMPUTED_VALUE"""),"RT-DETR-R18")</f>
        <v>RT-DETR-R18</v>
      </c>
      <c r="D90" s="5" t="str">
        <f>IFERROR(__xludf.DUMMYFUNCTION("""COMPUTED_VALUE"""),"mAP@0.5")</f>
        <v>mAP@0.5</v>
      </c>
      <c r="E90" s="5" t="str">
        <f>IFERROR(__xludf.DUMMYFUNCTION("""COMPUTED_VALUE"""),"mAP@0.5")</f>
        <v>mAP@0.5</v>
      </c>
      <c r="F90" s="5">
        <f>IFERROR(__xludf.DUMMYFUNCTION("""COMPUTED_VALUE"""),98.2)</f>
        <v>98.2</v>
      </c>
      <c r="G90" s="5">
        <f>IFERROR(__xludf.DUMMYFUNCTION("""COMPUTED_VALUE"""),19.0)</f>
        <v>19</v>
      </c>
    </row>
    <row r="91" ht="15.75" customHeight="1">
      <c r="A91" s="5" t="str">
        <f>IFERROR(__xludf.DUMMYFUNCTION("""COMPUTED_VALUE"""),"SCOPUS-000611")</f>
        <v>SCOPUS-000611</v>
      </c>
      <c r="B91" s="5" t="str">
        <f>IFERROR(__xludf.DUMMYFUNCTION("""COMPUTED_VALUE"""),"SCOPUS-000611-1")</f>
        <v>SCOPUS-000611-1</v>
      </c>
      <c r="C91" s="6" t="str">
        <f>IFERROR(__xludf.DUMMYFUNCTION("""COMPUTED_VALUE"""),"Quantized Model")</f>
        <v>Quantized Model</v>
      </c>
      <c r="D91" s="5" t="str">
        <f>IFERROR(__xludf.DUMMYFUNCTION("""COMPUTED_VALUE"""),"Accuracy")</f>
        <v>Accuracy</v>
      </c>
      <c r="E91" s="5" t="str">
        <f>IFERROR(__xludf.DUMMYFUNCTION("""COMPUTED_VALUE"""),"Accuracy")</f>
        <v>Accuracy</v>
      </c>
      <c r="F91" s="5">
        <f>IFERROR(__xludf.DUMMYFUNCTION("""COMPUTED_VALUE"""),87.0)</f>
        <v>87</v>
      </c>
      <c r="G91" s="5">
        <f>IFERROR(__xludf.DUMMYFUNCTION("""COMPUTED_VALUE"""),-10.0)</f>
        <v>-10</v>
      </c>
    </row>
    <row r="92" ht="15.75" customHeight="1">
      <c r="A92" s="5" t="str">
        <f>IFERROR(__xludf.DUMMYFUNCTION("""COMPUTED_VALUE"""),"SCOPUS-000738")</f>
        <v>SCOPUS-000738</v>
      </c>
      <c r="B92" s="5" t="str">
        <f>IFERROR(__xludf.DUMMYFUNCTION("""COMPUTED_VALUE"""),"SCOPUS-000738-1")</f>
        <v>SCOPUS-000738-1</v>
      </c>
      <c r="C92" s="6" t="str">
        <f>IFERROR(__xludf.DUMMYFUNCTION("""COMPUTED_VALUE"""),"Unet")</f>
        <v>Unet</v>
      </c>
      <c r="D92" s="5" t="str">
        <f>IFERROR(__xludf.DUMMYFUNCTION("""COMPUTED_VALUE"""),"Accuracy")</f>
        <v>Accuracy</v>
      </c>
      <c r="E92" s="5" t="str">
        <f>IFERROR(__xludf.DUMMYFUNCTION("""COMPUTED_VALUE"""),"Accuracy")</f>
        <v>Accuracy</v>
      </c>
      <c r="F92" s="5">
        <f>IFERROR(__xludf.DUMMYFUNCTION("""COMPUTED_VALUE"""),79.2)</f>
        <v>79.2</v>
      </c>
      <c r="G92" s="5">
        <f>IFERROR(__xludf.DUMMYFUNCTION("""COMPUTED_VALUE"""),2.4)</f>
        <v>2.4</v>
      </c>
    </row>
    <row r="93" ht="15.75" customHeight="1">
      <c r="A93" s="5" t="str">
        <f>IFERROR(__xludf.DUMMYFUNCTION("""COMPUTED_VALUE"""),"SCOPUS-000738")</f>
        <v>SCOPUS-000738</v>
      </c>
      <c r="B93" s="5" t="str">
        <f>IFERROR(__xludf.DUMMYFUNCTION("""COMPUTED_VALUE"""),"SCOPUS-000738-2")</f>
        <v>SCOPUS-000738-2</v>
      </c>
      <c r="C93" s="6" t="str">
        <f>IFERROR(__xludf.DUMMYFUNCTION("""COMPUTED_VALUE"""),"Our Patch based")</f>
        <v>Our Patch based</v>
      </c>
      <c r="D93" s="5" t="str">
        <f>IFERROR(__xludf.DUMMYFUNCTION("""COMPUTED_VALUE"""),"Accuracy")</f>
        <v>Accuracy</v>
      </c>
      <c r="E93" s="5" t="str">
        <f>IFERROR(__xludf.DUMMYFUNCTION("""COMPUTED_VALUE"""),"Accuracy")</f>
        <v>Accuracy</v>
      </c>
      <c r="F93" s="5">
        <f>IFERROR(__xludf.DUMMYFUNCTION("""COMPUTED_VALUE"""),86.3)</f>
        <v>86.3</v>
      </c>
      <c r="G93" s="5">
        <f>IFERROR(__xludf.DUMMYFUNCTION("""COMPUTED_VALUE"""),9.5)</f>
        <v>9.5</v>
      </c>
    </row>
    <row r="94" ht="15.75" customHeight="1">
      <c r="A94" s="5" t="str">
        <f>IFERROR(__xludf.DUMMYFUNCTION("""COMPUTED_VALUE"""),"SCOPUS-000114")</f>
        <v>SCOPUS-000114</v>
      </c>
      <c r="B94" s="5" t="str">
        <f>IFERROR(__xludf.DUMMYFUNCTION("""COMPUTED_VALUE"""),"SCOPUS-000114-1")</f>
        <v>SCOPUS-000114-1</v>
      </c>
      <c r="C94" s="6" t="str">
        <f>IFERROR(__xludf.DUMMYFUNCTION("""COMPUTED_VALUE"""),"Random forest")</f>
        <v>Random forest</v>
      </c>
      <c r="D94" s="5" t="str">
        <f>IFERROR(__xludf.DUMMYFUNCTION("""COMPUTED_VALUE"""),"Accuracy")</f>
        <v>Accuracy</v>
      </c>
      <c r="E94" s="5" t="str">
        <f>IFERROR(__xludf.DUMMYFUNCTION("""COMPUTED_VALUE"""),"Accuracy")</f>
        <v>Accuracy</v>
      </c>
      <c r="F94" s="5">
        <f>IFERROR(__xludf.DUMMYFUNCTION("""COMPUTED_VALUE"""),86.5)</f>
        <v>86.5</v>
      </c>
      <c r="G94" s="5">
        <f>IFERROR(__xludf.DUMMYFUNCTION("""COMPUTED_VALUE"""),1.4)</f>
        <v>1.4</v>
      </c>
    </row>
    <row r="95" ht="15.75" customHeight="1">
      <c r="A95" s="5" t="str">
        <f>IFERROR(__xludf.DUMMYFUNCTION("""COMPUTED_VALUE"""),"SCOPUS-000114")</f>
        <v>SCOPUS-000114</v>
      </c>
      <c r="B95" s="5" t="str">
        <f>IFERROR(__xludf.DUMMYFUNCTION("""COMPUTED_VALUE"""),"SCOPUS-000114-2")</f>
        <v>SCOPUS-000114-2</v>
      </c>
      <c r="C95" s="6" t="str">
        <f>IFERROR(__xludf.DUMMYFUNCTION("""COMPUTED_VALUE"""),"Traditional CNN")</f>
        <v>Traditional CNN</v>
      </c>
      <c r="D95" s="5" t="str">
        <f>IFERROR(__xludf.DUMMYFUNCTION("""COMPUTED_VALUE"""),"Accuracy")</f>
        <v>Accuracy</v>
      </c>
      <c r="E95" s="5" t="str">
        <f>IFERROR(__xludf.DUMMYFUNCTION("""COMPUTED_VALUE"""),"Accuracy")</f>
        <v>Accuracy</v>
      </c>
      <c r="F95" s="5">
        <f>IFERROR(__xludf.DUMMYFUNCTION("""COMPUTED_VALUE"""),89.2)</f>
        <v>89.2</v>
      </c>
      <c r="G95" s="5">
        <f>IFERROR(__xludf.DUMMYFUNCTION("""COMPUTED_VALUE"""),4.1)</f>
        <v>4.1</v>
      </c>
    </row>
    <row r="96" ht="15.75" customHeight="1">
      <c r="A96" s="5" t="str">
        <f>IFERROR(__xludf.DUMMYFUNCTION("""COMPUTED_VALUE"""),"SCOPUS-000114")</f>
        <v>SCOPUS-000114</v>
      </c>
      <c r="B96" s="5" t="str">
        <f>IFERROR(__xludf.DUMMYFUNCTION("""COMPUTED_VALUE"""),"SCOPUS-000114-3")</f>
        <v>SCOPUS-000114-3</v>
      </c>
      <c r="C96" s="6" t="str">
        <f>IFERROR(__xludf.DUMMYFUNCTION("""COMPUTED_VALUE"""),"ResNet-50")</f>
        <v>ResNet-50</v>
      </c>
      <c r="D96" s="5" t="str">
        <f>IFERROR(__xludf.DUMMYFUNCTION("""COMPUTED_VALUE"""),"Accuracy")</f>
        <v>Accuracy</v>
      </c>
      <c r="E96" s="5" t="str">
        <f>IFERROR(__xludf.DUMMYFUNCTION("""COMPUTED_VALUE"""),"Accuracy")</f>
        <v>Accuracy</v>
      </c>
      <c r="F96" s="5">
        <f>IFERROR(__xludf.DUMMYFUNCTION("""COMPUTED_VALUE"""),92.4)</f>
        <v>92.4</v>
      </c>
      <c r="G96" s="5">
        <f>IFERROR(__xludf.DUMMYFUNCTION("""COMPUTED_VALUE"""),7.3)</f>
        <v>7.3</v>
      </c>
    </row>
    <row r="97" ht="15.75" customHeight="1">
      <c r="A97" s="5" t="str">
        <f>IFERROR(__xludf.DUMMYFUNCTION("""COMPUTED_VALUE"""),"SCOPUS-000114")</f>
        <v>SCOPUS-000114</v>
      </c>
      <c r="B97" s="5" t="str">
        <f>IFERROR(__xludf.DUMMYFUNCTION("""COMPUTED_VALUE"""),"SCOPUS-000114-4")</f>
        <v>SCOPUS-000114-4</v>
      </c>
      <c r="C97" s="6" t="str">
        <f>IFERROR(__xludf.DUMMYFUNCTION("""COMPUTED_VALUE"""),"EnviroWeedNet")</f>
        <v>EnviroWeedNet</v>
      </c>
      <c r="D97" s="5" t="str">
        <f>IFERROR(__xludf.DUMMYFUNCTION("""COMPUTED_VALUE"""),"Accuracy")</f>
        <v>Accuracy</v>
      </c>
      <c r="E97" s="5" t="str">
        <f>IFERROR(__xludf.DUMMYFUNCTION("""COMPUTED_VALUE"""),"Accuracy")</f>
        <v>Accuracy</v>
      </c>
      <c r="F97" s="5">
        <f>IFERROR(__xludf.DUMMYFUNCTION("""COMPUTED_VALUE"""),94.5)</f>
        <v>94.5</v>
      </c>
      <c r="G97" s="5">
        <f>IFERROR(__xludf.DUMMYFUNCTION("""COMPUTED_VALUE"""),9.4)</f>
        <v>9.4</v>
      </c>
    </row>
    <row r="98" ht="15.75" customHeight="1">
      <c r="A98" s="5" t="str">
        <f>IFERROR(__xludf.DUMMYFUNCTION("""COMPUTED_VALUE"""),"SCOPUS-000366")</f>
        <v>SCOPUS-000366</v>
      </c>
      <c r="B98" s="5" t="str">
        <f>IFERROR(__xludf.DUMMYFUNCTION("""COMPUTED_VALUE"""),"SCOPUS-000366-1")</f>
        <v>SCOPUS-000366-1</v>
      </c>
      <c r="C98" s="6" t="str">
        <f>IFERROR(__xludf.DUMMYFUNCTION("""COMPUTED_VALUE"""),"HOG")</f>
        <v>HOG</v>
      </c>
      <c r="D98" s="5" t="str">
        <f>IFERROR(__xludf.DUMMYFUNCTION("""COMPUTED_VALUE"""),"Accuracy")</f>
        <v>Accuracy</v>
      </c>
      <c r="E98" s="5" t="str">
        <f>IFERROR(__xludf.DUMMYFUNCTION("""COMPUTED_VALUE"""),"Accuracy")</f>
        <v>Accuracy</v>
      </c>
      <c r="F98" s="5">
        <f>IFERROR(__xludf.DUMMYFUNCTION("""COMPUTED_VALUE"""),86.0)</f>
        <v>86</v>
      </c>
      <c r="G98" s="5">
        <f>IFERROR(__xludf.DUMMYFUNCTION("""COMPUTED_VALUE"""),26.0)</f>
        <v>26</v>
      </c>
    </row>
    <row r="99" ht="15.75" customHeight="1">
      <c r="A99" s="5" t="str">
        <f>IFERROR(__xludf.DUMMYFUNCTION("""COMPUTED_VALUE"""),"SCOPUS-000366")</f>
        <v>SCOPUS-000366</v>
      </c>
      <c r="B99" s="5" t="str">
        <f>IFERROR(__xludf.DUMMYFUNCTION("""COMPUTED_VALUE"""),"SCOPUS-000366-2")</f>
        <v>SCOPUS-000366-2</v>
      </c>
      <c r="C99" s="6" t="str">
        <f>IFERROR(__xludf.DUMMYFUNCTION("""COMPUTED_VALUE"""),"MobileNet")</f>
        <v>MobileNet</v>
      </c>
      <c r="D99" s="5" t="str">
        <f>IFERROR(__xludf.DUMMYFUNCTION("""COMPUTED_VALUE"""),"Accuracy")</f>
        <v>Accuracy</v>
      </c>
      <c r="E99" s="5" t="str">
        <f>IFERROR(__xludf.DUMMYFUNCTION("""COMPUTED_VALUE"""),"Accuracy")</f>
        <v>Accuracy</v>
      </c>
      <c r="F99" s="5">
        <f>IFERROR(__xludf.DUMMYFUNCTION("""COMPUTED_VALUE"""),88.0)</f>
        <v>88</v>
      </c>
      <c r="G99" s="5">
        <f>IFERROR(__xludf.DUMMYFUNCTION("""COMPUTED_VALUE"""),28.0)</f>
        <v>28</v>
      </c>
    </row>
    <row r="100" ht="15.75" customHeight="1">
      <c r="A100" s="5" t="str">
        <f>IFERROR(__xludf.DUMMYFUNCTION("""COMPUTED_VALUE"""),"SCOPUS-000366")</f>
        <v>SCOPUS-000366</v>
      </c>
      <c r="B100" s="5" t="str">
        <f>IFERROR(__xludf.DUMMYFUNCTION("""COMPUTED_VALUE"""),"SCOPUS-000366-3")</f>
        <v>SCOPUS-000366-3</v>
      </c>
      <c r="C100" s="6" t="str">
        <f>IFERROR(__xludf.DUMMYFUNCTION("""COMPUTED_VALUE"""),"MobileNetV2")</f>
        <v>MobileNetV2</v>
      </c>
      <c r="D100" s="5" t="str">
        <f>IFERROR(__xludf.DUMMYFUNCTION("""COMPUTED_VALUE"""),"Accuracy")</f>
        <v>Accuracy</v>
      </c>
      <c r="E100" s="5" t="str">
        <f>IFERROR(__xludf.DUMMYFUNCTION("""COMPUTED_VALUE"""),"Accuracy")</f>
        <v>Accuracy</v>
      </c>
      <c r="F100" s="5">
        <f>IFERROR(__xludf.DUMMYFUNCTION("""COMPUTED_VALUE"""),95.0)</f>
        <v>95</v>
      </c>
      <c r="G100" s="5">
        <f>IFERROR(__xludf.DUMMYFUNCTION("""COMPUTED_VALUE"""),35.0)</f>
        <v>35</v>
      </c>
    </row>
    <row r="101" ht="15.75" customHeight="1">
      <c r="A101" s="5" t="str">
        <f>IFERROR(__xludf.DUMMYFUNCTION("""COMPUTED_VALUE"""),"SCOPUS-000283")</f>
        <v>SCOPUS-000283</v>
      </c>
      <c r="B101" s="5" t="str">
        <f>IFERROR(__xludf.DUMMYFUNCTION("""COMPUTED_VALUE"""),"SCOPUS-000283-1")</f>
        <v>SCOPUS-000283-1</v>
      </c>
      <c r="C101" s="6" t="str">
        <f>IFERROR(__xludf.DUMMYFUNCTION("""COMPUTED_VALUE"""),"YOLOv8")</f>
        <v>YOLOv8</v>
      </c>
      <c r="D101" s="5" t="str">
        <f>IFERROR(__xludf.DUMMYFUNCTION("""COMPUTED_VALUE"""),"mAP@0.5")</f>
        <v>mAP@0.5</v>
      </c>
      <c r="E101" s="5" t="str">
        <f>IFERROR(__xludf.DUMMYFUNCTION("""COMPUTED_VALUE"""),"mAP@0.5")</f>
        <v>mAP@0.5</v>
      </c>
      <c r="F101" s="5">
        <f>IFERROR(__xludf.DUMMYFUNCTION("""COMPUTED_VALUE"""),83.9)</f>
        <v>83.9</v>
      </c>
      <c r="G101" s="5">
        <f>IFERROR(__xludf.DUMMYFUNCTION("""COMPUTED_VALUE"""),3.2)</f>
        <v>3.2</v>
      </c>
    </row>
    <row r="102" ht="15.75" customHeight="1">
      <c r="A102" s="5" t="str">
        <f>IFERROR(__xludf.DUMMYFUNCTION("""COMPUTED_VALUE"""),"SCOPUS-000283")</f>
        <v>SCOPUS-000283</v>
      </c>
      <c r="B102" s="5" t="str">
        <f>IFERROR(__xludf.DUMMYFUNCTION("""COMPUTED_VALUE"""),"SCOPUS-000283-2")</f>
        <v>SCOPUS-000283-2</v>
      </c>
      <c r="C102" s="6" t="str">
        <f>IFERROR(__xludf.DUMMYFUNCTION("""COMPUTED_VALUE"""),"Faster R-CNN")</f>
        <v>Faster R-CNN</v>
      </c>
      <c r="D102" s="5" t="str">
        <f>IFERROR(__xludf.DUMMYFUNCTION("""COMPUTED_VALUE"""),"mAP@0.5")</f>
        <v>mAP@0.5</v>
      </c>
      <c r="E102" s="5" t="str">
        <f>IFERROR(__xludf.DUMMYFUNCTION("""COMPUTED_VALUE"""),"mAP@0.5")</f>
        <v>mAP@0.5</v>
      </c>
      <c r="F102" s="5">
        <f>IFERROR(__xludf.DUMMYFUNCTION("""COMPUTED_VALUE"""),85.3)</f>
        <v>85.3</v>
      </c>
      <c r="G102" s="5">
        <f>IFERROR(__xludf.DUMMYFUNCTION("""COMPUTED_VALUE"""),4.6)</f>
        <v>4.6</v>
      </c>
    </row>
    <row r="103" ht="15.75" customHeight="1">
      <c r="A103" s="5" t="str">
        <f>IFERROR(__xludf.DUMMYFUNCTION("""COMPUTED_VALUE"""),"SCOPUS-000283")</f>
        <v>SCOPUS-000283</v>
      </c>
      <c r="B103" s="5" t="str">
        <f>IFERROR(__xludf.DUMMYFUNCTION("""COMPUTED_VALUE"""),"SCOPUS-000283-2")</f>
        <v>SCOPUS-000283-2</v>
      </c>
      <c r="C103" s="6" t="str">
        <f>IFERROR(__xludf.DUMMYFUNCTION("""COMPUTED_VALUE"""),"YOLOv11-SNEW")</f>
        <v>YOLOv11-SNEW</v>
      </c>
      <c r="D103" s="5" t="str">
        <f>IFERROR(__xludf.DUMMYFUNCTION("""COMPUTED_VALUE"""),"mAP@0.5")</f>
        <v>mAP@0.5</v>
      </c>
      <c r="E103" s="5" t="str">
        <f>IFERROR(__xludf.DUMMYFUNCTION("""COMPUTED_VALUE"""),"mAP@0.5")</f>
        <v>mAP@0.5</v>
      </c>
      <c r="F103" s="5">
        <f>IFERROR(__xludf.DUMMYFUNCTION("""COMPUTED_VALUE"""),91.4)</f>
        <v>91.4</v>
      </c>
      <c r="G103" s="5">
        <f>IFERROR(__xludf.DUMMYFUNCTION("""COMPUTED_VALUE"""),5.2)</f>
        <v>5.2</v>
      </c>
    </row>
    <row r="104" ht="15.75" customHeight="1">
      <c r="A104" s="5" t="str">
        <f>IFERROR(__xludf.DUMMYFUNCTION("""COMPUTED_VALUE"""),"SCOPUS-000276")</f>
        <v>SCOPUS-000276</v>
      </c>
      <c r="B104" s="5" t="str">
        <f>IFERROR(__xludf.DUMMYFUNCTION("""COMPUTED_VALUE"""),"SCOPUS-000276-1")</f>
        <v>SCOPUS-000276-1</v>
      </c>
      <c r="C104" s="6" t="str">
        <f>IFERROR(__xludf.DUMMYFUNCTION("""COMPUTED_VALUE"""),"FEAT")</f>
        <v>FEAT</v>
      </c>
      <c r="D104" s="5" t="str">
        <f>IFERROR(__xludf.DUMMYFUNCTION("""COMPUTED_VALUE"""),"Accuracy")</f>
        <v>Accuracy</v>
      </c>
      <c r="E104" s="5" t="str">
        <f>IFERROR(__xludf.DUMMYFUNCTION("""COMPUTED_VALUE"""),"Accuracy")</f>
        <v>Accuracy</v>
      </c>
      <c r="F104" s="5">
        <f>IFERROR(__xludf.DUMMYFUNCTION("""COMPUTED_VALUE"""),63.1)</f>
        <v>63.1</v>
      </c>
      <c r="G104" s="5">
        <f>IFERROR(__xludf.DUMMYFUNCTION("""COMPUTED_VALUE"""),1.5)</f>
        <v>1.5</v>
      </c>
    </row>
    <row r="105" ht="15.75" customHeight="1">
      <c r="A105" s="5" t="str">
        <f>IFERROR(__xludf.DUMMYFUNCTION("""COMPUTED_VALUE"""),"SCOPUS-000276")</f>
        <v>SCOPUS-000276</v>
      </c>
      <c r="B105" s="5" t="str">
        <f>IFERROR(__xludf.DUMMYFUNCTION("""COMPUTED_VALUE"""),"SCOPUS-000276-2")</f>
        <v>SCOPUS-000276-2</v>
      </c>
      <c r="C105" s="6" t="str">
        <f>IFERROR(__xludf.DUMMYFUNCTION("""COMPUTED_VALUE"""),"ProtoNet")</f>
        <v>ProtoNet</v>
      </c>
      <c r="D105" s="5" t="str">
        <f>IFERROR(__xludf.DUMMYFUNCTION("""COMPUTED_VALUE"""),"Accuracy")</f>
        <v>Accuracy</v>
      </c>
      <c r="E105" s="5" t="str">
        <f>IFERROR(__xludf.DUMMYFUNCTION("""COMPUTED_VALUE"""),"Accuracy")</f>
        <v>Accuracy</v>
      </c>
      <c r="F105" s="5">
        <f>IFERROR(__xludf.DUMMYFUNCTION("""COMPUTED_VALUE"""),65.6)</f>
        <v>65.6</v>
      </c>
      <c r="G105" s="5">
        <f>IFERROR(__xludf.DUMMYFUNCTION("""COMPUTED_VALUE"""),4.0)</f>
        <v>4</v>
      </c>
    </row>
    <row r="106" ht="15.75" customHeight="1">
      <c r="A106" s="5" t="str">
        <f>IFERROR(__xludf.DUMMYFUNCTION("""COMPUTED_VALUE"""),"SCOPUS-000276")</f>
        <v>SCOPUS-000276</v>
      </c>
      <c r="B106" s="5" t="str">
        <f>IFERROR(__xludf.DUMMYFUNCTION("""COMPUTED_VALUE"""),"SCOPUS-000276-3")</f>
        <v>SCOPUS-000276-3</v>
      </c>
      <c r="C106" s="6" t="str">
        <f>IFERROR(__xludf.DUMMYFUNCTION("""COMPUTED_VALUE"""),"HAPN")</f>
        <v>HAPN</v>
      </c>
      <c r="D106" s="5" t="str">
        <f>IFERROR(__xludf.DUMMYFUNCTION("""COMPUTED_VALUE"""),"Accuracy")</f>
        <v>Accuracy</v>
      </c>
      <c r="E106" s="5" t="str">
        <f>IFERROR(__xludf.DUMMYFUNCTION("""COMPUTED_VALUE"""),"Accuracy")</f>
        <v>Accuracy</v>
      </c>
      <c r="F106" s="5">
        <f>IFERROR(__xludf.DUMMYFUNCTION("""COMPUTED_VALUE"""),96.53)</f>
        <v>96.53</v>
      </c>
      <c r="G106" s="5">
        <f>IFERROR(__xludf.DUMMYFUNCTION("""COMPUTED_VALUE"""),34.9)</f>
        <v>34.9</v>
      </c>
    </row>
    <row r="107" ht="15.75" customHeight="1">
      <c r="A107" s="5" t="str">
        <f>IFERROR(__xludf.DUMMYFUNCTION("""COMPUTED_VALUE"""),"SCOPUS-000246")</f>
        <v>SCOPUS-000246</v>
      </c>
      <c r="B107" s="5" t="str">
        <f>IFERROR(__xludf.DUMMYFUNCTION("""COMPUTED_VALUE"""),"SCOPUS-000246-1")</f>
        <v>SCOPUS-000246-1</v>
      </c>
      <c r="C107" s="6" t="str">
        <f>IFERROR(__xludf.DUMMYFUNCTION("""COMPUTED_VALUE"""),"Ours")</f>
        <v>Ours</v>
      </c>
      <c r="D107" s="5" t="str">
        <f>IFERROR(__xludf.DUMMYFUNCTION("""COMPUTED_VALUE"""),"mIoU")</f>
        <v>mIoU</v>
      </c>
      <c r="E107" s="5" t="str">
        <f>IFERROR(__xludf.DUMMYFUNCTION("""COMPUTED_VALUE"""),"mIoU")</f>
        <v>mIoU</v>
      </c>
      <c r="F107" s="5">
        <f>IFERROR(__xludf.DUMMYFUNCTION("""COMPUTED_VALUE"""),39.66)</f>
        <v>39.66</v>
      </c>
      <c r="G107" s="5">
        <f>IFERROR(__xludf.DUMMYFUNCTION("""COMPUTED_VALUE"""),27.8)</f>
        <v>27.8</v>
      </c>
    </row>
    <row r="108" ht="15.75" customHeight="1">
      <c r="A108" s="5" t="str">
        <f>IFERROR(__xludf.DUMMYFUNCTION("""COMPUTED_VALUE"""),"SCOPUS-000599")</f>
        <v>SCOPUS-000599</v>
      </c>
      <c r="B108" s="5" t="str">
        <f>IFERROR(__xludf.DUMMYFUNCTION("""COMPUTED_VALUE"""),"SCOPUS-000599-1")</f>
        <v>SCOPUS-000599-1</v>
      </c>
      <c r="C108" s="6" t="str">
        <f>IFERROR(__xludf.DUMMYFUNCTION("""COMPUTED_VALUE"""),"VGG16")</f>
        <v>VGG16</v>
      </c>
      <c r="D108" s="5" t="str">
        <f>IFERROR(__xludf.DUMMYFUNCTION("""COMPUTED_VALUE"""),"Accuracy")</f>
        <v>Accuracy</v>
      </c>
      <c r="E108" s="5" t="str">
        <f>IFERROR(__xludf.DUMMYFUNCTION("""COMPUTED_VALUE"""),"Accuracy")</f>
        <v>Accuracy</v>
      </c>
      <c r="F108" s="5">
        <f>IFERROR(__xludf.DUMMYFUNCTION("""COMPUTED_VALUE"""),96.0)</f>
        <v>96</v>
      </c>
      <c r="G108" s="5">
        <f>IFERROR(__xludf.DUMMYFUNCTION("""COMPUTED_VALUE"""),22.0)</f>
        <v>22</v>
      </c>
    </row>
    <row r="109" ht="15.75" customHeight="1">
      <c r="A109" s="5" t="str">
        <f>IFERROR(__xludf.DUMMYFUNCTION("""COMPUTED_VALUE"""),"SCOPUS-000599")</f>
        <v>SCOPUS-000599</v>
      </c>
      <c r="B109" s="5" t="str">
        <f>IFERROR(__xludf.DUMMYFUNCTION("""COMPUTED_VALUE"""),"SCOPUS-000599-2")</f>
        <v>SCOPUS-000599-2</v>
      </c>
      <c r="C109" s="6" t="str">
        <f>IFERROR(__xludf.DUMMYFUNCTION("""COMPUTED_VALUE"""),"VGG16 BN")</f>
        <v>VGG16 BN</v>
      </c>
      <c r="D109" s="5" t="str">
        <f>IFERROR(__xludf.DUMMYFUNCTION("""COMPUTED_VALUE"""),"Accuracy")</f>
        <v>Accuracy</v>
      </c>
      <c r="E109" s="5" t="str">
        <f>IFERROR(__xludf.DUMMYFUNCTION("""COMPUTED_VALUE"""),"Accuracy")</f>
        <v>Accuracy</v>
      </c>
      <c r="F109" s="5">
        <f>IFERROR(__xludf.DUMMYFUNCTION("""COMPUTED_VALUE"""),98.0)</f>
        <v>98</v>
      </c>
      <c r="G109" s="5">
        <f>IFERROR(__xludf.DUMMYFUNCTION("""COMPUTED_VALUE"""),24.0)</f>
        <v>24</v>
      </c>
    </row>
    <row r="110" ht="15.75" customHeight="1">
      <c r="A110" s="5" t="str">
        <f>IFERROR(__xludf.DUMMYFUNCTION("""COMPUTED_VALUE"""),"SCOPUS-000280")</f>
        <v>SCOPUS-000280</v>
      </c>
      <c r="B110" s="5" t="str">
        <f>IFERROR(__xludf.DUMMYFUNCTION("""COMPUTED_VALUE"""),"SCOPUS-000280-1")</f>
        <v>SCOPUS-000280-1</v>
      </c>
      <c r="C110" s="6" t="str">
        <f>IFERROR(__xludf.DUMMYFUNCTION("""COMPUTED_VALUE"""),"RT-DETR")</f>
        <v>RT-DETR</v>
      </c>
      <c r="D110" s="5" t="str">
        <f>IFERROR(__xludf.DUMMYFUNCTION("""COMPUTED_VALUE"""),"mAP@0.5")</f>
        <v>mAP@0.5</v>
      </c>
      <c r="E110" s="5" t="str">
        <f>IFERROR(__xludf.DUMMYFUNCTION("""COMPUTED_VALUE"""),"mAP@0.5")</f>
        <v>mAP@0.5</v>
      </c>
      <c r="F110" s="5">
        <f>IFERROR(__xludf.DUMMYFUNCTION("""COMPUTED_VALUE"""),82.16)</f>
        <v>82.16</v>
      </c>
      <c r="G110" s="5">
        <f>IFERROR(__xludf.DUMMYFUNCTION("""COMPUTED_VALUE"""),2.3)</f>
        <v>2.3</v>
      </c>
    </row>
    <row r="111" ht="15.75" customHeight="1">
      <c r="A111" s="5" t="str">
        <f>IFERROR(__xludf.DUMMYFUNCTION("""COMPUTED_VALUE"""),"SCOPUS-000280")</f>
        <v>SCOPUS-000280</v>
      </c>
      <c r="B111" s="5" t="str">
        <f>IFERROR(__xludf.DUMMYFUNCTION("""COMPUTED_VALUE"""),"SCOPUS-000280-2")</f>
        <v>SCOPUS-000280-2</v>
      </c>
      <c r="C111" s="6" t="str">
        <f>IFERROR(__xludf.DUMMYFUNCTION("""COMPUTED_VALUE"""),"YOLOv10n")</f>
        <v>YOLOv10n</v>
      </c>
      <c r="D111" s="5" t="str">
        <f>IFERROR(__xludf.DUMMYFUNCTION("""COMPUTED_VALUE"""),"mAP@0.5")</f>
        <v>mAP@0.5</v>
      </c>
      <c r="E111" s="5" t="str">
        <f>IFERROR(__xludf.DUMMYFUNCTION("""COMPUTED_VALUE"""),"mAP@0.5")</f>
        <v>mAP@0.5</v>
      </c>
      <c r="F111" s="5">
        <f>IFERROR(__xludf.DUMMYFUNCTION("""COMPUTED_VALUE"""),84.42)</f>
        <v>84.42</v>
      </c>
      <c r="G111" s="5">
        <f>IFERROR(__xludf.DUMMYFUNCTION("""COMPUTED_VALUE"""),4.6)</f>
        <v>4.6</v>
      </c>
    </row>
    <row r="112" ht="15.75" customHeight="1">
      <c r="A112" s="5" t="str">
        <f>IFERROR(__xludf.DUMMYFUNCTION("""COMPUTED_VALUE"""),"SCOPUS-000280")</f>
        <v>SCOPUS-000280</v>
      </c>
      <c r="B112" s="5" t="str">
        <f>IFERROR(__xludf.DUMMYFUNCTION("""COMPUTED_VALUE"""),"SCOPUS-000280-3")</f>
        <v>SCOPUS-000280-3</v>
      </c>
      <c r="C112" s="6" t="str">
        <f>IFERROR(__xludf.DUMMYFUNCTION("""COMPUTED_VALUE"""),"YOLOv5n")</f>
        <v>YOLOv5n</v>
      </c>
      <c r="D112" s="5" t="str">
        <f>IFERROR(__xludf.DUMMYFUNCTION("""COMPUTED_VALUE"""),"mAP@0.5")</f>
        <v>mAP@0.5</v>
      </c>
      <c r="E112" s="5" t="str">
        <f>IFERROR(__xludf.DUMMYFUNCTION("""COMPUTED_VALUE"""),"mAP@0.5")</f>
        <v>mAP@0.5</v>
      </c>
      <c r="F112" s="5">
        <f>IFERROR(__xludf.DUMMYFUNCTION("""COMPUTED_VALUE"""),85.14)</f>
        <v>85.14</v>
      </c>
      <c r="G112" s="5">
        <f>IFERROR(__xludf.DUMMYFUNCTION("""COMPUTED_VALUE"""),5.3)</f>
        <v>5.3</v>
      </c>
    </row>
    <row r="113" ht="15.75" customHeight="1">
      <c r="A113" s="5" t="str">
        <f>IFERROR(__xludf.DUMMYFUNCTION("""COMPUTED_VALUE"""),"SCOPUS-000280")</f>
        <v>SCOPUS-000280</v>
      </c>
      <c r="B113" s="5" t="str">
        <f>IFERROR(__xludf.DUMMYFUNCTION("""COMPUTED_VALUE"""),"SCOPUS-000280-4")</f>
        <v>SCOPUS-000280-4</v>
      </c>
      <c r="C113" s="6" t="str">
        <f>IFERROR(__xludf.DUMMYFUNCTION("""COMPUTED_VALUE"""),"YOLOv11n")</f>
        <v>YOLOv11n</v>
      </c>
      <c r="D113" s="5" t="str">
        <f>IFERROR(__xludf.DUMMYFUNCTION("""COMPUTED_VALUE"""),"mAP@0.5")</f>
        <v>mAP@0.5</v>
      </c>
      <c r="E113" s="5" t="str">
        <f>IFERROR(__xludf.DUMMYFUNCTION("""COMPUTED_VALUE"""),"mAP@0.5")</f>
        <v>mAP@0.5</v>
      </c>
      <c r="F113" s="5">
        <f>IFERROR(__xludf.DUMMYFUNCTION("""COMPUTED_VALUE"""),86.24)</f>
        <v>86.24</v>
      </c>
      <c r="G113" s="5">
        <f>IFERROR(__xludf.DUMMYFUNCTION("""COMPUTED_VALUE"""),6.4)</f>
        <v>6.4</v>
      </c>
    </row>
    <row r="114" ht="15.75" customHeight="1">
      <c r="A114" s="5" t="str">
        <f>IFERROR(__xludf.DUMMYFUNCTION("""COMPUTED_VALUE"""),"SCOPUS-000280")</f>
        <v>SCOPUS-000280</v>
      </c>
      <c r="B114" s="5" t="str">
        <f>IFERROR(__xludf.DUMMYFUNCTION("""COMPUTED_VALUE"""),"SCOPUS-000280-5")</f>
        <v>SCOPUS-000280-5</v>
      </c>
      <c r="C114" s="6" t="str">
        <f>IFERROR(__xludf.DUMMYFUNCTION("""COMPUTED_VALUE"""),"YOLOv12-BDA")</f>
        <v>YOLOv12-BDA</v>
      </c>
      <c r="D114" s="5" t="str">
        <f>IFERROR(__xludf.DUMMYFUNCTION("""COMPUTED_VALUE"""),"mAP@0.5")</f>
        <v>mAP@0.5</v>
      </c>
      <c r="E114" s="5" t="str">
        <f>IFERROR(__xludf.DUMMYFUNCTION("""COMPUTED_VALUE"""),"mAP@0.5")</f>
        <v>mAP@0.5</v>
      </c>
      <c r="F114" s="5">
        <f>IFERROR(__xludf.DUMMYFUNCTION("""COMPUTED_VALUE"""),91.57)</f>
        <v>91.57</v>
      </c>
      <c r="G114" s="5">
        <f>IFERROR(__xludf.DUMMYFUNCTION("""COMPUTED_VALUE"""),11.7)</f>
        <v>11.7</v>
      </c>
    </row>
    <row r="115" ht="15.75" customHeight="1">
      <c r="A115" s="5" t="str">
        <f>IFERROR(__xludf.DUMMYFUNCTION("""COMPUTED_VALUE"""),"SCOPUS-000063")</f>
        <v>SCOPUS-000063</v>
      </c>
      <c r="B115" s="5" t="str">
        <f>IFERROR(__xludf.DUMMYFUNCTION("""COMPUTED_VALUE"""),"SCOPUS-000063-1")</f>
        <v>SCOPUS-000063-1</v>
      </c>
      <c r="C115" s="6" t="str">
        <f>IFERROR(__xludf.DUMMYFUNCTION("""COMPUTED_VALUE"""),"leafdetection")</f>
        <v>leafdetection</v>
      </c>
      <c r="D115" s="5" t="str">
        <f>IFERROR(__xludf.DUMMYFUNCTION("""COMPUTED_VALUE"""),"mAP@0.5")</f>
        <v>mAP@0.5</v>
      </c>
      <c r="E115" s="5" t="str">
        <f>IFERROR(__xludf.DUMMYFUNCTION("""COMPUTED_VALUE"""),"mAP@0.5")</f>
        <v>mAP@0.5</v>
      </c>
      <c r="F115" s="5">
        <f>IFERROR(__xludf.DUMMYFUNCTION("""COMPUTED_VALUE"""),82.0)</f>
        <v>82</v>
      </c>
      <c r="G115" s="5">
        <f>IFERROR(__xludf.DUMMYFUNCTION("""COMPUTED_VALUE"""),1.0)</f>
        <v>1</v>
      </c>
    </row>
    <row r="116" ht="15.75" customHeight="1">
      <c r="A116" s="5" t="str">
        <f>IFERROR(__xludf.DUMMYFUNCTION("""COMPUTED_VALUE"""),"SCOPUS-000063")</f>
        <v>SCOPUS-000063</v>
      </c>
      <c r="B116" s="5" t="str">
        <f>IFERROR(__xludf.DUMMYFUNCTION("""COMPUTED_VALUE"""),"SCOPUS-000063-2")</f>
        <v>SCOPUS-000063-2</v>
      </c>
      <c r="C116" s="6" t="str">
        <f>IFERROR(__xludf.DUMMYFUNCTION("""COMPUTED_VALUE"""),"DETR")</f>
        <v>DETR</v>
      </c>
      <c r="D116" s="5" t="str">
        <f>IFERROR(__xludf.DUMMYFUNCTION("""COMPUTED_VALUE"""),"mAP@0.5")</f>
        <v>mAP@0.5</v>
      </c>
      <c r="E116" s="5" t="str">
        <f>IFERROR(__xludf.DUMMYFUNCTION("""COMPUTED_VALUE"""),"mAP@0.5")</f>
        <v>mAP@0.5</v>
      </c>
      <c r="F116" s="5">
        <f>IFERROR(__xludf.DUMMYFUNCTION("""COMPUTED_VALUE"""),84.0)</f>
        <v>84</v>
      </c>
      <c r="G116" s="5">
        <f>IFERROR(__xludf.DUMMYFUNCTION("""COMPUTED_VALUE"""),3.0)</f>
        <v>3</v>
      </c>
    </row>
    <row r="117" ht="15.75" customHeight="1">
      <c r="A117" s="5" t="str">
        <f>IFERROR(__xludf.DUMMYFUNCTION("""COMPUTED_VALUE"""),"SCOPUS-000063")</f>
        <v>SCOPUS-000063</v>
      </c>
      <c r="B117" s="5" t="str">
        <f>IFERROR(__xludf.DUMMYFUNCTION("""COMPUTED_VALUE"""),"SCOPUS-000063-3")</f>
        <v>SCOPUS-000063-3</v>
      </c>
      <c r="C117" s="6" t="str">
        <f>IFERROR(__xludf.DUMMYFUNCTION("""COMPUTED_VALUE"""),"TinySegformer")</f>
        <v>TinySegformer</v>
      </c>
      <c r="D117" s="5" t="str">
        <f>IFERROR(__xludf.DUMMYFUNCTION("""COMPUTED_VALUE"""),"mAP@0.5")</f>
        <v>mAP@0.5</v>
      </c>
      <c r="E117" s="5" t="str">
        <f>IFERROR(__xludf.DUMMYFUNCTION("""COMPUTED_VALUE"""),"mAP@0.5")</f>
        <v>mAP@0.5</v>
      </c>
      <c r="F117" s="5">
        <f>IFERROR(__xludf.DUMMYFUNCTION("""COMPUTED_VALUE"""),86.0)</f>
        <v>86</v>
      </c>
      <c r="G117" s="5">
        <f>IFERROR(__xludf.DUMMYFUNCTION("""COMPUTED_VALUE"""),5.0)</f>
        <v>5</v>
      </c>
    </row>
    <row r="118" ht="15.75" customHeight="1">
      <c r="A118" s="5" t="str">
        <f>IFERROR(__xludf.DUMMYFUNCTION("""COMPUTED_VALUE"""),"SCOPUS-000063")</f>
        <v>SCOPUS-000063</v>
      </c>
      <c r="B118" s="5" t="str">
        <f>IFERROR(__xludf.DUMMYFUNCTION("""COMPUTED_VALUE"""),"SCOPUS-000063-4")</f>
        <v>SCOPUS-000063-4</v>
      </c>
      <c r="C118" s="6" t="str">
        <f>IFERROR(__xludf.DUMMYFUNCTION("""COMPUTED_VALUE"""),"YOLO v9l")</f>
        <v>YOLO v9l</v>
      </c>
      <c r="D118" s="5" t="str">
        <f>IFERROR(__xludf.DUMMYFUNCTION("""COMPUTED_VALUE"""),"mAP@0.5")</f>
        <v>mAP@0.5</v>
      </c>
      <c r="E118" s="5" t="str">
        <f>IFERROR(__xludf.DUMMYFUNCTION("""COMPUTED_VALUE"""),"mAP@0.5")</f>
        <v>mAP@0.5</v>
      </c>
      <c r="F118" s="5">
        <f>IFERROR(__xludf.DUMMYFUNCTION("""COMPUTED_VALUE"""),88.0)</f>
        <v>88</v>
      </c>
      <c r="G118" s="5">
        <f>IFERROR(__xludf.DUMMYFUNCTION("""COMPUTED_VALUE"""),7.0)</f>
        <v>7</v>
      </c>
    </row>
    <row r="119" ht="15.75" customHeight="1">
      <c r="A119" s="5" t="str">
        <f>IFERROR(__xludf.DUMMYFUNCTION("""COMPUTED_VALUE"""),"SCOPUS-000063")</f>
        <v>SCOPUS-000063</v>
      </c>
      <c r="B119" s="5" t="str">
        <f>IFERROR(__xludf.DUMMYFUNCTION("""COMPUTED_VALUE"""),"SCOPUS-000063-5")</f>
        <v>SCOPUS-000063-5</v>
      </c>
      <c r="C119" s="6" t="str">
        <f>IFERROR(__xludf.DUMMYFUNCTION("""COMPUTED_VALUE"""),"YOLO v10l")</f>
        <v>YOLO v10l</v>
      </c>
      <c r="D119" s="5" t="str">
        <f>IFERROR(__xludf.DUMMYFUNCTION("""COMPUTED_VALUE"""),"mAP@0.5")</f>
        <v>mAP@0.5</v>
      </c>
      <c r="E119" s="5" t="str">
        <f>IFERROR(__xludf.DUMMYFUNCTION("""COMPUTED_VALUE"""),"mAP@0.5")</f>
        <v>mAP@0.5</v>
      </c>
      <c r="F119" s="5">
        <f>IFERROR(__xludf.DUMMYFUNCTION("""COMPUTED_VALUE"""),91.0)</f>
        <v>91</v>
      </c>
      <c r="G119" s="5">
        <f>IFERROR(__xludf.DUMMYFUNCTION("""COMPUTED_VALUE"""),10.0)</f>
        <v>10</v>
      </c>
    </row>
    <row r="120" ht="15.75" customHeight="1">
      <c r="A120" s="5" t="str">
        <f>IFERROR(__xludf.DUMMYFUNCTION("""COMPUTED_VALUE"""),"SCOPUS-000063")</f>
        <v>SCOPUS-000063</v>
      </c>
      <c r="B120" s="5" t="str">
        <f>IFERROR(__xludf.DUMMYFUNCTION("""COMPUTED_VALUE"""),"SCOPUS-000063-6")</f>
        <v>SCOPUS-000063-6</v>
      </c>
      <c r="C120" s="6" t="str">
        <f>IFERROR(__xludf.DUMMYFUNCTION("""COMPUTED_VALUE"""),"FasterRCNN (Xception)")</f>
        <v>FasterRCNN (Xception)</v>
      </c>
      <c r="D120" s="5" t="str">
        <f>IFERROR(__xludf.DUMMYFUNCTION("""COMPUTED_VALUE"""),"mAP@0.5")</f>
        <v>mAP@0.5</v>
      </c>
      <c r="E120" s="5" t="str">
        <f>IFERROR(__xludf.DUMMYFUNCTION("""COMPUTED_VALUE"""),"mAP@0.5")</f>
        <v>mAP@0.5</v>
      </c>
      <c r="F120" s="5">
        <f>IFERROR(__xludf.DUMMYFUNCTION("""COMPUTED_VALUE"""),84.0)</f>
        <v>84</v>
      </c>
      <c r="G120" s="5">
        <f>IFERROR(__xludf.DUMMYFUNCTION("""COMPUTED_VALUE"""),3.0)</f>
        <v>3</v>
      </c>
    </row>
    <row r="121" ht="15.75" customHeight="1">
      <c r="A121" s="5" t="str">
        <f>IFERROR(__xludf.DUMMYFUNCTION("""COMPUTED_VALUE"""),"SCOPUS-000063")</f>
        <v>SCOPUS-000063</v>
      </c>
      <c r="B121" s="5" t="str">
        <f>IFERROR(__xludf.DUMMYFUNCTION("""COMPUTED_VALUE"""),"SCOPUS-000063-7")</f>
        <v>SCOPUS-000063-7</v>
      </c>
      <c r="C121" s="6" t="str">
        <f>IFERROR(__xludf.DUMMYFUNCTION("""COMPUTED_VALUE"""),"Proposed Method")</f>
        <v>Proposed Method</v>
      </c>
      <c r="D121" s="5" t="str">
        <f>IFERROR(__xludf.DUMMYFUNCTION("""COMPUTED_VALUE"""),"mAP@0.5")</f>
        <v>mAP@0.5</v>
      </c>
      <c r="E121" s="5" t="str">
        <f>IFERROR(__xludf.DUMMYFUNCTION("""COMPUTED_VALUE"""),"mAP@0.5")</f>
        <v>mAP@0.5</v>
      </c>
      <c r="F121" s="5">
        <f>IFERROR(__xludf.DUMMYFUNCTION("""COMPUTED_VALUE"""),92.0)</f>
        <v>92</v>
      </c>
      <c r="G121" s="5">
        <f>IFERROR(__xludf.DUMMYFUNCTION("""COMPUTED_VALUE"""),11.0)</f>
        <v>11</v>
      </c>
    </row>
    <row r="122" ht="15.75" customHeight="1">
      <c r="A122" s="5" t="str">
        <f>IFERROR(__xludf.DUMMYFUNCTION("""COMPUTED_VALUE"""),"SCOPUS-000017")</f>
        <v>SCOPUS-000017</v>
      </c>
      <c r="B122" s="5" t="str">
        <f>IFERROR(__xludf.DUMMYFUNCTION("""COMPUTED_VALUE"""),"SCOPUS-000017-1")</f>
        <v>SCOPUS-000017-1</v>
      </c>
      <c r="C122" s="6" t="str">
        <f>IFERROR(__xludf.DUMMYFUNCTION("""COMPUTED_VALUE"""),"SegNet VGG16")</f>
        <v>SegNet VGG16</v>
      </c>
      <c r="D122" s="5" t="str">
        <f>IFERROR(__xludf.DUMMYFUNCTION("""COMPUTED_VALUE"""),"mIoU")</f>
        <v>mIoU</v>
      </c>
      <c r="E122" s="5" t="str">
        <f>IFERROR(__xludf.DUMMYFUNCTION("""COMPUTED_VALUE"""),"mIoU")</f>
        <v>mIoU</v>
      </c>
      <c r="F122" s="5">
        <f>IFERROR(__xludf.DUMMYFUNCTION("""COMPUTED_VALUE"""),65.38)</f>
        <v>65.38</v>
      </c>
      <c r="G122" s="5">
        <f>IFERROR(__xludf.DUMMYFUNCTION("""COMPUTED_VALUE"""),5.5)</f>
        <v>5.5</v>
      </c>
    </row>
    <row r="123" ht="15.75" customHeight="1">
      <c r="A123" s="5" t="str">
        <f>IFERROR(__xludf.DUMMYFUNCTION("""COMPUTED_VALUE"""),"SCOPUS-000017")</f>
        <v>SCOPUS-000017</v>
      </c>
      <c r="B123" s="5" t="str">
        <f>IFERROR(__xludf.DUMMYFUNCTION("""COMPUTED_VALUE"""),"SCOPUS-000017-2")</f>
        <v>SCOPUS-000017-2</v>
      </c>
      <c r="C123" s="6" t="str">
        <f>IFERROR(__xludf.DUMMYFUNCTION("""COMPUTED_VALUE"""),"UNet VGG16")</f>
        <v>UNet VGG16</v>
      </c>
      <c r="D123" s="5" t="str">
        <f>IFERROR(__xludf.DUMMYFUNCTION("""COMPUTED_VALUE"""),"mIoU")</f>
        <v>mIoU</v>
      </c>
      <c r="E123" s="5" t="str">
        <f>IFERROR(__xludf.DUMMYFUNCTION("""COMPUTED_VALUE"""),"mIoU")</f>
        <v>mIoU</v>
      </c>
      <c r="F123" s="5">
        <f>IFERROR(__xludf.DUMMYFUNCTION("""COMPUTED_VALUE"""),64.22)</f>
        <v>64.22</v>
      </c>
      <c r="G123" s="5">
        <f>IFERROR(__xludf.DUMMYFUNCTION("""COMPUTED_VALUE"""),4.4)</f>
        <v>4.4</v>
      </c>
    </row>
    <row r="124" ht="15.75" customHeight="1">
      <c r="A124" s="5" t="str">
        <f>IFERROR(__xludf.DUMMYFUNCTION("""COMPUTED_VALUE"""),"SCOPUS-000017")</f>
        <v>SCOPUS-000017</v>
      </c>
      <c r="B124" s="5" t="str">
        <f>IFERROR(__xludf.DUMMYFUNCTION("""COMPUTED_VALUE"""),"SCOPUS-000017-3")</f>
        <v>SCOPUS-000017-3</v>
      </c>
      <c r="C124" s="6" t="str">
        <f>IFERROR(__xludf.DUMMYFUNCTION("""COMPUTED_VALUE"""),"DeepLabV3+ VGG16")</f>
        <v>DeepLabV3+ VGG16</v>
      </c>
      <c r="D124" s="5" t="str">
        <f>IFERROR(__xludf.DUMMYFUNCTION("""COMPUTED_VALUE"""),"mIoU")</f>
        <v>mIoU</v>
      </c>
      <c r="E124" s="5" t="str">
        <f>IFERROR(__xludf.DUMMYFUNCTION("""COMPUTED_VALUE"""),"mIoU")</f>
        <v>mIoU</v>
      </c>
      <c r="F124" s="5">
        <f>IFERROR(__xludf.DUMMYFUNCTION("""COMPUTED_VALUE"""),61.56)</f>
        <v>61.56</v>
      </c>
      <c r="G124" s="5">
        <f>IFERROR(__xludf.DUMMYFUNCTION("""COMPUTED_VALUE"""),1.7)</f>
        <v>1.7</v>
      </c>
    </row>
    <row r="125" ht="15.75" customHeight="1">
      <c r="A125" s="5" t="str">
        <f>IFERROR(__xludf.DUMMYFUNCTION("""COMPUTED_VALUE"""),"SCOPUS-000017")</f>
        <v>SCOPUS-000017</v>
      </c>
      <c r="B125" s="5" t="str">
        <f>IFERROR(__xludf.DUMMYFUNCTION("""COMPUTED_VALUE"""),"SCOPUS-000017-4")</f>
        <v>SCOPUS-000017-4</v>
      </c>
      <c r="C125" s="6" t="str">
        <f>IFERROR(__xludf.DUMMYFUNCTION("""COMPUTED_VALUE"""),"SegNet ResNet50")</f>
        <v>SegNet ResNet50</v>
      </c>
      <c r="D125" s="5" t="str">
        <f>IFERROR(__xludf.DUMMYFUNCTION("""COMPUTED_VALUE"""),"mIoU")</f>
        <v>mIoU</v>
      </c>
      <c r="E125" s="5" t="str">
        <f>IFERROR(__xludf.DUMMYFUNCTION("""COMPUTED_VALUE"""),"mIoU")</f>
        <v>mIoU</v>
      </c>
      <c r="F125" s="5">
        <f>IFERROR(__xludf.DUMMYFUNCTION("""COMPUTED_VALUE"""),63.39)</f>
        <v>63.39</v>
      </c>
      <c r="G125" s="5">
        <f>IFERROR(__xludf.DUMMYFUNCTION("""COMPUTED_VALUE"""),3.5)</f>
        <v>3.5</v>
      </c>
    </row>
    <row r="126" ht="15.75" customHeight="1">
      <c r="A126" s="5" t="str">
        <f>IFERROR(__xludf.DUMMYFUNCTION("""COMPUTED_VALUE"""),"SCOPUS-000017")</f>
        <v>SCOPUS-000017</v>
      </c>
      <c r="B126" s="5" t="str">
        <f>IFERROR(__xludf.DUMMYFUNCTION("""COMPUTED_VALUE"""),"SCOPUS-000017-5")</f>
        <v>SCOPUS-000017-5</v>
      </c>
      <c r="C126" s="6" t="str">
        <f>IFERROR(__xludf.DUMMYFUNCTION("""COMPUTED_VALUE"""),"UNet ResNet50")</f>
        <v>UNet ResNet50</v>
      </c>
      <c r="D126" s="5" t="str">
        <f>IFERROR(__xludf.DUMMYFUNCTION("""COMPUTED_VALUE"""),"mIoU")</f>
        <v>mIoU</v>
      </c>
      <c r="E126" s="5" t="str">
        <f>IFERROR(__xludf.DUMMYFUNCTION("""COMPUTED_VALUE"""),"mIoU")</f>
        <v>mIoU</v>
      </c>
      <c r="F126" s="5">
        <f>IFERROR(__xludf.DUMMYFUNCTION("""COMPUTED_VALUE"""),65.57)</f>
        <v>65.57</v>
      </c>
      <c r="G126" s="5">
        <f>IFERROR(__xludf.DUMMYFUNCTION("""COMPUTED_VALUE"""),5.7)</f>
        <v>5.7</v>
      </c>
    </row>
    <row r="127" ht="15.75" customHeight="1">
      <c r="A127" s="5" t="str">
        <f>IFERROR(__xludf.DUMMYFUNCTION("""COMPUTED_VALUE"""),"SCOPUS-000017")</f>
        <v>SCOPUS-000017</v>
      </c>
      <c r="B127" s="5" t="str">
        <f>IFERROR(__xludf.DUMMYFUNCTION("""COMPUTED_VALUE"""),"SCOPUS-000017-6")</f>
        <v>SCOPUS-000017-6</v>
      </c>
      <c r="C127" s="6" t="str">
        <f>IFERROR(__xludf.DUMMYFUNCTION("""COMPUTED_VALUE"""),"DeepLabV3+ ResNet50")</f>
        <v>DeepLabV3+ ResNet50</v>
      </c>
      <c r="D127" s="5" t="str">
        <f>IFERROR(__xludf.DUMMYFUNCTION("""COMPUTED_VALUE"""),"mIoU")</f>
        <v>mIoU</v>
      </c>
      <c r="E127" s="5" t="str">
        <f>IFERROR(__xludf.DUMMYFUNCTION("""COMPUTED_VALUE"""),"mIoU")</f>
        <v>mIoU</v>
      </c>
      <c r="F127" s="5">
        <f>IFERROR(__xludf.DUMMYFUNCTION("""COMPUTED_VALUE"""),63.57)</f>
        <v>63.57</v>
      </c>
      <c r="G127" s="5">
        <f>IFERROR(__xludf.DUMMYFUNCTION("""COMPUTED_VALUE"""),3.7)</f>
        <v>3.7</v>
      </c>
    </row>
    <row r="128" ht="15.75" customHeight="1">
      <c r="A128" s="5" t="str">
        <f>IFERROR(__xludf.DUMMYFUNCTION("""COMPUTED_VALUE"""),"SCOPUS-000017")</f>
        <v>SCOPUS-000017</v>
      </c>
      <c r="B128" s="5" t="str">
        <f>IFERROR(__xludf.DUMMYFUNCTION("""COMPUTED_VALUE"""),"SCOPUS-000017-7")</f>
        <v>SCOPUS-000017-7</v>
      </c>
      <c r="C128" s="6" t="str">
        <f>IFERROR(__xludf.DUMMYFUNCTION("""COMPUTED_VALUE"""),"SegNet DenseNet121")</f>
        <v>SegNet DenseNet121</v>
      </c>
      <c r="D128" s="5" t="str">
        <f>IFERROR(__xludf.DUMMYFUNCTION("""COMPUTED_VALUE"""),"mIoU")</f>
        <v>mIoU</v>
      </c>
      <c r="E128" s="5" t="str">
        <f>IFERROR(__xludf.DUMMYFUNCTION("""COMPUTED_VALUE"""),"mIoU")</f>
        <v>mIoU</v>
      </c>
      <c r="F128" s="5">
        <f>IFERROR(__xludf.DUMMYFUNCTION("""COMPUTED_VALUE"""),67.56)</f>
        <v>67.56</v>
      </c>
      <c r="G128" s="5">
        <f>IFERROR(__xludf.DUMMYFUNCTION("""COMPUTED_VALUE"""),7.7)</f>
        <v>7.7</v>
      </c>
    </row>
    <row r="129" ht="15.75" customHeight="1">
      <c r="A129" s="5" t="str">
        <f>IFERROR(__xludf.DUMMYFUNCTION("""COMPUTED_VALUE"""),"SCOPUS-000017")</f>
        <v>SCOPUS-000017</v>
      </c>
      <c r="B129" s="5" t="str">
        <f>IFERROR(__xludf.DUMMYFUNCTION("""COMPUTED_VALUE"""),"SCOPUS-000017-8")</f>
        <v>SCOPUS-000017-8</v>
      </c>
      <c r="C129" s="6" t="str">
        <f>IFERROR(__xludf.DUMMYFUNCTION("""COMPUTED_VALUE"""),"UNet DenseNet121")</f>
        <v>UNet DenseNet121</v>
      </c>
      <c r="D129" s="5" t="str">
        <f>IFERROR(__xludf.DUMMYFUNCTION("""COMPUTED_VALUE"""),"mIoU")</f>
        <v>mIoU</v>
      </c>
      <c r="E129" s="5" t="str">
        <f>IFERROR(__xludf.DUMMYFUNCTION("""COMPUTED_VALUE"""),"mIoU")</f>
        <v>mIoU</v>
      </c>
      <c r="F129" s="5">
        <f>IFERROR(__xludf.DUMMYFUNCTION("""COMPUTED_VALUE"""),67.13)</f>
        <v>67.13</v>
      </c>
      <c r="G129" s="5">
        <f>IFERROR(__xludf.DUMMYFUNCTION("""COMPUTED_VALUE"""),7.3)</f>
        <v>7.3</v>
      </c>
    </row>
    <row r="130" ht="15.75" customHeight="1">
      <c r="A130" s="5" t="str">
        <f>IFERROR(__xludf.DUMMYFUNCTION("""COMPUTED_VALUE"""),"SCOPUS-000017")</f>
        <v>SCOPUS-000017</v>
      </c>
      <c r="B130" s="5" t="str">
        <f>IFERROR(__xludf.DUMMYFUNCTION("""COMPUTED_VALUE"""),"SCOPUS-000017-9")</f>
        <v>SCOPUS-000017-9</v>
      </c>
      <c r="C130" s="6" t="str">
        <f>IFERROR(__xludf.DUMMYFUNCTION("""COMPUTED_VALUE"""),"DeepLabV3+ DenseNet121")</f>
        <v>DeepLabV3+ DenseNet121</v>
      </c>
      <c r="D130" s="5" t="str">
        <f>IFERROR(__xludf.DUMMYFUNCTION("""COMPUTED_VALUE"""),"mIoU")</f>
        <v>mIoU</v>
      </c>
      <c r="E130" s="5" t="str">
        <f>IFERROR(__xludf.DUMMYFUNCTION("""COMPUTED_VALUE"""),"mIoU")</f>
        <v>mIoU</v>
      </c>
      <c r="F130" s="5">
        <f>IFERROR(__xludf.DUMMYFUNCTION("""COMPUTED_VALUE"""),62.35)</f>
        <v>62.35</v>
      </c>
      <c r="G130" s="5">
        <f>IFERROR(__xludf.DUMMYFUNCTION("""COMPUTED_VALUE"""),2.5)</f>
        <v>2.5</v>
      </c>
    </row>
    <row r="131" ht="15.75" customHeight="1">
      <c r="A131" s="5" t="str">
        <f>IFERROR(__xludf.DUMMYFUNCTION("""COMPUTED_VALUE"""),"SCOPUS-000017")</f>
        <v>SCOPUS-000017</v>
      </c>
      <c r="B131" s="5" t="str">
        <f>IFERROR(__xludf.DUMMYFUNCTION("""COMPUTED_VALUE"""),"SCOPUS-000017-10")</f>
        <v>SCOPUS-000017-10</v>
      </c>
      <c r="C131" s="6" t="str">
        <f>IFERROR(__xludf.DUMMYFUNCTION("""COMPUTED_VALUE"""),"SegNet EfficientNetB0")</f>
        <v>SegNet EfficientNetB0</v>
      </c>
      <c r="D131" s="5" t="str">
        <f>IFERROR(__xludf.DUMMYFUNCTION("""COMPUTED_VALUE"""),"mIoU")</f>
        <v>mIoU</v>
      </c>
      <c r="E131" s="5" t="str">
        <f>IFERROR(__xludf.DUMMYFUNCTION("""COMPUTED_VALUE"""),"mIoU")</f>
        <v>mIoU</v>
      </c>
      <c r="F131" s="5">
        <f>IFERROR(__xludf.DUMMYFUNCTION("""COMPUTED_VALUE"""),67.24)</f>
        <v>67.24</v>
      </c>
      <c r="G131" s="5">
        <f>IFERROR(__xludf.DUMMYFUNCTION("""COMPUTED_VALUE"""),7.4)</f>
        <v>7.4</v>
      </c>
    </row>
    <row r="132" ht="15.75" customHeight="1">
      <c r="A132" s="5" t="str">
        <f>IFERROR(__xludf.DUMMYFUNCTION("""COMPUTED_VALUE"""),"SCOPUS-000017")</f>
        <v>SCOPUS-000017</v>
      </c>
      <c r="B132" s="5" t="str">
        <f>IFERROR(__xludf.DUMMYFUNCTION("""COMPUTED_VALUE"""),"SCOPUS-000017-11")</f>
        <v>SCOPUS-000017-11</v>
      </c>
      <c r="C132" s="6" t="str">
        <f>IFERROR(__xludf.DUMMYFUNCTION("""COMPUTED_VALUE"""),"UNet EfficientNetB0")</f>
        <v>UNet EfficientNetB0</v>
      </c>
      <c r="D132" s="5" t="str">
        <f>IFERROR(__xludf.DUMMYFUNCTION("""COMPUTED_VALUE"""),"mIoU")</f>
        <v>mIoU</v>
      </c>
      <c r="E132" s="5" t="str">
        <f>IFERROR(__xludf.DUMMYFUNCTION("""COMPUTED_VALUE"""),"mIoU")</f>
        <v>mIoU</v>
      </c>
      <c r="F132" s="5">
        <f>IFERROR(__xludf.DUMMYFUNCTION("""COMPUTED_VALUE"""),66.72)</f>
        <v>66.72</v>
      </c>
      <c r="G132" s="5">
        <f>IFERROR(__xludf.DUMMYFUNCTION("""COMPUTED_VALUE"""),6.9)</f>
        <v>6.9</v>
      </c>
    </row>
    <row r="133" ht="15.75" customHeight="1">
      <c r="A133" s="5" t="str">
        <f>IFERROR(__xludf.DUMMYFUNCTION("""COMPUTED_VALUE"""),"SCOPUS-000017")</f>
        <v>SCOPUS-000017</v>
      </c>
      <c r="B133" s="5" t="str">
        <f>IFERROR(__xludf.DUMMYFUNCTION("""COMPUTED_VALUE"""),"SCOPUS-000017-12")</f>
        <v>SCOPUS-000017-12</v>
      </c>
      <c r="C133" s="6" t="str">
        <f>IFERROR(__xludf.DUMMYFUNCTION("""COMPUTED_VALUE"""),"DeepLabV3+ EfficientNetB0")</f>
        <v>DeepLabV3+ EfficientNetB0</v>
      </c>
      <c r="D133" s="5" t="str">
        <f>IFERROR(__xludf.DUMMYFUNCTION("""COMPUTED_VALUE"""),"mIoU")</f>
        <v>mIoU</v>
      </c>
      <c r="E133" s="5" t="str">
        <f>IFERROR(__xludf.DUMMYFUNCTION("""COMPUTED_VALUE"""),"mIoU")</f>
        <v>mIoU</v>
      </c>
      <c r="F133" s="5">
        <f>IFERROR(__xludf.DUMMYFUNCTION("""COMPUTED_VALUE"""),61.84)</f>
        <v>61.84</v>
      </c>
      <c r="G133" s="5">
        <f>IFERROR(__xludf.DUMMYFUNCTION("""COMPUTED_VALUE"""),2.0)</f>
        <v>2</v>
      </c>
    </row>
    <row r="134" ht="15.75" customHeight="1">
      <c r="A134" s="5" t="str">
        <f>IFERROR(__xludf.DUMMYFUNCTION("""COMPUTED_VALUE"""),"SCOPUS-000017")</f>
        <v>SCOPUS-000017</v>
      </c>
      <c r="B134" s="5" t="str">
        <f>IFERROR(__xludf.DUMMYFUNCTION("""COMPUTED_VALUE"""),"SCOPUS-000017-13")</f>
        <v>SCOPUS-000017-13</v>
      </c>
      <c r="C134" s="6" t="str">
        <f>IFERROR(__xludf.DUMMYFUNCTION("""COMPUTED_VALUE"""),"SegNet MobileNetV2")</f>
        <v>SegNet MobileNetV2</v>
      </c>
      <c r="D134" s="5" t="str">
        <f>IFERROR(__xludf.DUMMYFUNCTION("""COMPUTED_VALUE"""),"mIoU")</f>
        <v>mIoU</v>
      </c>
      <c r="E134" s="5" t="str">
        <f>IFERROR(__xludf.DUMMYFUNCTION("""COMPUTED_VALUE"""),"mIoU")</f>
        <v>mIoU</v>
      </c>
      <c r="F134" s="5">
        <f>IFERROR(__xludf.DUMMYFUNCTION("""COMPUTED_VALUE"""),64.06)</f>
        <v>64.06</v>
      </c>
      <c r="G134" s="5">
        <f>IFERROR(__xludf.DUMMYFUNCTION("""COMPUTED_VALUE"""),4.2)</f>
        <v>4.2</v>
      </c>
    </row>
    <row r="135" ht="15.75" customHeight="1">
      <c r="A135" s="5" t="str">
        <f>IFERROR(__xludf.DUMMYFUNCTION("""COMPUTED_VALUE"""),"SCOPUS-000017")</f>
        <v>SCOPUS-000017</v>
      </c>
      <c r="B135" s="5" t="str">
        <f>IFERROR(__xludf.DUMMYFUNCTION("""COMPUTED_VALUE"""),"SCOPUS-000017-14")</f>
        <v>SCOPUS-000017-14</v>
      </c>
      <c r="C135" s="6" t="str">
        <f>IFERROR(__xludf.DUMMYFUNCTION("""COMPUTED_VALUE"""),"UNet MobileNetV2")</f>
        <v>UNet MobileNetV2</v>
      </c>
      <c r="D135" s="5" t="str">
        <f>IFERROR(__xludf.DUMMYFUNCTION("""COMPUTED_VALUE"""),"mIoU")</f>
        <v>mIoU</v>
      </c>
      <c r="E135" s="5" t="str">
        <f>IFERROR(__xludf.DUMMYFUNCTION("""COMPUTED_VALUE"""),"mIoU")</f>
        <v>mIoU</v>
      </c>
      <c r="F135" s="5">
        <f>IFERROR(__xludf.DUMMYFUNCTION("""COMPUTED_VALUE"""),65.42)</f>
        <v>65.42</v>
      </c>
      <c r="G135" s="5">
        <f>IFERROR(__xludf.DUMMYFUNCTION("""COMPUTED_VALUE"""),5.6)</f>
        <v>5.6</v>
      </c>
    </row>
    <row r="136" ht="15.75" customHeight="1">
      <c r="A136" s="5" t="str">
        <f>IFERROR(__xludf.DUMMYFUNCTION("""COMPUTED_VALUE"""),"SCOPUS-000017")</f>
        <v>SCOPUS-000017</v>
      </c>
      <c r="B136" s="5" t="str">
        <f>IFERROR(__xludf.DUMMYFUNCTION("""COMPUTED_VALUE"""),"SCOPUS-000017-2")</f>
        <v>SCOPUS-000017-2</v>
      </c>
      <c r="C136" s="6" t="str">
        <f>IFERROR(__xludf.DUMMYFUNCTION("""COMPUTED_VALUE"""),"MESA-Net")</f>
        <v>MESA-Net</v>
      </c>
      <c r="D136" s="5" t="str">
        <f>IFERROR(__xludf.DUMMYFUNCTION("""COMPUTED_VALUE"""),"mIoU")</f>
        <v>mIoU</v>
      </c>
      <c r="E136" s="5" t="str">
        <f>IFERROR(__xludf.DUMMYFUNCTION("""COMPUTED_VALUE"""),"mIoU")</f>
        <v>mIoU</v>
      </c>
      <c r="F136" s="5">
        <f>IFERROR(__xludf.DUMMYFUNCTION("""COMPUTED_VALUE"""),71.35)</f>
        <v>71.35</v>
      </c>
      <c r="G136" s="5">
        <f>IFERROR(__xludf.DUMMYFUNCTION("""COMPUTED_VALUE"""),9.2)</f>
        <v>9.2</v>
      </c>
    </row>
    <row r="137" ht="15.75" customHeight="1">
      <c r="A137" s="5" t="str">
        <f>IFERROR(__xludf.DUMMYFUNCTION("""COMPUTED_VALUE"""),"SCOPUS-000244")</f>
        <v>SCOPUS-000244</v>
      </c>
      <c r="B137" s="5" t="str">
        <f>IFERROR(__xludf.DUMMYFUNCTION("""COMPUTED_VALUE"""),"SCOPUS-000244-1")</f>
        <v>SCOPUS-000244-1</v>
      </c>
      <c r="C137" s="6" t="str">
        <f>IFERROR(__xludf.DUMMYFUNCTION("""COMPUTED_VALUE"""),"BarlowTwins")</f>
        <v>BarlowTwins</v>
      </c>
      <c r="D137" s="5" t="str">
        <f>IFERROR(__xludf.DUMMYFUNCTION("""COMPUTED_VALUE"""),"Top-1 Accuracy")</f>
        <v>Top-1 Accuracy</v>
      </c>
      <c r="E137" s="5" t="str">
        <f>IFERROR(__xludf.DUMMYFUNCTION("""COMPUTED_VALUE"""),"Accuracy")</f>
        <v>Accuracy</v>
      </c>
      <c r="F137" s="5">
        <f>IFERROR(__xludf.DUMMYFUNCTION("""COMPUTED_VALUE"""),74.72)</f>
        <v>74.72</v>
      </c>
      <c r="G137" s="5">
        <f>IFERROR(__xludf.DUMMYFUNCTION("""COMPUTED_VALUE"""),5.6)</f>
        <v>5.6</v>
      </c>
    </row>
    <row r="138" ht="15.75" customHeight="1">
      <c r="A138" s="5" t="str">
        <f>IFERROR(__xludf.DUMMYFUNCTION("""COMPUTED_VALUE"""),"SCOPUS-000244")</f>
        <v>SCOPUS-000244</v>
      </c>
      <c r="B138" s="5" t="str">
        <f>IFERROR(__xludf.DUMMYFUNCTION("""COMPUTED_VALUE"""),"SCOPUS-000244-2")</f>
        <v>SCOPUS-000244-2</v>
      </c>
      <c r="C138" s="6" t="str">
        <f>IFERROR(__xludf.DUMMYFUNCTION("""COMPUTED_VALUE"""),"DCL")</f>
        <v>DCL</v>
      </c>
      <c r="D138" s="5" t="str">
        <f>IFERROR(__xludf.DUMMYFUNCTION("""COMPUTED_VALUE"""),"Top-1 Accuracy")</f>
        <v>Top-1 Accuracy</v>
      </c>
      <c r="E138" s="5" t="str">
        <f>IFERROR(__xludf.DUMMYFUNCTION("""COMPUTED_VALUE"""),"Accuracy")</f>
        <v>Accuracy</v>
      </c>
      <c r="F138" s="5">
        <f>IFERROR(__xludf.DUMMYFUNCTION("""COMPUTED_VALUE"""),86.39)</f>
        <v>86.39</v>
      </c>
      <c r="G138" s="5">
        <f>IFERROR(__xludf.DUMMYFUNCTION("""COMPUTED_VALUE"""),17.3)</f>
        <v>17.3</v>
      </c>
    </row>
    <row r="139" ht="15.75" customHeight="1">
      <c r="A139" s="5" t="str">
        <f>IFERROR(__xludf.DUMMYFUNCTION("""COMPUTED_VALUE"""),"SCOPUS-000244")</f>
        <v>SCOPUS-000244</v>
      </c>
      <c r="B139" s="5" t="str">
        <f>IFERROR(__xludf.DUMMYFUNCTION("""COMPUTED_VALUE"""),"SCOPUS-000244-3")</f>
        <v>SCOPUS-000244-3</v>
      </c>
      <c r="C139" s="6" t="str">
        <f>IFERROR(__xludf.DUMMYFUNCTION("""COMPUTED_VALUE"""),"DCLW")</f>
        <v>DCLW</v>
      </c>
      <c r="D139" s="5" t="str">
        <f>IFERROR(__xludf.DUMMYFUNCTION("""COMPUTED_VALUE"""),"Top-1 Accuracy")</f>
        <v>Top-1 Accuracy</v>
      </c>
      <c r="E139" s="5" t="str">
        <f>IFERROR(__xludf.DUMMYFUNCTION("""COMPUTED_VALUE"""),"Accuracy")</f>
        <v>Accuracy</v>
      </c>
      <c r="F139" s="5">
        <f>IFERROR(__xludf.DUMMYFUNCTION("""COMPUTED_VALUE"""),85.73)</f>
        <v>85.73</v>
      </c>
      <c r="G139" s="5">
        <f>IFERROR(__xludf.DUMMYFUNCTION("""COMPUTED_VALUE"""),16.7)</f>
        <v>16.7</v>
      </c>
    </row>
    <row r="140" ht="15.75" customHeight="1">
      <c r="A140" s="5" t="str">
        <f>IFERROR(__xludf.DUMMYFUNCTION("""COMPUTED_VALUE"""),"SCOPUS-000244")</f>
        <v>SCOPUS-000244</v>
      </c>
      <c r="B140" s="5" t="str">
        <f>IFERROR(__xludf.DUMMYFUNCTION("""COMPUTED_VALUE"""),"SCOPUS-000244-4")</f>
        <v>SCOPUS-000244-4</v>
      </c>
      <c r="C140" s="6" t="str">
        <f>IFERROR(__xludf.DUMMYFUNCTION("""COMPUTED_VALUE"""),"DINO")</f>
        <v>DINO</v>
      </c>
      <c r="D140" s="5" t="str">
        <f>IFERROR(__xludf.DUMMYFUNCTION("""COMPUTED_VALUE"""),"Top-1 Accuracy")</f>
        <v>Top-1 Accuracy</v>
      </c>
      <c r="E140" s="5" t="str">
        <f>IFERROR(__xludf.DUMMYFUNCTION("""COMPUTED_VALUE"""),"Accuracy")</f>
        <v>Accuracy</v>
      </c>
      <c r="F140" s="5">
        <f>IFERROR(__xludf.DUMMYFUNCTION("""COMPUTED_VALUE"""),77.89)</f>
        <v>77.89</v>
      </c>
      <c r="G140" s="5">
        <f>IFERROR(__xludf.DUMMYFUNCTION("""COMPUTED_VALUE"""),8.8)</f>
        <v>8.8</v>
      </c>
    </row>
    <row r="141" ht="15.75" customHeight="1">
      <c r="A141" s="5" t="str">
        <f>IFERROR(__xludf.DUMMYFUNCTION("""COMPUTED_VALUE"""),"SCOPUS-000244")</f>
        <v>SCOPUS-000244</v>
      </c>
      <c r="B141" s="5" t="str">
        <f>IFERROR(__xludf.DUMMYFUNCTION("""COMPUTED_VALUE"""),"SCOPUS-000244-5")</f>
        <v>SCOPUS-000244-5</v>
      </c>
      <c r="C141" s="6" t="str">
        <f>IFERROR(__xludf.DUMMYFUNCTION("""COMPUTED_VALUE"""),"FastSiam")</f>
        <v>FastSiam</v>
      </c>
      <c r="D141" s="5" t="str">
        <f>IFERROR(__xludf.DUMMYFUNCTION("""COMPUTED_VALUE"""),"Top-1 Accuracy")</f>
        <v>Top-1 Accuracy</v>
      </c>
      <c r="E141" s="5" t="str">
        <f>IFERROR(__xludf.DUMMYFUNCTION("""COMPUTED_VALUE"""),"Accuracy")</f>
        <v>Accuracy</v>
      </c>
      <c r="F141" s="5">
        <f>IFERROR(__xludf.DUMMYFUNCTION("""COMPUTED_VALUE"""),82.78)</f>
        <v>82.78</v>
      </c>
      <c r="G141" s="5">
        <f>IFERROR(__xludf.DUMMYFUNCTION("""COMPUTED_VALUE"""),13.7)</f>
        <v>13.7</v>
      </c>
    </row>
    <row r="142" ht="15.75" customHeight="1">
      <c r="A142" s="5" t="str">
        <f>IFERROR(__xludf.DUMMYFUNCTION("""COMPUTED_VALUE"""),"SCOPUS-000244")</f>
        <v>SCOPUS-000244</v>
      </c>
      <c r="B142" s="5" t="str">
        <f>IFERROR(__xludf.DUMMYFUNCTION("""COMPUTED_VALUE"""),"SCOPUS-000244-6")</f>
        <v>SCOPUS-000244-6</v>
      </c>
      <c r="C142" s="6" t="str">
        <f>IFERROR(__xludf.DUMMYFUNCTION("""COMPUTED_VALUE"""),"Moco")</f>
        <v>Moco</v>
      </c>
      <c r="D142" s="5" t="str">
        <f>IFERROR(__xludf.DUMMYFUNCTION("""COMPUTED_VALUE"""),"Top-1 Accuracy")</f>
        <v>Top-1 Accuracy</v>
      </c>
      <c r="E142" s="5" t="str">
        <f>IFERROR(__xludf.DUMMYFUNCTION("""COMPUTED_VALUE"""),"Accuracy")</f>
        <v>Accuracy</v>
      </c>
      <c r="F142" s="5">
        <f>IFERROR(__xludf.DUMMYFUNCTION("""COMPUTED_VALUE"""),83.63)</f>
        <v>83.63</v>
      </c>
      <c r="G142" s="5">
        <f>IFERROR(__xludf.DUMMYFUNCTION("""COMPUTED_VALUE"""),14.6)</f>
        <v>14.6</v>
      </c>
    </row>
    <row r="143" ht="15.75" customHeight="1">
      <c r="A143" s="5" t="str">
        <f>IFERROR(__xludf.DUMMYFUNCTION("""COMPUTED_VALUE"""),"SCOPUS-000244")</f>
        <v>SCOPUS-000244</v>
      </c>
      <c r="B143" s="5" t="str">
        <f>IFERROR(__xludf.DUMMYFUNCTION("""COMPUTED_VALUE"""),"SCOPUS-000244-7")</f>
        <v>SCOPUS-000244-7</v>
      </c>
      <c r="C143" s="6" t="str">
        <f>IFERROR(__xludf.DUMMYFUNCTION("""COMPUTED_VALUE"""),"NNCLR")</f>
        <v>NNCLR</v>
      </c>
      <c r="D143" s="5" t="str">
        <f>IFERROR(__xludf.DUMMYFUNCTION("""COMPUTED_VALUE"""),"Top-1 Accuracy")</f>
        <v>Top-1 Accuracy</v>
      </c>
      <c r="E143" s="5" t="str">
        <f>IFERROR(__xludf.DUMMYFUNCTION("""COMPUTED_VALUE"""),"Accuracy")</f>
        <v>Accuracy</v>
      </c>
      <c r="F143" s="5">
        <f>IFERROR(__xludf.DUMMYFUNCTION("""COMPUTED_VALUE"""),84.36)</f>
        <v>84.36</v>
      </c>
      <c r="G143" s="5">
        <f>IFERROR(__xludf.DUMMYFUNCTION("""COMPUTED_VALUE"""),15.3)</f>
        <v>15.3</v>
      </c>
    </row>
    <row r="144" ht="15.75" customHeight="1">
      <c r="A144" s="5" t="str">
        <f>IFERROR(__xludf.DUMMYFUNCTION("""COMPUTED_VALUE"""),"SCOPUS-000244")</f>
        <v>SCOPUS-000244</v>
      </c>
      <c r="B144" s="5" t="str">
        <f>IFERROR(__xludf.DUMMYFUNCTION("""COMPUTED_VALUE"""),"SCOPUS-000244-8")</f>
        <v>SCOPUS-000244-8</v>
      </c>
      <c r="C144" s="6" t="str">
        <f>IFERROR(__xludf.DUMMYFUNCTION("""COMPUTED_VALUE"""),"SMoG")</f>
        <v>SMoG</v>
      </c>
      <c r="D144" s="5" t="str">
        <f>IFERROR(__xludf.DUMMYFUNCTION("""COMPUTED_VALUE"""),"Top-1 Accuracy")</f>
        <v>Top-1 Accuracy</v>
      </c>
      <c r="E144" s="5" t="str">
        <f>IFERROR(__xludf.DUMMYFUNCTION("""COMPUTED_VALUE"""),"Accuracy")</f>
        <v>Accuracy</v>
      </c>
      <c r="F144" s="5">
        <f>IFERROR(__xludf.DUMMYFUNCTION("""COMPUTED_VALUE"""),81.38)</f>
        <v>81.38</v>
      </c>
      <c r="G144" s="5">
        <f>IFERROR(__xludf.DUMMYFUNCTION("""COMPUTED_VALUE"""),12.3)</f>
        <v>12.3</v>
      </c>
    </row>
    <row r="145" ht="15.75" customHeight="1">
      <c r="A145" s="5" t="str">
        <f>IFERROR(__xludf.DUMMYFUNCTION("""COMPUTED_VALUE"""),"SCOPUS-000244")</f>
        <v>SCOPUS-000244</v>
      </c>
      <c r="B145" s="5" t="str">
        <f>IFERROR(__xludf.DUMMYFUNCTION("""COMPUTED_VALUE"""),"SCOPUS-000244-9")</f>
        <v>SCOPUS-000244-9</v>
      </c>
      <c r="C145" s="6" t="str">
        <f>IFERROR(__xludf.DUMMYFUNCTION("""COMPUTED_VALUE"""),"SimSiam")</f>
        <v>SimSiam</v>
      </c>
      <c r="D145" s="5" t="str">
        <f>IFERROR(__xludf.DUMMYFUNCTION("""COMPUTED_VALUE"""),"Top-1 Accuracy")</f>
        <v>Top-1 Accuracy</v>
      </c>
      <c r="E145" s="5" t="str">
        <f>IFERROR(__xludf.DUMMYFUNCTION("""COMPUTED_VALUE"""),"Accuracy")</f>
        <v>Accuracy</v>
      </c>
      <c r="F145" s="5">
        <f>IFERROR(__xludf.DUMMYFUNCTION("""COMPUTED_VALUE"""),80.36)</f>
        <v>80.36</v>
      </c>
      <c r="G145" s="5">
        <f>IFERROR(__xludf.DUMMYFUNCTION("""COMPUTED_VALUE"""),11.3)</f>
        <v>11.3</v>
      </c>
    </row>
    <row r="146" ht="15.75" customHeight="1">
      <c r="A146" s="5" t="str">
        <f>IFERROR(__xludf.DUMMYFUNCTION("""COMPUTED_VALUE"""),"SCOPUS-000244")</f>
        <v>SCOPUS-000244</v>
      </c>
      <c r="B146" s="5" t="str">
        <f>IFERROR(__xludf.DUMMYFUNCTION("""COMPUTED_VALUE"""),"SCOPUS-000244-10")</f>
        <v>SCOPUS-000244-10</v>
      </c>
      <c r="C146" s="6" t="str">
        <f>IFERROR(__xludf.DUMMYFUNCTION("""COMPUTED_VALUE"""),"SwaV")</f>
        <v>SwaV</v>
      </c>
      <c r="D146" s="5" t="str">
        <f>IFERROR(__xludf.DUMMYFUNCTION("""COMPUTED_VALUE"""),"Top-1 Accuracy")</f>
        <v>Top-1 Accuracy</v>
      </c>
      <c r="E146" s="5" t="str">
        <f>IFERROR(__xludf.DUMMYFUNCTION("""COMPUTED_VALUE"""),"Accuracy")</f>
        <v>Accuracy</v>
      </c>
      <c r="F146" s="5">
        <f>IFERROR(__xludf.DUMMYFUNCTION("""COMPUTED_VALUE"""),82.49)</f>
        <v>82.49</v>
      </c>
      <c r="G146" s="5">
        <f>IFERROR(__xludf.DUMMYFUNCTION("""COMPUTED_VALUE"""),13.4)</f>
        <v>13.4</v>
      </c>
    </row>
    <row r="147" ht="15.75" customHeight="1">
      <c r="A147" s="5" t="str">
        <f>IFERROR(__xludf.DUMMYFUNCTION("""COMPUTED_VALUE"""),"SCOPUS-000244")</f>
        <v>SCOPUS-000244</v>
      </c>
      <c r="B147" s="5" t="str">
        <f>IFERROR(__xludf.DUMMYFUNCTION("""COMPUTED_VALUE"""),"SCOPUS-000244-11")</f>
        <v>SCOPUS-000244-11</v>
      </c>
      <c r="C147" s="6" t="str">
        <f>IFERROR(__xludf.DUMMYFUNCTION("""COMPUTED_VALUE"""),"TiCo")</f>
        <v>TiCo</v>
      </c>
      <c r="D147" s="5" t="str">
        <f>IFERROR(__xludf.DUMMYFUNCTION("""COMPUTED_VALUE"""),"Top-1 Accuracy")</f>
        <v>Top-1 Accuracy</v>
      </c>
      <c r="E147" s="5" t="str">
        <f>IFERROR(__xludf.DUMMYFUNCTION("""COMPUTED_VALUE"""),"Accuracy")</f>
        <v>Accuracy</v>
      </c>
      <c r="F147" s="5">
        <f>IFERROR(__xludf.DUMMYFUNCTION("""COMPUTED_VALUE"""),76.45)</f>
        <v>76.45</v>
      </c>
      <c r="G147" s="5">
        <f>IFERROR(__xludf.DUMMYFUNCTION("""COMPUTED_VALUE"""),7.4)</f>
        <v>7.4</v>
      </c>
    </row>
    <row r="148" ht="15.75" customHeight="1">
      <c r="A148" s="5" t="str">
        <f>IFERROR(__xludf.DUMMYFUNCTION("""COMPUTED_VALUE"""),"SCOPUS-000244")</f>
        <v>SCOPUS-000244</v>
      </c>
      <c r="B148" s="5" t="str">
        <f>IFERROR(__xludf.DUMMYFUNCTION("""COMPUTED_VALUE"""),"SCOPUS-000244-12")</f>
        <v>SCOPUS-000244-12</v>
      </c>
      <c r="C148" s="6" t="str">
        <f>IFERROR(__xludf.DUMMYFUNCTION("""COMPUTED_VALUE"""),"WeedCLR")</f>
        <v>WeedCLR</v>
      </c>
      <c r="D148" s="5" t="str">
        <f>IFERROR(__xludf.DUMMYFUNCTION("""COMPUTED_VALUE"""),"Top-1 Accuracy")</f>
        <v>Top-1 Accuracy</v>
      </c>
      <c r="E148" s="5" t="str">
        <f>IFERROR(__xludf.DUMMYFUNCTION("""COMPUTED_VALUE"""),"Accuracy")</f>
        <v>Accuracy</v>
      </c>
      <c r="F148" s="5">
        <f>IFERROR(__xludf.DUMMYFUNCTION("""COMPUTED_VALUE"""),91.21)</f>
        <v>91.21</v>
      </c>
      <c r="G148" s="5">
        <f>IFERROR(__xludf.DUMMYFUNCTION("""COMPUTED_VALUE"""),22.1)</f>
        <v>22.1</v>
      </c>
    </row>
    <row r="149" ht="15.75" customHeight="1">
      <c r="A149" s="5" t="str">
        <f>IFERROR(__xludf.DUMMYFUNCTION("""COMPUTED_VALUE"""),"SCOPUS-000320")</f>
        <v>SCOPUS-000320</v>
      </c>
      <c r="B149" s="5" t="str">
        <f>IFERROR(__xludf.DUMMYFUNCTION("""COMPUTED_VALUE"""),"SCOPUS-000320-1")</f>
        <v>SCOPUS-000320-1</v>
      </c>
      <c r="C149" s="6" t="str">
        <f>IFERROR(__xludf.DUMMYFUNCTION("""COMPUTED_VALUE"""),"YOLOv7-x")</f>
        <v>YOLOv7-x</v>
      </c>
      <c r="D149" s="5" t="str">
        <f>IFERROR(__xludf.DUMMYFUNCTION("""COMPUTED_VALUE"""),"mAP@0.5")</f>
        <v>mAP@0.5</v>
      </c>
      <c r="E149" s="5" t="str">
        <f>IFERROR(__xludf.DUMMYFUNCTION("""COMPUTED_VALUE"""),"mAP@0.5")</f>
        <v>mAP@0.5</v>
      </c>
      <c r="F149" s="5">
        <f>IFERROR(__xludf.DUMMYFUNCTION("""COMPUTED_VALUE"""),83.0)</f>
        <v>83</v>
      </c>
      <c r="G149" s="5">
        <f>IFERROR(__xludf.DUMMYFUNCTION("""COMPUTED_VALUE"""),4.0)</f>
        <v>4</v>
      </c>
    </row>
    <row r="150" ht="15.75" customHeight="1">
      <c r="A150" s="5" t="str">
        <f>IFERROR(__xludf.DUMMYFUNCTION("""COMPUTED_VALUE"""),"SCOPUS-000320")</f>
        <v>SCOPUS-000320</v>
      </c>
      <c r="B150" s="5" t="str">
        <f>IFERROR(__xludf.DUMMYFUNCTION("""COMPUTED_VALUE"""),"SCOPUS-000320-2")</f>
        <v>SCOPUS-000320-2</v>
      </c>
      <c r="C150" s="6" t="str">
        <f>IFERROR(__xludf.DUMMYFUNCTION("""COMPUTED_VALUE"""),"YOLOv7")</f>
        <v>YOLOv7</v>
      </c>
      <c r="D150" s="5" t="str">
        <f>IFERROR(__xludf.DUMMYFUNCTION("""COMPUTED_VALUE"""),"mAP@0.5")</f>
        <v>mAP@0.5</v>
      </c>
      <c r="E150" s="5" t="str">
        <f>IFERROR(__xludf.DUMMYFUNCTION("""COMPUTED_VALUE"""),"mAP@0.5")</f>
        <v>mAP@0.5</v>
      </c>
      <c r="F150" s="5">
        <f>IFERROR(__xludf.DUMMYFUNCTION("""COMPUTED_VALUE"""),88.0)</f>
        <v>88</v>
      </c>
      <c r="G150" s="5">
        <f>IFERROR(__xludf.DUMMYFUNCTION("""COMPUTED_VALUE"""),9.0)</f>
        <v>9</v>
      </c>
    </row>
    <row r="151" ht="15.75" customHeight="1">
      <c r="A151" s="5" t="str">
        <f>IFERROR(__xludf.DUMMYFUNCTION("""COMPUTED_VALUE"""),"SCOPUS-000652")</f>
        <v>SCOPUS-000652</v>
      </c>
      <c r="B151" s="5" t="str">
        <f>IFERROR(__xludf.DUMMYFUNCTION("""COMPUTED_VALUE"""),"SCOPUS-000652-1")</f>
        <v>SCOPUS-000652-1</v>
      </c>
      <c r="C151" s="6" t="str">
        <f>IFERROR(__xludf.DUMMYFUNCTION("""COMPUTED_VALUE"""),"Colour")</f>
        <v>Colour</v>
      </c>
      <c r="D151" s="5" t="str">
        <f>IFERROR(__xludf.DUMMYFUNCTION("""COMPUTED_VALUE"""),"mIoU")</f>
        <v>mIoU</v>
      </c>
      <c r="E151" s="5" t="str">
        <f>IFERROR(__xludf.DUMMYFUNCTION("""COMPUTED_VALUE"""),"mIoU")</f>
        <v>mIoU</v>
      </c>
      <c r="F151" s="5">
        <f>IFERROR(__xludf.DUMMYFUNCTION("""COMPUTED_VALUE"""),79.5)</f>
        <v>79.5</v>
      </c>
      <c r="G151" s="5">
        <f>IFERROR(__xludf.DUMMYFUNCTION("""COMPUTED_VALUE"""),20.1)</f>
        <v>20.1</v>
      </c>
    </row>
    <row r="152" ht="15.75" customHeight="1">
      <c r="A152" s="5" t="str">
        <f>IFERROR(__xludf.DUMMYFUNCTION("""COMPUTED_VALUE"""),"SCOPUS-000652")</f>
        <v>SCOPUS-000652</v>
      </c>
      <c r="B152" s="5" t="str">
        <f>IFERROR(__xludf.DUMMYFUNCTION("""COMPUTED_VALUE"""),"SCOPUS-000652-2")</f>
        <v>SCOPUS-000652-2</v>
      </c>
      <c r="C152" s="6" t="str">
        <f>IFERROR(__xludf.DUMMYFUNCTION("""COMPUTED_VALUE"""),"LBP")</f>
        <v>LBP</v>
      </c>
      <c r="D152" s="5" t="str">
        <f>IFERROR(__xludf.DUMMYFUNCTION("""COMPUTED_VALUE"""),"mIoU")</f>
        <v>mIoU</v>
      </c>
      <c r="E152" s="5" t="str">
        <f>IFERROR(__xludf.DUMMYFUNCTION("""COMPUTED_VALUE"""),"mIoU")</f>
        <v>mIoU</v>
      </c>
      <c r="F152" s="5">
        <f>IFERROR(__xludf.DUMMYFUNCTION("""COMPUTED_VALUE"""),81.6)</f>
        <v>81.6</v>
      </c>
      <c r="G152" s="5">
        <f>IFERROR(__xludf.DUMMYFUNCTION("""COMPUTED_VALUE"""),22.2)</f>
        <v>22.2</v>
      </c>
    </row>
    <row r="153" ht="15.75" customHeight="1">
      <c r="A153" s="5" t="str">
        <f>IFERROR(__xludf.DUMMYFUNCTION("""COMPUTED_VALUE"""),"SCOPUS-000352")</f>
        <v>SCOPUS-000352</v>
      </c>
      <c r="B153" s="5" t="str">
        <f>IFERROR(__xludf.DUMMYFUNCTION("""COMPUTED_VALUE"""),"SCOPUS-000352-1")</f>
        <v>SCOPUS-000352-1</v>
      </c>
      <c r="C153" s="6" t="str">
        <f>IFERROR(__xludf.DUMMYFUNCTION("""COMPUTED_VALUE"""),"fcn_resnet50")</f>
        <v>fcn_resnet50</v>
      </c>
      <c r="D153" s="5" t="str">
        <f>IFERROR(__xludf.DUMMYFUNCTION("""COMPUTED_VALUE"""),"mIoU")</f>
        <v>mIoU</v>
      </c>
      <c r="E153" s="5" t="str">
        <f>IFERROR(__xludf.DUMMYFUNCTION("""COMPUTED_VALUE"""),"mIoU")</f>
        <v>mIoU</v>
      </c>
      <c r="F153" s="5">
        <f>IFERROR(__xludf.DUMMYFUNCTION("""COMPUTED_VALUE"""),84.7)</f>
        <v>84.7</v>
      </c>
      <c r="G153" s="5">
        <f>IFERROR(__xludf.DUMMYFUNCTION("""COMPUTED_VALUE"""),5.4)</f>
        <v>5.4</v>
      </c>
    </row>
    <row r="154" ht="15.75" customHeight="1">
      <c r="A154" s="5" t="str">
        <f>IFERROR(__xludf.DUMMYFUNCTION("""COMPUTED_VALUE"""),"SCOPUS-000352")</f>
        <v>SCOPUS-000352</v>
      </c>
      <c r="B154" s="5" t="str">
        <f>IFERROR(__xludf.DUMMYFUNCTION("""COMPUTED_VALUE"""),"SCOPUS-000352-2")</f>
        <v>SCOPUS-000352-2</v>
      </c>
      <c r="C154" s="6" t="str">
        <f>IFERROR(__xludf.DUMMYFUNCTION("""COMPUTED_VALUE"""),"deeplabv3_resnet50")</f>
        <v>deeplabv3_resnet50</v>
      </c>
      <c r="D154" s="5" t="str">
        <f>IFERROR(__xludf.DUMMYFUNCTION("""COMPUTED_VALUE"""),"mIoU")</f>
        <v>mIoU</v>
      </c>
      <c r="E154" s="5" t="str">
        <f>IFERROR(__xludf.DUMMYFUNCTION("""COMPUTED_VALUE"""),"mIoU")</f>
        <v>mIoU</v>
      </c>
      <c r="F154" s="5">
        <f>IFERROR(__xludf.DUMMYFUNCTION("""COMPUTED_VALUE"""),85.2)</f>
        <v>85.2</v>
      </c>
      <c r="G154" s="5">
        <f>IFERROR(__xludf.DUMMYFUNCTION("""COMPUTED_VALUE"""),5.9)</f>
        <v>5.9</v>
      </c>
    </row>
    <row r="155" ht="15.75" customHeight="1">
      <c r="A155" s="5" t="str">
        <f>IFERROR(__xludf.DUMMYFUNCTION("""COMPUTED_VALUE"""),"SCOPUS-000352")</f>
        <v>SCOPUS-000352</v>
      </c>
      <c r="B155" s="5" t="str">
        <f>IFERROR(__xludf.DUMMYFUNCTION("""COMPUTED_VALUE"""),"SCOPUS-000352-3")</f>
        <v>SCOPUS-000352-3</v>
      </c>
      <c r="C155" s="6" t="str">
        <f>IFERROR(__xludf.DUMMYFUNCTION("""COMPUTED_VALUE"""),"squeezenet_unet")</f>
        <v>squeezenet_unet</v>
      </c>
      <c r="D155" s="5" t="str">
        <f>IFERROR(__xludf.DUMMYFUNCTION("""COMPUTED_VALUE"""),"mIoU")</f>
        <v>mIoU</v>
      </c>
      <c r="E155" s="5" t="str">
        <f>IFERROR(__xludf.DUMMYFUNCTION("""COMPUTED_VALUE"""),"mIoU")</f>
        <v>mIoU</v>
      </c>
      <c r="F155" s="5">
        <f>IFERROR(__xludf.DUMMYFUNCTION("""COMPUTED_VALUE"""),86.9)</f>
        <v>86.9</v>
      </c>
      <c r="G155" s="5">
        <f>IFERROR(__xludf.DUMMYFUNCTION("""COMPUTED_VALUE"""),7.6)</f>
        <v>7.6</v>
      </c>
    </row>
    <row r="156" ht="15.75" customHeight="1">
      <c r="A156" s="5" t="str">
        <f>IFERROR(__xludf.DUMMYFUNCTION("""COMPUTED_VALUE"""),"SCOPUS-000352")</f>
        <v>SCOPUS-000352</v>
      </c>
      <c r="B156" s="5" t="str">
        <f>IFERROR(__xludf.DUMMYFUNCTION("""COMPUTED_VALUE"""),"SCOPUS-000352-4")</f>
        <v>SCOPUS-000352-4</v>
      </c>
      <c r="C156" s="6" t="str">
        <f>IFERROR(__xludf.DUMMYFUNCTION("""COMPUTED_VALUE"""),"MobileNetV3_unet")</f>
        <v>MobileNetV3_unet</v>
      </c>
      <c r="D156" s="5" t="str">
        <f>IFERROR(__xludf.DUMMYFUNCTION("""COMPUTED_VALUE"""),"mIoU")</f>
        <v>mIoU</v>
      </c>
      <c r="E156" s="5" t="str">
        <f>IFERROR(__xludf.DUMMYFUNCTION("""COMPUTED_VALUE"""),"mIoU")</f>
        <v>mIoU</v>
      </c>
      <c r="F156" s="5">
        <f>IFERROR(__xludf.DUMMYFUNCTION("""COMPUTED_VALUE"""),87.2)</f>
        <v>87.2</v>
      </c>
      <c r="G156" s="5">
        <f>IFERROR(__xludf.DUMMYFUNCTION("""COMPUTED_VALUE"""),7.9)</f>
        <v>7.9</v>
      </c>
    </row>
    <row r="157" ht="15.75" customHeight="1">
      <c r="A157" s="5" t="str">
        <f>IFERROR(__xludf.DUMMYFUNCTION("""COMPUTED_VALUE"""),"SCOPUS-000352")</f>
        <v>SCOPUS-000352</v>
      </c>
      <c r="B157" s="5" t="str">
        <f>IFERROR(__xludf.DUMMYFUNCTION("""COMPUTED_VALUE"""),"SCOPUS-000352-5")</f>
        <v>SCOPUS-000352-5</v>
      </c>
      <c r="C157" s="6" t="str">
        <f>IFERROR(__xludf.DUMMYFUNCTION("""COMPUTED_VALUE"""),"ours")</f>
        <v>ours</v>
      </c>
      <c r="D157" s="5" t="str">
        <f>IFERROR(__xludf.DUMMYFUNCTION("""COMPUTED_VALUE"""),"mIoU")</f>
        <v>mIoU</v>
      </c>
      <c r="E157" s="5" t="str">
        <f>IFERROR(__xludf.DUMMYFUNCTION("""COMPUTED_VALUE"""),"mIoU")</f>
        <v>mIoU</v>
      </c>
      <c r="F157" s="5">
        <f>IFERROR(__xludf.DUMMYFUNCTION("""COMPUTED_VALUE"""),87.9)</f>
        <v>87.9</v>
      </c>
      <c r="G157" s="5">
        <f>IFERROR(__xludf.DUMMYFUNCTION("""COMPUTED_VALUE"""),3.6)</f>
        <v>3.6</v>
      </c>
    </row>
    <row r="158" ht="15.75" customHeight="1">
      <c r="A158" s="5" t="str">
        <f>IFERROR(__xludf.DUMMYFUNCTION("""COMPUTED_VALUE"""),"SCOPUS-000352")</f>
        <v>SCOPUS-000352</v>
      </c>
      <c r="B158" s="5" t="str">
        <f>IFERROR(__xludf.DUMMYFUNCTION("""COMPUTED_VALUE"""),"SCOPUS-000352-6")</f>
        <v>SCOPUS-000352-6</v>
      </c>
      <c r="C158" s="6" t="str">
        <f>IFERROR(__xludf.DUMMYFUNCTION("""COMPUTED_VALUE"""),"convnext_unet")</f>
        <v>convnext_unet</v>
      </c>
      <c r="D158" s="5" t="str">
        <f>IFERROR(__xludf.DUMMYFUNCTION("""COMPUTED_VALUE"""),"mIoU")</f>
        <v>mIoU</v>
      </c>
      <c r="E158" s="5" t="str">
        <f>IFERROR(__xludf.DUMMYFUNCTION("""COMPUTED_VALUE"""),"mIoU")</f>
        <v>mIoU</v>
      </c>
      <c r="F158" s="5">
        <f>IFERROR(__xludf.DUMMYFUNCTION("""COMPUTED_VALUE"""),88.1)</f>
        <v>88.1</v>
      </c>
      <c r="G158" s="5">
        <f>IFERROR(__xludf.DUMMYFUNCTION("""COMPUTED_VALUE"""),8.8)</f>
        <v>8.8</v>
      </c>
    </row>
    <row r="159" ht="15.75" customHeight="1">
      <c r="A159" s="5" t="str">
        <f>IFERROR(__xludf.DUMMYFUNCTION("""COMPUTED_VALUE"""),"SCOPUS-000175")</f>
        <v>SCOPUS-000175</v>
      </c>
      <c r="B159" s="5" t="str">
        <f>IFERROR(__xludf.DUMMYFUNCTION("""COMPUTED_VALUE"""),"SCOPUS-000175-1")</f>
        <v>SCOPUS-000175-1</v>
      </c>
      <c r="C159" s="6" t="str">
        <f>IFERROR(__xludf.DUMMYFUNCTION("""COMPUTED_VALUE"""),"Yolov10s")</f>
        <v>Yolov10s</v>
      </c>
      <c r="D159" s="5" t="str">
        <f>IFERROR(__xludf.DUMMYFUNCTION("""COMPUTED_VALUE"""),"mAP@0.5")</f>
        <v>mAP@0.5</v>
      </c>
      <c r="E159" s="5" t="str">
        <f>IFERROR(__xludf.DUMMYFUNCTION("""COMPUTED_VALUE"""),"mAP@0.5")</f>
        <v>mAP@0.5</v>
      </c>
      <c r="F159" s="5">
        <f>IFERROR(__xludf.DUMMYFUNCTION("""COMPUTED_VALUE"""),75.5)</f>
        <v>75.5</v>
      </c>
      <c r="G159" s="5">
        <f>IFERROR(__xludf.DUMMYFUNCTION("""COMPUTED_VALUE"""),13.2)</f>
        <v>13.2</v>
      </c>
    </row>
    <row r="160" ht="15.75" customHeight="1">
      <c r="A160" s="5" t="str">
        <f>IFERROR(__xludf.DUMMYFUNCTION("""COMPUTED_VALUE"""),"SCOPUS-000175")</f>
        <v>SCOPUS-000175</v>
      </c>
      <c r="B160" s="5" t="str">
        <f>IFERROR(__xludf.DUMMYFUNCTION("""COMPUTED_VALUE"""),"SCOPUS-000175-2")</f>
        <v>SCOPUS-000175-2</v>
      </c>
      <c r="C160" s="6" t="str">
        <f>IFERROR(__xludf.DUMMYFUNCTION("""COMPUTED_VALUE"""),"PD-YOLO")</f>
        <v>PD-YOLO</v>
      </c>
      <c r="D160" s="5" t="str">
        <f>IFERROR(__xludf.DUMMYFUNCTION("""COMPUTED_VALUE"""),"mAP@0.5")</f>
        <v>mAP@0.5</v>
      </c>
      <c r="E160" s="5" t="str">
        <f>IFERROR(__xludf.DUMMYFUNCTION("""COMPUTED_VALUE"""),"mAP@0.5")</f>
        <v>mAP@0.5</v>
      </c>
      <c r="F160" s="5">
        <f>IFERROR(__xludf.DUMMYFUNCTION("""COMPUTED_VALUE"""),76.8)</f>
        <v>76.8</v>
      </c>
      <c r="G160" s="5">
        <f>IFERROR(__xludf.DUMMYFUNCTION("""COMPUTED_VALUE"""),14.5)</f>
        <v>14.5</v>
      </c>
    </row>
    <row r="161" ht="15.75" customHeight="1">
      <c r="A161" s="5" t="str">
        <f>IFERROR(__xludf.DUMMYFUNCTION("""COMPUTED_VALUE"""),"SCOPUS-000175")</f>
        <v>SCOPUS-000175</v>
      </c>
      <c r="B161" s="5" t="str">
        <f>IFERROR(__xludf.DUMMYFUNCTION("""COMPUTED_VALUE"""),"SCOPUS-000175-3")</f>
        <v>SCOPUS-000175-3</v>
      </c>
      <c r="C161" s="6" t="str">
        <f>IFERROR(__xludf.DUMMYFUNCTION("""COMPUTED_VALUE"""),"Yolov8s")</f>
        <v>Yolov8s</v>
      </c>
      <c r="D161" s="5" t="str">
        <f>IFERROR(__xludf.DUMMYFUNCTION("""COMPUTED_VALUE"""),"mAP@0.5")</f>
        <v>mAP@0.5</v>
      </c>
      <c r="E161" s="5" t="str">
        <f>IFERROR(__xludf.DUMMYFUNCTION("""COMPUTED_VALUE"""),"mAP@0.5")</f>
        <v>mAP@0.5</v>
      </c>
      <c r="F161" s="5">
        <f>IFERROR(__xludf.DUMMYFUNCTION("""COMPUTED_VALUE"""),76.9)</f>
        <v>76.9</v>
      </c>
      <c r="G161" s="5">
        <f>IFERROR(__xludf.DUMMYFUNCTION("""COMPUTED_VALUE"""),14.6)</f>
        <v>14.6</v>
      </c>
    </row>
    <row r="162" ht="15.75" customHeight="1">
      <c r="A162" s="5" t="str">
        <f>IFERROR(__xludf.DUMMYFUNCTION("""COMPUTED_VALUE"""),"SCOPUS-000175")</f>
        <v>SCOPUS-000175</v>
      </c>
      <c r="B162" s="5" t="str">
        <f>IFERROR(__xludf.DUMMYFUNCTION("""COMPUTED_VALUE"""),"SCOPUS-000175-4")</f>
        <v>SCOPUS-000175-4</v>
      </c>
      <c r="C162" s="6" t="str">
        <f>IFERROR(__xludf.DUMMYFUNCTION("""COMPUTED_VALUE"""),"Yolov7-tiny")</f>
        <v>Yolov7-tiny</v>
      </c>
      <c r="D162" s="5" t="str">
        <f>IFERROR(__xludf.DUMMYFUNCTION("""COMPUTED_VALUE"""),"mAP@0.5")</f>
        <v>mAP@0.5</v>
      </c>
      <c r="E162" s="5" t="str">
        <f>IFERROR(__xludf.DUMMYFUNCTION("""COMPUTED_VALUE"""),"mAP@0.5")</f>
        <v>mAP@0.5</v>
      </c>
      <c r="F162" s="5">
        <f>IFERROR(__xludf.DUMMYFUNCTION("""COMPUTED_VALUE"""),76.4)</f>
        <v>76.4</v>
      </c>
      <c r="G162" s="5">
        <f>IFERROR(__xludf.DUMMYFUNCTION("""COMPUTED_VALUE"""),14.1)</f>
        <v>14.1</v>
      </c>
    </row>
    <row r="163" ht="15.75" customHeight="1">
      <c r="A163" s="5" t="str">
        <f>IFERROR(__xludf.DUMMYFUNCTION("""COMPUTED_VALUE"""),"SCOPUS-000175")</f>
        <v>SCOPUS-000175</v>
      </c>
      <c r="B163" s="5" t="str">
        <f>IFERROR(__xludf.DUMMYFUNCTION("""COMPUTED_VALUE"""),"SCOPUS-000175-5")</f>
        <v>SCOPUS-000175-5</v>
      </c>
      <c r="C163" s="6" t="str">
        <f>IFERROR(__xludf.DUMMYFUNCTION("""COMPUTED_VALUE"""),"RT-DETR")</f>
        <v>RT-DETR</v>
      </c>
      <c r="D163" s="5" t="str">
        <f>IFERROR(__xludf.DUMMYFUNCTION("""COMPUTED_VALUE"""),"mAP@0.5")</f>
        <v>mAP@0.5</v>
      </c>
      <c r="E163" s="5" t="str">
        <f>IFERROR(__xludf.DUMMYFUNCTION("""COMPUTED_VALUE"""),"mAP@0.5")</f>
        <v>mAP@0.5</v>
      </c>
      <c r="F163" s="5">
        <f>IFERROR(__xludf.DUMMYFUNCTION("""COMPUTED_VALUE"""),73.6)</f>
        <v>73.6</v>
      </c>
      <c r="G163" s="5">
        <f>IFERROR(__xludf.DUMMYFUNCTION("""COMPUTED_VALUE"""),11.3)</f>
        <v>11.3</v>
      </c>
    </row>
    <row r="164" ht="15.75" customHeight="1">
      <c r="A164" s="5" t="str">
        <f>IFERROR(__xludf.DUMMYFUNCTION("""COMPUTED_VALUE"""),"SCOPUS-000574")</f>
        <v>SCOPUS-000574</v>
      </c>
      <c r="B164" s="5" t="str">
        <f>IFERROR(__xludf.DUMMYFUNCTION("""COMPUTED_VALUE"""),"SCOPUS-000574-1")</f>
        <v>SCOPUS-000574-1</v>
      </c>
      <c r="C164" s="6" t="str">
        <f>IFERROR(__xludf.DUMMYFUNCTION("""COMPUTED_VALUE"""),"PSPNet")</f>
        <v>PSPNet</v>
      </c>
      <c r="D164" s="5" t="str">
        <f>IFERROR(__xludf.DUMMYFUNCTION("""COMPUTED_VALUE"""),"mIoU")</f>
        <v>mIoU</v>
      </c>
      <c r="E164" s="5" t="str">
        <f>IFERROR(__xludf.DUMMYFUNCTION("""COMPUTED_VALUE"""),"mIoU")</f>
        <v>mIoU</v>
      </c>
      <c r="F164" s="5">
        <f>IFERROR(__xludf.DUMMYFUNCTION("""COMPUTED_VALUE"""),63.53)</f>
        <v>63.53</v>
      </c>
      <c r="G164" s="5">
        <f>IFERROR(__xludf.DUMMYFUNCTION("""COMPUTED_VALUE"""),0.5)</f>
        <v>0.5</v>
      </c>
    </row>
    <row r="165" ht="15.75" customHeight="1">
      <c r="A165" s="5" t="str">
        <f>IFERROR(__xludf.DUMMYFUNCTION("""COMPUTED_VALUE"""),"SCOPUS-000574")</f>
        <v>SCOPUS-000574</v>
      </c>
      <c r="B165" s="5" t="str">
        <f>IFERROR(__xludf.DUMMYFUNCTION("""COMPUTED_VALUE"""),"SCOPUS-000574-2")</f>
        <v>SCOPUS-000574-2</v>
      </c>
      <c r="C165" s="6" t="str">
        <f>IFERROR(__xludf.DUMMYFUNCTION("""COMPUTED_VALUE"""),"Proposed")</f>
        <v>Proposed</v>
      </c>
      <c r="D165" s="5" t="str">
        <f>IFERROR(__xludf.DUMMYFUNCTION("""COMPUTED_VALUE"""),"mIoU")</f>
        <v>mIoU</v>
      </c>
      <c r="E165" s="5" t="str">
        <f>IFERROR(__xludf.DUMMYFUNCTION("""COMPUTED_VALUE"""),"mIoU")</f>
        <v>mIoU</v>
      </c>
      <c r="F165" s="5">
        <f>IFERROR(__xludf.DUMMYFUNCTION("""COMPUTED_VALUE"""),73.53)</f>
        <v>73.53</v>
      </c>
      <c r="G165" s="5">
        <f>IFERROR(__xludf.DUMMYFUNCTION("""COMPUTED_VALUE"""),7.7)</f>
        <v>7.7</v>
      </c>
    </row>
    <row r="166" ht="15.75" customHeight="1">
      <c r="A166" s="5" t="str">
        <f>IFERROR(__xludf.DUMMYFUNCTION("""COMPUTED_VALUE"""),"SCOPUS-000358")</f>
        <v>SCOPUS-000358</v>
      </c>
      <c r="B166" s="5" t="str">
        <f>IFERROR(__xludf.DUMMYFUNCTION("""COMPUTED_VALUE"""),"SCOPUS-000358-1")</f>
        <v>SCOPUS-000358-1</v>
      </c>
      <c r="C166" s="6" t="str">
        <f>IFERROR(__xludf.DUMMYFUNCTION("""COMPUTED_VALUE"""),"DeeplabV3")</f>
        <v>DeeplabV3</v>
      </c>
      <c r="D166" s="5" t="str">
        <f>IFERROR(__xludf.DUMMYFUNCTION("""COMPUTED_VALUE"""),"mIoU")</f>
        <v>mIoU</v>
      </c>
      <c r="E166" s="5" t="str">
        <f>IFERROR(__xludf.DUMMYFUNCTION("""COMPUTED_VALUE"""),"mIoU")</f>
        <v>mIoU</v>
      </c>
      <c r="F166" s="5">
        <f>IFERROR(__xludf.DUMMYFUNCTION("""COMPUTED_VALUE"""),78.9)</f>
        <v>78.9</v>
      </c>
      <c r="G166" s="5">
        <f>IFERROR(__xludf.DUMMYFUNCTION("""COMPUTED_VALUE"""),0.1)</f>
        <v>0.1</v>
      </c>
    </row>
    <row r="167" ht="15.75" customHeight="1">
      <c r="A167" s="5" t="str">
        <f>IFERROR(__xludf.DUMMYFUNCTION("""COMPUTED_VALUE"""),"SCOPUS-000358")</f>
        <v>SCOPUS-000358</v>
      </c>
      <c r="B167" s="5" t="str">
        <f>IFERROR(__xludf.DUMMYFUNCTION("""COMPUTED_VALUE"""),"SCOPUS-000358-2")</f>
        <v>SCOPUS-000358-2</v>
      </c>
      <c r="C167" s="6" t="str">
        <f>IFERROR(__xludf.DUMMYFUNCTION("""COMPUTED_VALUE"""),"UNet")</f>
        <v>UNet</v>
      </c>
      <c r="D167" s="5" t="str">
        <f>IFERROR(__xludf.DUMMYFUNCTION("""COMPUTED_VALUE"""),"mIoU")</f>
        <v>mIoU</v>
      </c>
      <c r="E167" s="5" t="str">
        <f>IFERROR(__xludf.DUMMYFUNCTION("""COMPUTED_VALUE"""),"mIoU")</f>
        <v>mIoU</v>
      </c>
      <c r="F167" s="5">
        <f>IFERROR(__xludf.DUMMYFUNCTION("""COMPUTED_VALUE"""),84.0)</f>
        <v>84</v>
      </c>
      <c r="G167" s="5">
        <f>IFERROR(__xludf.DUMMYFUNCTION("""COMPUTED_VALUE"""),5.2)</f>
        <v>5.2</v>
      </c>
    </row>
    <row r="168" ht="15.75" customHeight="1">
      <c r="A168" s="5" t="str">
        <f>IFERROR(__xludf.DUMMYFUNCTION("""COMPUTED_VALUE"""),"SCOPUS-000358")</f>
        <v>SCOPUS-000358</v>
      </c>
      <c r="B168" s="5" t="str">
        <f>IFERROR(__xludf.DUMMYFUNCTION("""COMPUTED_VALUE"""),"SCOPUS-000358-3")</f>
        <v>SCOPUS-000358-3</v>
      </c>
      <c r="C168" s="6" t="str">
        <f>IFERROR(__xludf.DUMMYFUNCTION("""COMPUTED_VALUE"""),"CED-Net")</f>
        <v>CED-Net</v>
      </c>
      <c r="D168" s="5" t="str">
        <f>IFERROR(__xludf.DUMMYFUNCTION("""COMPUTED_VALUE"""),"mIoU")</f>
        <v>mIoU</v>
      </c>
      <c r="E168" s="5" t="str">
        <f>IFERROR(__xludf.DUMMYFUNCTION("""COMPUTED_VALUE"""),"mIoU")</f>
        <v>mIoU</v>
      </c>
      <c r="F168" s="5">
        <f>IFERROR(__xludf.DUMMYFUNCTION("""COMPUTED_VALUE"""),84.41)</f>
        <v>84.41</v>
      </c>
      <c r="G168" s="5">
        <f>IFERROR(__xludf.DUMMYFUNCTION("""COMPUTED_VALUE"""),5.6)</f>
        <v>5.6</v>
      </c>
    </row>
    <row r="169" ht="15.75" customHeight="1">
      <c r="A169" s="5" t="str">
        <f>IFERROR(__xludf.DUMMYFUNCTION("""COMPUTED_VALUE"""),"SCOPUS-000358")</f>
        <v>SCOPUS-000358</v>
      </c>
      <c r="B169" s="5" t="str">
        <f>IFERROR(__xludf.DUMMYFUNCTION("""COMPUTED_VALUE"""),"SCOPUS-000358-4")</f>
        <v>SCOPUS-000358-4</v>
      </c>
      <c r="C169" s="6" t="str">
        <f>IFERROR(__xludf.DUMMYFUNCTION("""COMPUTED_VALUE"""),"MTS-CNN")</f>
        <v>MTS-CNN</v>
      </c>
      <c r="D169" s="5" t="str">
        <f>IFERROR(__xludf.DUMMYFUNCTION("""COMPUTED_VALUE"""),"mIoU")</f>
        <v>mIoU</v>
      </c>
      <c r="E169" s="5" t="str">
        <f>IFERROR(__xludf.DUMMYFUNCTION("""COMPUTED_VALUE"""),"mIoU")</f>
        <v>mIoU</v>
      </c>
      <c r="F169" s="5">
        <f>IFERROR(__xludf.DUMMYFUNCTION("""COMPUTED_VALUE"""),86.84)</f>
        <v>86.84</v>
      </c>
      <c r="G169" s="5">
        <f>IFERROR(__xludf.DUMMYFUNCTION("""COMPUTED_VALUE"""),8.1)</f>
        <v>8.1</v>
      </c>
    </row>
    <row r="170" ht="15.75" customHeight="1">
      <c r="A170" s="5" t="str">
        <f>IFERROR(__xludf.DUMMYFUNCTION("""COMPUTED_VALUE"""),"SCOPUS-000358")</f>
        <v>SCOPUS-000358</v>
      </c>
      <c r="B170" s="5" t="str">
        <f>IFERROR(__xludf.DUMMYFUNCTION("""COMPUTED_VALUE"""),"SCOPUS-000358-5")</f>
        <v>SCOPUS-000358-5</v>
      </c>
      <c r="C170" s="6" t="str">
        <f>IFERROR(__xludf.DUMMYFUNCTION("""COMPUTED_VALUE"""),"SC-Net")</f>
        <v>SC-Net</v>
      </c>
      <c r="D170" s="5" t="str">
        <f>IFERROR(__xludf.DUMMYFUNCTION("""COMPUTED_VALUE"""),"mIoU")</f>
        <v>mIoU</v>
      </c>
      <c r="E170" s="5" t="str">
        <f>IFERROR(__xludf.DUMMYFUNCTION("""COMPUTED_VALUE"""),"mIoU")</f>
        <v>mIoU</v>
      </c>
      <c r="F170" s="5">
        <f>IFERROR(__xludf.DUMMYFUNCTION("""COMPUTED_VALUE"""),87.48)</f>
        <v>87.48</v>
      </c>
      <c r="G170" s="5">
        <f>IFERROR(__xludf.DUMMYFUNCTION("""COMPUTED_VALUE"""),8.7)</f>
        <v>8.7</v>
      </c>
    </row>
    <row r="171" ht="15.75" customHeight="1">
      <c r="A171" s="5" t="str">
        <f>IFERROR(__xludf.DUMMYFUNCTION("""COMPUTED_VALUE"""),"SCOPUS-000265")</f>
        <v>SCOPUS-000265</v>
      </c>
      <c r="B171" s="5" t="str">
        <f>IFERROR(__xludf.DUMMYFUNCTION("""COMPUTED_VALUE"""),"SCOPUS-000265-1")</f>
        <v>SCOPUS-000265-1</v>
      </c>
      <c r="C171" s="6" t="str">
        <f>IFERROR(__xludf.DUMMYFUNCTION("""COMPUTED_VALUE"""),"SSD")</f>
        <v>SSD</v>
      </c>
      <c r="D171" s="5" t="str">
        <f>IFERROR(__xludf.DUMMYFUNCTION("""COMPUTED_VALUE"""),"mAP@0.5")</f>
        <v>mAP@0.5</v>
      </c>
      <c r="E171" s="5" t="str">
        <f>IFERROR(__xludf.DUMMYFUNCTION("""COMPUTED_VALUE"""),"mAP@0.5")</f>
        <v>mAP@0.5</v>
      </c>
      <c r="F171" s="5">
        <f>IFERROR(__xludf.DUMMYFUNCTION("""COMPUTED_VALUE"""),83.7)</f>
        <v>83.7</v>
      </c>
      <c r="G171" s="5">
        <f>IFERROR(__xludf.DUMMYFUNCTION("""COMPUTED_VALUE"""),1.8)</f>
        <v>1.8</v>
      </c>
    </row>
    <row r="172" ht="15.75" customHeight="1">
      <c r="A172" s="5" t="str">
        <f>IFERROR(__xludf.DUMMYFUNCTION("""COMPUTED_VALUE"""),"SCOPUS-000265")</f>
        <v>SCOPUS-000265</v>
      </c>
      <c r="B172" s="5" t="str">
        <f>IFERROR(__xludf.DUMMYFUNCTION("""COMPUTED_VALUE"""),"SCOPUS-000265-2")</f>
        <v>SCOPUS-000265-2</v>
      </c>
      <c r="C172" s="6" t="str">
        <f>IFERROR(__xludf.DUMMYFUNCTION("""COMPUTED_VALUE"""),"EfficientDet")</f>
        <v>EfficientDet</v>
      </c>
      <c r="D172" s="5" t="str">
        <f>IFERROR(__xludf.DUMMYFUNCTION("""COMPUTED_VALUE"""),"mAP@0.5")</f>
        <v>mAP@0.5</v>
      </c>
      <c r="E172" s="5" t="str">
        <f>IFERROR(__xludf.DUMMYFUNCTION("""COMPUTED_VALUE"""),"mAP@0.5")</f>
        <v>mAP@0.5</v>
      </c>
      <c r="F172" s="5">
        <f>IFERROR(__xludf.DUMMYFUNCTION("""COMPUTED_VALUE"""),84.1)</f>
        <v>84.1</v>
      </c>
      <c r="G172" s="5">
        <f>IFERROR(__xludf.DUMMYFUNCTION("""COMPUTED_VALUE"""),2.2)</f>
        <v>2.2</v>
      </c>
    </row>
    <row r="173" ht="15.75" customHeight="1">
      <c r="A173" s="5" t="str">
        <f>IFERROR(__xludf.DUMMYFUNCTION("""COMPUTED_VALUE"""),"SCOPUS-000265")</f>
        <v>SCOPUS-000265</v>
      </c>
      <c r="B173" s="5" t="str">
        <f>IFERROR(__xludf.DUMMYFUNCTION("""COMPUTED_VALUE"""),"SCOPUS-000265-3")</f>
        <v>SCOPUS-000265-3</v>
      </c>
      <c r="C173" s="6" t="str">
        <f>IFERROR(__xludf.DUMMYFUNCTION("""COMPUTED_VALUE"""),"DETR")</f>
        <v>DETR</v>
      </c>
      <c r="D173" s="5" t="str">
        <f>IFERROR(__xludf.DUMMYFUNCTION("""COMPUTED_VALUE"""),"mAP@0.5")</f>
        <v>mAP@0.5</v>
      </c>
      <c r="E173" s="5" t="str">
        <f>IFERROR(__xludf.DUMMYFUNCTION("""COMPUTED_VALUE"""),"mAP@0.5")</f>
        <v>mAP@0.5</v>
      </c>
      <c r="F173" s="5">
        <f>IFERROR(__xludf.DUMMYFUNCTION("""COMPUTED_VALUE"""),87.2)</f>
        <v>87.2</v>
      </c>
      <c r="G173" s="5">
        <f>IFERROR(__xludf.DUMMYFUNCTION("""COMPUTED_VALUE"""),5.3)</f>
        <v>5.3</v>
      </c>
    </row>
    <row r="174" ht="15.75" customHeight="1">
      <c r="A174" s="5" t="str">
        <f>IFERROR(__xludf.DUMMYFUNCTION("""COMPUTED_VALUE"""),"SCOPUS-000265")</f>
        <v>SCOPUS-000265</v>
      </c>
      <c r="B174" s="5" t="str">
        <f>IFERROR(__xludf.DUMMYFUNCTION("""COMPUTED_VALUE"""),"SCOPUS-000265-4")</f>
        <v>SCOPUS-000265-4</v>
      </c>
      <c r="C174" s="6" t="str">
        <f>IFERROR(__xludf.DUMMYFUNCTION("""COMPUTED_VALUE"""),"YOLOv3")</f>
        <v>YOLOv3</v>
      </c>
      <c r="D174" s="5" t="str">
        <f>IFERROR(__xludf.DUMMYFUNCTION("""COMPUTED_VALUE"""),"mAP@0.5")</f>
        <v>mAP@0.5</v>
      </c>
      <c r="E174" s="5" t="str">
        <f>IFERROR(__xludf.DUMMYFUNCTION("""COMPUTED_VALUE"""),"mAP@0.5")</f>
        <v>mAP@0.5</v>
      </c>
      <c r="F174" s="5">
        <f>IFERROR(__xludf.DUMMYFUNCTION("""COMPUTED_VALUE"""),87.4)</f>
        <v>87.4</v>
      </c>
      <c r="G174" s="5">
        <f>IFERROR(__xludf.DUMMYFUNCTION("""COMPUTED_VALUE"""),5.5)</f>
        <v>5.5</v>
      </c>
    </row>
    <row r="175" ht="15.75" customHeight="1">
      <c r="A175" s="5" t="str">
        <f>IFERROR(__xludf.DUMMYFUNCTION("""COMPUTED_VALUE"""),"SCOPUS-000265")</f>
        <v>SCOPUS-000265</v>
      </c>
      <c r="B175" s="5" t="str">
        <f>IFERROR(__xludf.DUMMYFUNCTION("""COMPUTED_VALUE"""),"SCOPUS-000265-5")</f>
        <v>SCOPUS-000265-5</v>
      </c>
      <c r="C175" s="6" t="str">
        <f>IFERROR(__xludf.DUMMYFUNCTION("""COMPUTED_VALUE"""),"STBNA-YOLOv5")</f>
        <v>STBNA-YOLOv5</v>
      </c>
      <c r="D175" s="5" t="str">
        <f>IFERROR(__xludf.DUMMYFUNCTION("""COMPUTED_VALUE"""),"mAP@0.5")</f>
        <v>mAP@0.5</v>
      </c>
      <c r="E175" s="5" t="str">
        <f>IFERROR(__xludf.DUMMYFUNCTION("""COMPUTED_VALUE"""),"mAP@0.5")</f>
        <v>mAP@0.5</v>
      </c>
      <c r="F175" s="5">
        <f>IFERROR(__xludf.DUMMYFUNCTION("""COMPUTED_VALUE"""),90.8)</f>
        <v>90.8</v>
      </c>
      <c r="G175" s="5">
        <f>IFERROR(__xludf.DUMMYFUNCTION("""COMPUTED_VALUE"""),8.9)</f>
        <v>8.9</v>
      </c>
    </row>
    <row r="176" ht="15.75" customHeight="1">
      <c r="A176" s="5" t="str">
        <f>IFERROR(__xludf.DUMMYFUNCTION("""COMPUTED_VALUE"""),"SCOPUS-000563")</f>
        <v>SCOPUS-000563</v>
      </c>
      <c r="B176" s="5" t="str">
        <f>IFERROR(__xludf.DUMMYFUNCTION("""COMPUTED_VALUE"""),"SCOPUS-000563-1")</f>
        <v>SCOPUS-000563-1</v>
      </c>
      <c r="C176" s="6" t="str">
        <f>IFERROR(__xludf.DUMMYFUNCTION("""COMPUTED_VALUE"""),"YOLOv5")</f>
        <v>YOLOv5</v>
      </c>
      <c r="D176" s="5" t="str">
        <f>IFERROR(__xludf.DUMMYFUNCTION("""COMPUTED_VALUE"""),"mAP@0.5")</f>
        <v>mAP@0.5</v>
      </c>
      <c r="E176" s="5" t="str">
        <f>IFERROR(__xludf.DUMMYFUNCTION("""COMPUTED_VALUE"""),"mAP@0.5")</f>
        <v>mAP@0.5</v>
      </c>
      <c r="F176" s="5">
        <f>IFERROR(__xludf.DUMMYFUNCTION("""COMPUTED_VALUE"""),88.0)</f>
        <v>88</v>
      </c>
      <c r="G176" s="5">
        <f>IFERROR(__xludf.DUMMYFUNCTION("""COMPUTED_VALUE"""),35.0)</f>
        <v>35</v>
      </c>
    </row>
    <row r="177" ht="15.75" customHeight="1">
      <c r="A177" s="5" t="str">
        <f>IFERROR(__xludf.DUMMYFUNCTION("""COMPUTED_VALUE"""),"SCOPUS-000333")</f>
        <v>SCOPUS-000333</v>
      </c>
      <c r="B177" s="5" t="str">
        <f>IFERROR(__xludf.DUMMYFUNCTION("""COMPUTED_VALUE"""),"SCOPUS-000333-1")</f>
        <v>SCOPUS-000333-1</v>
      </c>
      <c r="C177" s="6" t="str">
        <f>IFERROR(__xludf.DUMMYFUNCTION("""COMPUTED_VALUE"""),"Randomly-oriented")</f>
        <v>Randomly-oriented</v>
      </c>
      <c r="D177" s="5" t="str">
        <f>IFERROR(__xludf.DUMMYFUNCTION("""COMPUTED_VALUE"""),"mAP")</f>
        <v>mAP</v>
      </c>
      <c r="E177" s="5" t="str">
        <f>IFERROR(__xludf.DUMMYFUNCTION("""COMPUTED_VALUE"""),"mAP@0.5")</f>
        <v>mAP@0.5</v>
      </c>
      <c r="F177" s="5">
        <f>IFERROR(__xludf.DUMMYFUNCTION("""COMPUTED_VALUE"""),60.0)</f>
        <v>60</v>
      </c>
      <c r="G177" s="5">
        <f>IFERROR(__xludf.DUMMYFUNCTION("""COMPUTED_VALUE"""),10.0)</f>
        <v>10</v>
      </c>
    </row>
    <row r="178" ht="15.75" customHeight="1">
      <c r="A178" s="5" t="str">
        <f>IFERROR(__xludf.DUMMYFUNCTION("""COMPUTED_VALUE"""),"SCOPUS-000333")</f>
        <v>SCOPUS-000333</v>
      </c>
      <c r="B178" s="5" t="str">
        <f>IFERROR(__xludf.DUMMYFUNCTION("""COMPUTED_VALUE"""),"SCOPUS-000333-2")</f>
        <v>SCOPUS-000333-2</v>
      </c>
      <c r="C178" s="6" t="str">
        <f>IFERROR(__xludf.DUMMYFUNCTION("""COMPUTED_VALUE"""),"Row-oriented")</f>
        <v>Row-oriented</v>
      </c>
      <c r="D178" s="5" t="str">
        <f>IFERROR(__xludf.DUMMYFUNCTION("""COMPUTED_VALUE"""),"mAP")</f>
        <v>mAP</v>
      </c>
      <c r="E178" s="5" t="str">
        <f>IFERROR(__xludf.DUMMYFUNCTION("""COMPUTED_VALUE"""),"mAP@0.5")</f>
        <v>mAP@0.5</v>
      </c>
      <c r="F178" s="5">
        <f>IFERROR(__xludf.DUMMYFUNCTION("""COMPUTED_VALUE"""),71.0)</f>
        <v>71</v>
      </c>
      <c r="G178" s="5">
        <f>IFERROR(__xludf.DUMMYFUNCTION("""COMPUTED_VALUE"""),21.0)</f>
        <v>21</v>
      </c>
    </row>
    <row r="179" ht="15.75" customHeight="1">
      <c r="A179" s="5" t="str">
        <f>IFERROR(__xludf.DUMMYFUNCTION("""COMPUTED_VALUE"""),"SCOPUS-000333")</f>
        <v>SCOPUS-000333</v>
      </c>
      <c r="B179" s="5" t="str">
        <f>IFERROR(__xludf.DUMMYFUNCTION("""COMPUTED_VALUE"""),"SCOPUS-000333-3")</f>
        <v>SCOPUS-000333-3</v>
      </c>
      <c r="C179" s="6" t="str">
        <f>IFERROR(__xludf.DUMMYFUNCTION("""COMPUTED_VALUE"""),"Mixed dataset")</f>
        <v>Mixed dataset</v>
      </c>
      <c r="D179" s="5" t="str">
        <f>IFERROR(__xludf.DUMMYFUNCTION("""COMPUTED_VALUE"""),"mAP")</f>
        <v>mAP</v>
      </c>
      <c r="E179" s="5" t="str">
        <f>IFERROR(__xludf.DUMMYFUNCTION("""COMPUTED_VALUE"""),"mAP@0.5")</f>
        <v>mAP@0.5</v>
      </c>
      <c r="F179" s="5">
        <f>IFERROR(__xludf.DUMMYFUNCTION("""COMPUTED_VALUE"""),87.0)</f>
        <v>87</v>
      </c>
      <c r="G179" s="5">
        <f>IFERROR(__xludf.DUMMYFUNCTION("""COMPUTED_VALUE"""),37.0)</f>
        <v>37</v>
      </c>
    </row>
    <row r="180" ht="15.75" customHeight="1">
      <c r="A180" s="5" t="str">
        <f>IFERROR(__xludf.DUMMYFUNCTION("""COMPUTED_VALUE"""),"SCOPUS-000391")</f>
        <v>SCOPUS-000391</v>
      </c>
      <c r="B180" s="5" t="str">
        <f>IFERROR(__xludf.DUMMYFUNCTION("""COMPUTED_VALUE"""),"SCOPUS-000391-1")</f>
        <v>SCOPUS-000391-1</v>
      </c>
      <c r="C180" s="6" t="str">
        <f>IFERROR(__xludf.DUMMYFUNCTION("""COMPUTED_VALUE"""),"KNN")</f>
        <v>KNN</v>
      </c>
      <c r="D180" s="5" t="str">
        <f>IFERROR(__xludf.DUMMYFUNCTION("""COMPUTED_VALUE"""),"Accuracy")</f>
        <v>Accuracy</v>
      </c>
      <c r="E180" s="5" t="str">
        <f>IFERROR(__xludf.DUMMYFUNCTION("""COMPUTED_VALUE"""),"Accuracy")</f>
        <v>Accuracy</v>
      </c>
      <c r="F180" s="5">
        <f>IFERROR(__xludf.DUMMYFUNCTION("""COMPUTED_VALUE"""),72.14)</f>
        <v>72.14</v>
      </c>
      <c r="G180" s="5">
        <f>IFERROR(__xludf.DUMMYFUNCTION("""COMPUTED_VALUE"""),17.9)</f>
        <v>17.9</v>
      </c>
    </row>
    <row r="181" ht="15.75" customHeight="1">
      <c r="A181" s="5" t="str">
        <f>IFERROR(__xludf.DUMMYFUNCTION("""COMPUTED_VALUE"""),"SCOPUS-000391")</f>
        <v>SCOPUS-000391</v>
      </c>
      <c r="B181" s="5" t="str">
        <f>IFERROR(__xludf.DUMMYFUNCTION("""COMPUTED_VALUE"""),"SCOPUS-000391-2")</f>
        <v>SCOPUS-000391-2</v>
      </c>
      <c r="C181" s="6" t="str">
        <f>IFERROR(__xludf.DUMMYFUNCTION("""COMPUTED_VALUE"""),"LeNet5")</f>
        <v>LeNet5</v>
      </c>
      <c r="D181" s="5" t="str">
        <f>IFERROR(__xludf.DUMMYFUNCTION("""COMPUTED_VALUE"""),"Accuracy")</f>
        <v>Accuracy</v>
      </c>
      <c r="E181" s="5" t="str">
        <f>IFERROR(__xludf.DUMMYFUNCTION("""COMPUTED_VALUE"""),"Accuracy")</f>
        <v>Accuracy</v>
      </c>
      <c r="F181" s="5">
        <f>IFERROR(__xludf.DUMMYFUNCTION("""COMPUTED_VALUE"""),85.12)</f>
        <v>85.12</v>
      </c>
      <c r="G181" s="5">
        <f>IFERROR(__xludf.DUMMYFUNCTION("""COMPUTED_VALUE"""),30.9)</f>
        <v>30.9</v>
      </c>
    </row>
    <row r="182" ht="15.75" customHeight="1">
      <c r="A182" s="5" t="str">
        <f>IFERROR(__xludf.DUMMYFUNCTION("""COMPUTED_VALUE"""),"SCOPUS-000391")</f>
        <v>SCOPUS-000391</v>
      </c>
      <c r="B182" s="5" t="str">
        <f>IFERROR(__xludf.DUMMYFUNCTION("""COMPUTED_VALUE"""),"SCOPUS-000391-3")</f>
        <v>SCOPUS-000391-3</v>
      </c>
      <c r="C182" s="6" t="str">
        <f>IFERROR(__xludf.DUMMYFUNCTION("""COMPUTED_VALUE"""),"VGG-11")</f>
        <v>VGG-11</v>
      </c>
      <c r="D182" s="5" t="str">
        <f>IFERROR(__xludf.DUMMYFUNCTION("""COMPUTED_VALUE"""),"Accuracy")</f>
        <v>Accuracy</v>
      </c>
      <c r="E182" s="5" t="str">
        <f>IFERROR(__xludf.DUMMYFUNCTION("""COMPUTED_VALUE"""),"Accuracy")</f>
        <v>Accuracy</v>
      </c>
      <c r="F182" s="5">
        <f>IFERROR(__xludf.DUMMYFUNCTION("""COMPUTED_VALUE"""),85.73)</f>
        <v>85.73</v>
      </c>
      <c r="G182" s="5">
        <f>IFERROR(__xludf.DUMMYFUNCTION("""COMPUTED_VALUE"""),31.5)</f>
        <v>31.5</v>
      </c>
    </row>
    <row r="183" ht="15.75" customHeight="1">
      <c r="A183" s="5" t="str">
        <f>IFERROR(__xludf.DUMMYFUNCTION("""COMPUTED_VALUE"""),"SCOPUS-000391")</f>
        <v>SCOPUS-000391</v>
      </c>
      <c r="B183" s="5" t="str">
        <f>IFERROR(__xludf.DUMMYFUNCTION("""COMPUTED_VALUE"""),"SCOPUS-000391-4")</f>
        <v>SCOPUS-000391-4</v>
      </c>
      <c r="C183" s="6" t="str">
        <f>IFERROR(__xludf.DUMMYFUNCTION("""COMPUTED_VALUE"""),"VGG-16")</f>
        <v>VGG-16</v>
      </c>
      <c r="D183" s="5" t="str">
        <f>IFERROR(__xludf.DUMMYFUNCTION("""COMPUTED_VALUE"""),"Accuracy")</f>
        <v>Accuracy</v>
      </c>
      <c r="E183" s="5" t="str">
        <f>IFERROR(__xludf.DUMMYFUNCTION("""COMPUTED_VALUE"""),"Accuracy")</f>
        <v>Accuracy</v>
      </c>
      <c r="F183" s="5">
        <f>IFERROR(__xludf.DUMMYFUNCTION("""COMPUTED_VALUE"""),86.24)</f>
        <v>86.24</v>
      </c>
      <c r="G183" s="5">
        <f>IFERROR(__xludf.DUMMYFUNCTION("""COMPUTED_VALUE"""),32.0)</f>
        <v>32</v>
      </c>
    </row>
    <row r="184" ht="15.75" customHeight="1">
      <c r="A184" s="5" t="str">
        <f>IFERROR(__xludf.DUMMYFUNCTION("""COMPUTED_VALUE"""),"SCOPUS-000391")</f>
        <v>SCOPUS-000391</v>
      </c>
      <c r="B184" s="5" t="str">
        <f>IFERROR(__xludf.DUMMYFUNCTION("""COMPUTED_VALUE"""),"SCOPUS-000391-5")</f>
        <v>SCOPUS-000391-5</v>
      </c>
      <c r="C184" s="6" t="str">
        <f>IFERROR(__xludf.DUMMYFUNCTION("""COMPUTED_VALUE"""),"ResNet18")</f>
        <v>ResNet18</v>
      </c>
      <c r="D184" s="5" t="str">
        <f>IFERROR(__xludf.DUMMYFUNCTION("""COMPUTED_VALUE"""),"Accuracy")</f>
        <v>Accuracy</v>
      </c>
      <c r="E184" s="5" t="str">
        <f>IFERROR(__xludf.DUMMYFUNCTION("""COMPUTED_VALUE"""),"Accuracy")</f>
        <v>Accuracy</v>
      </c>
      <c r="F184" s="5">
        <f>IFERROR(__xludf.DUMMYFUNCTION("""COMPUTED_VALUE"""),87.11)</f>
        <v>87.11</v>
      </c>
      <c r="G184" s="5">
        <f>IFERROR(__xludf.DUMMYFUNCTION("""COMPUTED_VALUE"""),32.9)</f>
        <v>32.9</v>
      </c>
    </row>
    <row r="185" ht="15.75" customHeight="1">
      <c r="A185" s="5" t="str">
        <f>IFERROR(__xludf.DUMMYFUNCTION("""COMPUTED_VALUE"""),"SCOPUS-000391")</f>
        <v>SCOPUS-000391</v>
      </c>
      <c r="B185" s="5" t="str">
        <f>IFERROR(__xludf.DUMMYFUNCTION("""COMPUTED_VALUE"""),"SCOPUS-000391-6")</f>
        <v>SCOPUS-000391-6</v>
      </c>
      <c r="C185" s="6" t="str">
        <f>IFERROR(__xludf.DUMMYFUNCTION("""COMPUTED_VALUE"""),"ResNet50")</f>
        <v>ResNet50</v>
      </c>
      <c r="D185" s="5" t="str">
        <f>IFERROR(__xludf.DUMMYFUNCTION("""COMPUTED_VALUE"""),"Accuracy")</f>
        <v>Accuracy</v>
      </c>
      <c r="E185" s="5" t="str">
        <f>IFERROR(__xludf.DUMMYFUNCTION("""COMPUTED_VALUE"""),"Accuracy")</f>
        <v>Accuracy</v>
      </c>
      <c r="F185" s="5">
        <f>IFERROR(__xludf.DUMMYFUNCTION("""COMPUTED_VALUE"""),87.67)</f>
        <v>87.67</v>
      </c>
      <c r="G185" s="5">
        <f>IFERROR(__xludf.DUMMYFUNCTION("""COMPUTED_VALUE"""),33.4)</f>
        <v>33.4</v>
      </c>
    </row>
    <row r="186" ht="15.75" customHeight="1">
      <c r="A186" s="5" t="str">
        <f>IFERROR(__xludf.DUMMYFUNCTION("""COMPUTED_VALUE"""),"SCOPUS-000391")</f>
        <v>SCOPUS-000391</v>
      </c>
      <c r="B186" s="5" t="str">
        <f>IFERROR(__xludf.DUMMYFUNCTION("""COMPUTED_VALUE"""),"SCOPUS-000391-7")</f>
        <v>SCOPUS-000391-7</v>
      </c>
      <c r="C186" s="6" t="str">
        <f>IFERROR(__xludf.DUMMYFUNCTION("""COMPUTED_VALUE"""),"Proposed Semi-Supervised SGAN")</f>
        <v>Proposed Semi-Supervised SGAN</v>
      </c>
      <c r="D186" s="5" t="str">
        <f>IFERROR(__xludf.DUMMYFUNCTION("""COMPUTED_VALUE"""),"Accuracy")</f>
        <v>Accuracy</v>
      </c>
      <c r="E186" s="5" t="str">
        <f>IFERROR(__xludf.DUMMYFUNCTION("""COMPUTED_VALUE"""),"Accuracy")</f>
        <v>Accuracy</v>
      </c>
      <c r="F186" s="5">
        <f>IFERROR(__xludf.DUMMYFUNCTION("""COMPUTED_VALUE"""),89.15)</f>
        <v>89.15</v>
      </c>
      <c r="G186" s="5">
        <f>IFERROR(__xludf.DUMMYFUNCTION("""COMPUTED_VALUE"""),34.9)</f>
        <v>34.9</v>
      </c>
    </row>
    <row r="187" ht="15.75" customHeight="1">
      <c r="A187" s="5" t="str">
        <f>IFERROR(__xludf.DUMMYFUNCTION("""COMPUTED_VALUE"""),"SCOPUS-000637")</f>
        <v>SCOPUS-000637</v>
      </c>
      <c r="B187" s="5" t="str">
        <f>IFERROR(__xludf.DUMMYFUNCTION("""COMPUTED_VALUE"""),"SCOPUS-000637-1")</f>
        <v>SCOPUS-000637-1</v>
      </c>
      <c r="C187" s="6" t="str">
        <f>IFERROR(__xludf.DUMMYFUNCTION("""COMPUTED_VALUE"""),"Faster RCNN")</f>
        <v>Faster RCNN</v>
      </c>
      <c r="D187" s="5" t="str">
        <f>IFERROR(__xludf.DUMMYFUNCTION("""COMPUTED_VALUE"""),"mAP@0.5")</f>
        <v>mAP@0.5</v>
      </c>
      <c r="E187" s="5" t="str">
        <f>IFERROR(__xludf.DUMMYFUNCTION("""COMPUTED_VALUE"""),"mAP@0.5")</f>
        <v>mAP@0.5</v>
      </c>
      <c r="F187" s="5">
        <f>IFERROR(__xludf.DUMMYFUNCTION("""COMPUTED_VALUE"""),86.6)</f>
        <v>86.6</v>
      </c>
      <c r="G187" s="5">
        <f>IFERROR(__xludf.DUMMYFUNCTION("""COMPUTED_VALUE"""),5.2)</f>
        <v>5.2</v>
      </c>
    </row>
    <row r="188" ht="15.75" customHeight="1">
      <c r="A188" s="5" t="str">
        <f>IFERROR(__xludf.DUMMYFUNCTION("""COMPUTED_VALUE"""),"SCOPUS-000637")</f>
        <v>SCOPUS-000637</v>
      </c>
      <c r="B188" s="5" t="str">
        <f>IFERROR(__xludf.DUMMYFUNCTION("""COMPUTED_VALUE"""),"SCOPUS-000637-2")</f>
        <v>SCOPUS-000637-2</v>
      </c>
      <c r="C188" s="6" t="str">
        <f>IFERROR(__xludf.DUMMYFUNCTION("""COMPUTED_VALUE"""),"SE-YOLOv3")</f>
        <v>SE-YOLOv3</v>
      </c>
      <c r="D188" s="5" t="str">
        <f>IFERROR(__xludf.DUMMYFUNCTION("""COMPUTED_VALUE"""),"mAP@0.5")</f>
        <v>mAP@0.5</v>
      </c>
      <c r="E188" s="5" t="str">
        <f>IFERROR(__xludf.DUMMYFUNCTION("""COMPUTED_VALUE"""),"mAP@0.5")</f>
        <v>mAP@0.5</v>
      </c>
      <c r="F188" s="5">
        <f>IFERROR(__xludf.DUMMYFUNCTION("""COMPUTED_VALUE"""),83.6)</f>
        <v>83.6</v>
      </c>
      <c r="G188" s="5">
        <f>IFERROR(__xludf.DUMMYFUNCTION("""COMPUTED_VALUE"""),2.2)</f>
        <v>2.2</v>
      </c>
    </row>
    <row r="189" ht="15.75" customHeight="1">
      <c r="A189" s="5" t="str">
        <f>IFERROR(__xludf.DUMMYFUNCTION("""COMPUTED_VALUE"""),"SCOPUS-000637")</f>
        <v>SCOPUS-000637</v>
      </c>
      <c r="B189" s="5" t="str">
        <f>IFERROR(__xludf.DUMMYFUNCTION("""COMPUTED_VALUE"""),"SCOPUS-000637-3")</f>
        <v>SCOPUS-000637-3</v>
      </c>
      <c r="C189" s="6" t="str">
        <f>IFERROR(__xludf.DUMMYFUNCTION("""COMPUTED_VALUE"""),"YOLOv4")</f>
        <v>YOLOv4</v>
      </c>
      <c r="D189" s="5" t="str">
        <f>IFERROR(__xludf.DUMMYFUNCTION("""COMPUTED_VALUE"""),"mAP@0.5")</f>
        <v>mAP@0.5</v>
      </c>
      <c r="E189" s="5" t="str">
        <f>IFERROR(__xludf.DUMMYFUNCTION("""COMPUTED_VALUE"""),"mAP@0.5")</f>
        <v>mAP@0.5</v>
      </c>
      <c r="F189" s="5">
        <f>IFERROR(__xludf.DUMMYFUNCTION("""COMPUTED_VALUE"""),86.3)</f>
        <v>86.3</v>
      </c>
      <c r="G189" s="5">
        <f>IFERROR(__xludf.DUMMYFUNCTION("""COMPUTED_VALUE"""),4.9)</f>
        <v>4.9</v>
      </c>
    </row>
    <row r="190" ht="15.75" customHeight="1">
      <c r="A190" s="5" t="str">
        <f>IFERROR(__xludf.DUMMYFUNCTION("""COMPUTED_VALUE"""),"SCOPUS-000637")</f>
        <v>SCOPUS-000637</v>
      </c>
      <c r="B190" s="5" t="str">
        <f>IFERROR(__xludf.DUMMYFUNCTION("""COMPUTED_VALUE"""),"SCOPUS-000637-4")</f>
        <v>SCOPUS-000637-4</v>
      </c>
      <c r="C190" s="6" t="str">
        <f>IFERROR(__xludf.DUMMYFUNCTION("""COMPUTED_VALUE"""),"YOLOv7")</f>
        <v>YOLOv7</v>
      </c>
      <c r="D190" s="5" t="str">
        <f>IFERROR(__xludf.DUMMYFUNCTION("""COMPUTED_VALUE"""),"mAP@0.5")</f>
        <v>mAP@0.5</v>
      </c>
      <c r="E190" s="5" t="str">
        <f>IFERROR(__xludf.DUMMYFUNCTION("""COMPUTED_VALUE"""),"mAP@0.5")</f>
        <v>mAP@0.5</v>
      </c>
      <c r="F190" s="5">
        <f>IFERROR(__xludf.DUMMYFUNCTION("""COMPUTED_VALUE"""),87.2)</f>
        <v>87.2</v>
      </c>
      <c r="G190" s="5">
        <f>IFERROR(__xludf.DUMMYFUNCTION("""COMPUTED_VALUE"""),5.8)</f>
        <v>5.8</v>
      </c>
    </row>
    <row r="191" ht="15.75" customHeight="1">
      <c r="A191" s="5" t="str">
        <f>IFERROR(__xludf.DUMMYFUNCTION("""COMPUTED_VALUE"""),"SCOPUS-000637")</f>
        <v>SCOPUS-000637</v>
      </c>
      <c r="B191" s="5" t="str">
        <f>IFERROR(__xludf.DUMMYFUNCTION("""COMPUTED_VALUE"""),"SCOPUS-000637-5")</f>
        <v>SCOPUS-000637-5</v>
      </c>
      <c r="C191" s="6" t="str">
        <f>IFERROR(__xludf.DUMMYFUNCTION("""COMPUTED_VALUE"""),"TIA-YOLOv5")</f>
        <v>TIA-YOLOv5</v>
      </c>
      <c r="D191" s="5" t="str">
        <f>IFERROR(__xludf.DUMMYFUNCTION("""COMPUTED_VALUE"""),"mAP@0.5")</f>
        <v>mAP@0.5</v>
      </c>
      <c r="E191" s="5" t="str">
        <f>IFERROR(__xludf.DUMMYFUNCTION("""COMPUTED_VALUE"""),"mAP@0.5")</f>
        <v>mAP@0.5</v>
      </c>
      <c r="F191" s="5">
        <f>IFERROR(__xludf.DUMMYFUNCTION("""COMPUTED_VALUE"""),90.0)</f>
        <v>90</v>
      </c>
      <c r="G191" s="5">
        <f>IFERROR(__xludf.DUMMYFUNCTION("""COMPUTED_VALUE"""),5.9)</f>
        <v>5.9</v>
      </c>
    </row>
    <row r="192" ht="15.75" customHeight="1">
      <c r="A192" s="5" t="str">
        <f>IFERROR(__xludf.DUMMYFUNCTION("""COMPUTED_VALUE"""),"SCOPUS-000719")</f>
        <v>SCOPUS-000719</v>
      </c>
      <c r="B192" s="5" t="str">
        <f>IFERROR(__xludf.DUMMYFUNCTION("""COMPUTED_VALUE"""),"SCOPUS-000719-1")</f>
        <v>SCOPUS-000719-1</v>
      </c>
      <c r="C192" s="6" t="str">
        <f>IFERROR(__xludf.DUMMYFUNCTION("""COMPUTED_VALUE"""),"PSPNet")</f>
        <v>PSPNet</v>
      </c>
      <c r="D192" s="5" t="str">
        <f>IFERROR(__xludf.DUMMYFUNCTION("""COMPUTED_VALUE"""),"mIoU")</f>
        <v>mIoU</v>
      </c>
      <c r="E192" s="5" t="str">
        <f>IFERROR(__xludf.DUMMYFUNCTION("""COMPUTED_VALUE"""),"mIoU")</f>
        <v>mIoU</v>
      </c>
      <c r="F192" s="5">
        <f>IFERROR(__xludf.DUMMYFUNCTION("""COMPUTED_VALUE"""),81.86)</f>
        <v>81.86</v>
      </c>
      <c r="G192" s="5">
        <f>IFERROR(__xludf.DUMMYFUNCTION("""COMPUTED_VALUE"""),1.1)</f>
        <v>1.1</v>
      </c>
    </row>
    <row r="193" ht="15.75" customHeight="1">
      <c r="A193" s="5" t="str">
        <f>IFERROR(__xludf.DUMMYFUNCTION("""COMPUTED_VALUE"""),"SCOPUS-000719")</f>
        <v>SCOPUS-000719</v>
      </c>
      <c r="B193" s="5" t="str">
        <f>IFERROR(__xludf.DUMMYFUNCTION("""COMPUTED_VALUE"""),"SCOPUS-000719-2")</f>
        <v>SCOPUS-000719-2</v>
      </c>
      <c r="C193" s="6" t="str">
        <f>IFERROR(__xludf.DUMMYFUNCTION("""COMPUTED_VALUE"""),"UNet")</f>
        <v>UNet</v>
      </c>
      <c r="D193" s="5" t="str">
        <f>IFERROR(__xludf.DUMMYFUNCTION("""COMPUTED_VALUE"""),"mIoU")</f>
        <v>mIoU</v>
      </c>
      <c r="E193" s="5" t="str">
        <f>IFERROR(__xludf.DUMMYFUNCTION("""COMPUTED_VALUE"""),"mIoU")</f>
        <v>mIoU</v>
      </c>
      <c r="F193" s="5">
        <f>IFERROR(__xludf.DUMMYFUNCTION("""COMPUTED_VALUE"""),86.94)</f>
        <v>86.94</v>
      </c>
      <c r="G193" s="5">
        <f>IFERROR(__xludf.DUMMYFUNCTION("""COMPUTED_VALUE"""),6.1)</f>
        <v>6.1</v>
      </c>
    </row>
    <row r="194" ht="15.75" customHeight="1">
      <c r="A194" s="5" t="str">
        <f>IFERROR(__xludf.DUMMYFUNCTION("""COMPUTED_VALUE"""),"SCOPUS-000719")</f>
        <v>SCOPUS-000719</v>
      </c>
      <c r="B194" s="5" t="str">
        <f>IFERROR(__xludf.DUMMYFUNCTION("""COMPUTED_VALUE"""),"SCOPUS-000719-3")</f>
        <v>SCOPUS-000719-3</v>
      </c>
      <c r="C194" s="6" t="str">
        <f>IFERROR(__xludf.DUMMYFUNCTION("""COMPUTED_VALUE"""),"SegNet")</f>
        <v>SegNet</v>
      </c>
      <c r="D194" s="5" t="str">
        <f>IFERROR(__xludf.DUMMYFUNCTION("""COMPUTED_VALUE"""),"mIoU")</f>
        <v>mIoU</v>
      </c>
      <c r="E194" s="5" t="str">
        <f>IFERROR(__xludf.DUMMYFUNCTION("""COMPUTED_VALUE"""),"mIoU")</f>
        <v>mIoU</v>
      </c>
      <c r="F194" s="5">
        <f>IFERROR(__xludf.DUMMYFUNCTION("""COMPUTED_VALUE"""),82.35)</f>
        <v>82.35</v>
      </c>
      <c r="G194" s="5">
        <f>IFERROR(__xludf.DUMMYFUNCTION("""COMPUTED_VALUE"""),1.6)</f>
        <v>1.6</v>
      </c>
    </row>
    <row r="195" ht="15.75" customHeight="1">
      <c r="A195" s="5" t="str">
        <f>IFERROR(__xludf.DUMMYFUNCTION("""COMPUTED_VALUE"""),"SCOPUS-000719")</f>
        <v>SCOPUS-000719</v>
      </c>
      <c r="B195" s="5" t="str">
        <f>IFERROR(__xludf.DUMMYFUNCTION("""COMPUTED_VALUE"""),"SCOPUS-000719-4")</f>
        <v>SCOPUS-000719-4</v>
      </c>
      <c r="C195" s="6" t="str">
        <f>IFERROR(__xludf.DUMMYFUNCTION("""COMPUTED_VALUE"""),"FCN8s")</f>
        <v>FCN8s</v>
      </c>
      <c r="D195" s="5" t="str">
        <f>IFERROR(__xludf.DUMMYFUNCTION("""COMPUTED_VALUE"""),"mIoU")</f>
        <v>mIoU</v>
      </c>
      <c r="E195" s="5" t="str">
        <f>IFERROR(__xludf.DUMMYFUNCTION("""COMPUTED_VALUE"""),"mIoU")</f>
        <v>mIoU</v>
      </c>
      <c r="F195" s="5">
        <f>IFERROR(__xludf.DUMMYFUNCTION("""COMPUTED_VALUE"""),84.74)</f>
        <v>84.74</v>
      </c>
      <c r="G195" s="5">
        <f>IFERROR(__xludf.DUMMYFUNCTION("""COMPUTED_VALUE"""),3.9)</f>
        <v>3.9</v>
      </c>
    </row>
    <row r="196" ht="15.75" customHeight="1">
      <c r="A196" s="5" t="str">
        <f>IFERROR(__xludf.DUMMYFUNCTION("""COMPUTED_VALUE"""),"SCOPUS-000719")</f>
        <v>SCOPUS-000719</v>
      </c>
      <c r="B196" s="5" t="str">
        <f>IFERROR(__xludf.DUMMYFUNCTION("""COMPUTED_VALUE"""),"SCOPUS-000719-5")</f>
        <v>SCOPUS-000719-5</v>
      </c>
      <c r="C196" s="6" t="str">
        <f>IFERROR(__xludf.DUMMYFUNCTION("""COMPUTED_VALUE"""),"Ours")</f>
        <v>Ours</v>
      </c>
      <c r="D196" s="5" t="str">
        <f>IFERROR(__xludf.DUMMYFUNCTION("""COMPUTED_VALUE"""),"mIoU")</f>
        <v>mIoU</v>
      </c>
      <c r="E196" s="5" t="str">
        <f>IFERROR(__xludf.DUMMYFUNCTION("""COMPUTED_VALUE"""),"mIoU")</f>
        <v>mIoU</v>
      </c>
      <c r="F196" s="5">
        <f>IFERROR(__xludf.DUMMYFUNCTION("""COMPUTED_VALUE"""),89.01)</f>
        <v>89.01</v>
      </c>
      <c r="G196" s="5">
        <f>IFERROR(__xludf.DUMMYFUNCTION("""COMPUTED_VALUE"""),4.3)</f>
        <v>4.3</v>
      </c>
    </row>
    <row r="197" ht="15.75" customHeight="1">
      <c r="A197" s="5" t="str">
        <f>IFERROR(__xludf.DUMMYFUNCTION("""COMPUTED_VALUE"""),"SCOPUS-000713")</f>
        <v>SCOPUS-000713</v>
      </c>
      <c r="B197" s="5" t="str">
        <f>IFERROR(__xludf.DUMMYFUNCTION("""COMPUTED_VALUE"""),"SCOPUS-000713-1")</f>
        <v>SCOPUS-000713-1</v>
      </c>
      <c r="C197" s="6" t="str">
        <f>IFERROR(__xludf.DUMMYFUNCTION("""COMPUTED_VALUE"""),"RGB")</f>
        <v>RGB</v>
      </c>
      <c r="D197" s="5" t="str">
        <f>IFERROR(__xludf.DUMMYFUNCTION("""COMPUTED_VALUE"""),"mIoU")</f>
        <v>mIoU</v>
      </c>
      <c r="E197" s="5" t="str">
        <f>IFERROR(__xludf.DUMMYFUNCTION("""COMPUTED_VALUE"""),"mIoU")</f>
        <v>mIoU</v>
      </c>
      <c r="F197" s="5">
        <f>IFERROR(__xludf.DUMMYFUNCTION("""COMPUTED_VALUE"""),72.01)</f>
        <v>72.01</v>
      </c>
      <c r="G197" s="5">
        <f>IFERROR(__xludf.DUMMYFUNCTION("""COMPUTED_VALUE"""),3.2)</f>
        <v>3.2</v>
      </c>
    </row>
    <row r="198" ht="15.75" customHeight="1">
      <c r="A198" s="5" t="str">
        <f>IFERROR(__xludf.DUMMYFUNCTION("""COMPUTED_VALUE"""),"SCOPUS-000713")</f>
        <v>SCOPUS-000713</v>
      </c>
      <c r="B198" s="5" t="str">
        <f>IFERROR(__xludf.DUMMYFUNCTION("""COMPUTED_VALUE"""),"SCOPUS-000713-2")</f>
        <v>SCOPUS-000713-2</v>
      </c>
      <c r="C198" s="6" t="str">
        <f>IFERROR(__xludf.DUMMYFUNCTION("""COMPUTED_VALUE"""),"NIR")</f>
        <v>NIR</v>
      </c>
      <c r="D198" s="5" t="str">
        <f>IFERROR(__xludf.DUMMYFUNCTION("""COMPUTED_VALUE"""),"mIoU")</f>
        <v>mIoU</v>
      </c>
      <c r="E198" s="5" t="str">
        <f>IFERROR(__xludf.DUMMYFUNCTION("""COMPUTED_VALUE"""),"mIoU")</f>
        <v>mIoU</v>
      </c>
      <c r="F198" s="5">
        <f>IFERROR(__xludf.DUMMYFUNCTION("""COMPUTED_VALUE"""),79.28)</f>
        <v>79.28</v>
      </c>
      <c r="G198" s="5">
        <f>IFERROR(__xludf.DUMMYFUNCTION("""COMPUTED_VALUE"""),10.5)</f>
        <v>10.5</v>
      </c>
    </row>
    <row r="199" ht="15.75" customHeight="1">
      <c r="A199" s="5" t="str">
        <f>IFERROR(__xludf.DUMMYFUNCTION("""COMPUTED_VALUE"""),"SCOPUS-000713")</f>
        <v>SCOPUS-000713</v>
      </c>
      <c r="B199" s="5" t="str">
        <f>IFERROR(__xludf.DUMMYFUNCTION("""COMPUTED_VALUE"""),"SCOPUS-000713-3")</f>
        <v>SCOPUS-000713-3</v>
      </c>
      <c r="C199" s="6" t="str">
        <f>IFERROR(__xludf.DUMMYFUNCTION("""COMPUTED_VALUE"""),"HE-RGB")</f>
        <v>HE-RGB</v>
      </c>
      <c r="D199" s="5" t="str">
        <f>IFERROR(__xludf.DUMMYFUNCTION("""COMPUTED_VALUE"""),"mIoU")</f>
        <v>mIoU</v>
      </c>
      <c r="E199" s="5" t="str">
        <f>IFERROR(__xludf.DUMMYFUNCTION("""COMPUTED_VALUE"""),"mIoU")</f>
        <v>mIoU</v>
      </c>
      <c r="F199" s="5">
        <f>IFERROR(__xludf.DUMMYFUNCTION("""COMPUTED_VALUE"""),84.53)</f>
        <v>84.53</v>
      </c>
      <c r="G199" s="5">
        <f>IFERROR(__xludf.DUMMYFUNCTION("""COMPUTED_VALUE"""),15.7)</f>
        <v>15.7</v>
      </c>
    </row>
    <row r="200" ht="15.75" customHeight="1">
      <c r="A200" s="5" t="str">
        <f>IFERROR(__xludf.DUMMYFUNCTION("""COMPUTED_VALUE"""),"SCOPUS-000713")</f>
        <v>SCOPUS-000713</v>
      </c>
      <c r="B200" s="5" t="str">
        <f>IFERROR(__xludf.DUMMYFUNCTION("""COMPUTED_VALUE"""),"SCOPUS-000713-4")</f>
        <v>SCOPUS-000713-4</v>
      </c>
      <c r="C200" s="6" t="str">
        <f>IFERROR(__xludf.DUMMYFUNCTION("""COMPUTED_VALUE"""),"PS Auto Contrast-RGB")</f>
        <v>PS Auto Contrast-RGB</v>
      </c>
      <c r="D200" s="5" t="str">
        <f>IFERROR(__xludf.DUMMYFUNCTION("""COMPUTED_VALUE"""),"mIoU")</f>
        <v>mIoU</v>
      </c>
      <c r="E200" s="5" t="str">
        <f>IFERROR(__xludf.DUMMYFUNCTION("""COMPUTED_VALUE"""),"mIoU")</f>
        <v>mIoU</v>
      </c>
      <c r="F200" s="5">
        <f>IFERROR(__xludf.DUMMYFUNCTION("""COMPUTED_VALUE"""),85.37)</f>
        <v>85.37</v>
      </c>
      <c r="G200" s="5">
        <f>IFERROR(__xludf.DUMMYFUNCTION("""COMPUTED_VALUE"""),16.6)</f>
        <v>16.6</v>
      </c>
    </row>
    <row r="201" ht="15.75" customHeight="1">
      <c r="A201" s="5" t="str">
        <f>IFERROR(__xludf.DUMMYFUNCTION("""COMPUTED_VALUE"""),"SCOPUS-000713")</f>
        <v>SCOPUS-000713</v>
      </c>
      <c r="B201" s="5" t="str">
        <f>IFERROR(__xludf.DUMMYFUNCTION("""COMPUTED_VALUE"""),"SCOPUS-000713-5")</f>
        <v>SCOPUS-000713-5</v>
      </c>
      <c r="C201" s="6" t="str">
        <f>IFERROR(__xludf.DUMMYFUNCTION("""COMPUTED_VALUE"""),"Deep Photo Enhancer-RGB")</f>
        <v>Deep Photo Enhancer-RGB</v>
      </c>
      <c r="D201" s="5" t="str">
        <f>IFERROR(__xludf.DUMMYFUNCTION("""COMPUTED_VALUE"""),"mIoU")</f>
        <v>mIoU</v>
      </c>
      <c r="E201" s="5" t="str">
        <f>IFERROR(__xludf.DUMMYFUNCTION("""COMPUTED_VALUE"""),"mIoU")</f>
        <v>mIoU</v>
      </c>
      <c r="F201" s="5">
        <f>IFERROR(__xludf.DUMMYFUNCTION("""COMPUTED_VALUE"""),85.18)</f>
        <v>85.18</v>
      </c>
      <c r="G201" s="5">
        <f>IFERROR(__xludf.DUMMYFUNCTION("""COMPUTED_VALUE"""),16.4)</f>
        <v>16.4</v>
      </c>
    </row>
    <row r="202" ht="15.75" customHeight="1">
      <c r="A202" s="5" t="str">
        <f>IFERROR(__xludf.DUMMYFUNCTION("""COMPUTED_VALUE"""),"SCOPUS-000448")</f>
        <v>SCOPUS-000448</v>
      </c>
      <c r="B202" s="5" t="str">
        <f>IFERROR(__xludf.DUMMYFUNCTION("""COMPUTED_VALUE"""),"SCOPUS-000448-1")</f>
        <v>SCOPUS-000448-1</v>
      </c>
      <c r="C202" s="6" t="str">
        <f>IFERROR(__xludf.DUMMYFUNCTION("""COMPUTED_VALUE"""),"ResNet50")</f>
        <v>ResNet50</v>
      </c>
      <c r="D202" s="5" t="str">
        <f>IFERROR(__xludf.DUMMYFUNCTION("""COMPUTED_VALUE"""),"Accuracy")</f>
        <v>Accuracy</v>
      </c>
      <c r="E202" s="5" t="str">
        <f>IFERROR(__xludf.DUMMYFUNCTION("""COMPUTED_VALUE"""),"Accuracy")</f>
        <v>Accuracy</v>
      </c>
      <c r="F202" s="5">
        <f>IFERROR(__xludf.DUMMYFUNCTION("""COMPUTED_VALUE"""),83.01)</f>
        <v>83.01</v>
      </c>
      <c r="G202" s="5">
        <f>IFERROR(__xludf.DUMMYFUNCTION("""COMPUTED_VALUE"""),52.6)</f>
        <v>52.6</v>
      </c>
    </row>
    <row r="203" ht="15.75" customHeight="1">
      <c r="A203" s="5" t="str">
        <f>IFERROR(__xludf.DUMMYFUNCTION("""COMPUTED_VALUE"""),"SCOPUS-000448")</f>
        <v>SCOPUS-000448</v>
      </c>
      <c r="B203" s="5" t="str">
        <f>IFERROR(__xludf.DUMMYFUNCTION("""COMPUTED_VALUE"""),"SCOPUS-000448-2")</f>
        <v>SCOPUS-000448-2</v>
      </c>
      <c r="C203" s="6" t="str">
        <f>IFERROR(__xludf.DUMMYFUNCTION("""COMPUTED_VALUE"""),"Custom 1 (4-layer CNN)")</f>
        <v>Custom 1 (4-layer CNN)</v>
      </c>
      <c r="D203" s="5" t="str">
        <f>IFERROR(__xludf.DUMMYFUNCTION("""COMPUTED_VALUE"""),"Accuracy")</f>
        <v>Accuracy</v>
      </c>
      <c r="E203" s="5" t="str">
        <f>IFERROR(__xludf.DUMMYFUNCTION("""COMPUTED_VALUE"""),"Accuracy")</f>
        <v>Accuracy</v>
      </c>
      <c r="F203" s="5">
        <f>IFERROR(__xludf.DUMMYFUNCTION("""COMPUTED_VALUE"""),97.7)</f>
        <v>97.7</v>
      </c>
      <c r="G203" s="5">
        <f>IFERROR(__xludf.DUMMYFUNCTION("""COMPUTED_VALUE"""),67.3)</f>
        <v>67.3</v>
      </c>
    </row>
    <row r="204" ht="15.75" customHeight="1">
      <c r="A204" s="5" t="str">
        <f>IFERROR(__xludf.DUMMYFUNCTION("""COMPUTED_VALUE"""),"SCOPUS-000448")</f>
        <v>SCOPUS-000448</v>
      </c>
      <c r="B204" s="5" t="str">
        <f>IFERROR(__xludf.DUMMYFUNCTION("""COMPUTED_VALUE"""),"SCOPUS-000448-3")</f>
        <v>SCOPUS-000448-3</v>
      </c>
      <c r="C204" s="6" t="str">
        <f>IFERROR(__xludf.DUMMYFUNCTION("""COMPUTED_VALUE"""),"Custom 2 (5-layer CNN)")</f>
        <v>Custom 2 (5-layer CNN)</v>
      </c>
      <c r="D204" s="5" t="str">
        <f>IFERROR(__xludf.DUMMYFUNCTION("""COMPUTED_VALUE"""),"Accuracy")</f>
        <v>Accuracy</v>
      </c>
      <c r="E204" s="5" t="str">
        <f>IFERROR(__xludf.DUMMYFUNCTION("""COMPUTED_VALUE"""),"Accuracy")</f>
        <v>Accuracy</v>
      </c>
      <c r="F204" s="5">
        <f>IFERROR(__xludf.DUMMYFUNCTION("""COMPUTED_VALUE"""),95.12)</f>
        <v>95.12</v>
      </c>
      <c r="G204" s="5">
        <f>IFERROR(__xludf.DUMMYFUNCTION("""COMPUTED_VALUE"""),64.8)</f>
        <v>64.8</v>
      </c>
    </row>
    <row r="205" ht="15.75" customHeight="1">
      <c r="A205" s="5" t="str">
        <f>IFERROR(__xludf.DUMMYFUNCTION("""COMPUTED_VALUE"""),"SCOPUS-000375")</f>
        <v>SCOPUS-000375</v>
      </c>
      <c r="B205" s="5" t="str">
        <f>IFERROR(__xludf.DUMMYFUNCTION("""COMPUTED_VALUE"""),"SCOPUS-000375-1")</f>
        <v>SCOPUS-000375-1</v>
      </c>
      <c r="C205" s="6" t="str">
        <f>IFERROR(__xludf.DUMMYFUNCTION("""COMPUTED_VALUE"""),"YOLOv5m")</f>
        <v>YOLOv5m</v>
      </c>
      <c r="D205" s="5" t="str">
        <f>IFERROR(__xludf.DUMMYFUNCTION("""COMPUTED_VALUE"""),"mAP@0.5")</f>
        <v>mAP@0.5</v>
      </c>
      <c r="E205" s="5" t="str">
        <f>IFERROR(__xludf.DUMMYFUNCTION("""COMPUTED_VALUE"""),"mAP@0.5")</f>
        <v>mAP@0.5</v>
      </c>
      <c r="F205" s="5">
        <f>IFERROR(__xludf.DUMMYFUNCTION("""COMPUTED_VALUE"""),91.3)</f>
        <v>91.3</v>
      </c>
      <c r="G205" s="5">
        <f>IFERROR(__xludf.DUMMYFUNCTION("""COMPUTED_VALUE"""),12.1)</f>
        <v>12.1</v>
      </c>
    </row>
    <row r="206" ht="15.75" customHeight="1">
      <c r="A206" s="5" t="str">
        <f>IFERROR(__xludf.DUMMYFUNCTION("""COMPUTED_VALUE"""),"SCOPUS-000375")</f>
        <v>SCOPUS-000375</v>
      </c>
      <c r="B206" s="5" t="str">
        <f>IFERROR(__xludf.DUMMYFUNCTION("""COMPUTED_VALUE"""),"SCOPUS-000375-2")</f>
        <v>SCOPUS-000375-2</v>
      </c>
      <c r="C206" s="6" t="str">
        <f>IFERROR(__xludf.DUMMYFUNCTION("""COMPUTED_VALUE"""),"YOLOv7")</f>
        <v>YOLOv7</v>
      </c>
      <c r="D206" s="5" t="str">
        <f>IFERROR(__xludf.DUMMYFUNCTION("""COMPUTED_VALUE"""),"mAP@0.5")</f>
        <v>mAP@0.5</v>
      </c>
      <c r="E206" s="5" t="str">
        <f>IFERROR(__xludf.DUMMYFUNCTION("""COMPUTED_VALUE"""),"mAP@0.5")</f>
        <v>mAP@0.5</v>
      </c>
      <c r="F206" s="5">
        <f>IFERROR(__xludf.DUMMYFUNCTION("""COMPUTED_VALUE"""),92.3)</f>
        <v>92.3</v>
      </c>
      <c r="G206" s="5">
        <f>IFERROR(__xludf.DUMMYFUNCTION("""COMPUTED_VALUE"""),13.1)</f>
        <v>13.1</v>
      </c>
    </row>
    <row r="207" ht="15.75" customHeight="1">
      <c r="A207" s="5" t="str">
        <f>IFERROR(__xludf.DUMMYFUNCTION("""COMPUTED_VALUE"""),"SCOPUS-000375")</f>
        <v>SCOPUS-000375</v>
      </c>
      <c r="B207" s="5" t="str">
        <f>IFERROR(__xludf.DUMMYFUNCTION("""COMPUTED_VALUE"""),"SCOPUS-000375-3")</f>
        <v>SCOPUS-000375-3</v>
      </c>
      <c r="C207" s="6" t="str">
        <f>IFERROR(__xludf.DUMMYFUNCTION("""COMPUTED_VALUE"""),"CSCW-YOLOv7")</f>
        <v>CSCW-YOLOv7</v>
      </c>
      <c r="D207" s="5" t="str">
        <f>IFERROR(__xludf.DUMMYFUNCTION("""COMPUTED_VALUE"""),"mAP@0.5")</f>
        <v>mAP@0.5</v>
      </c>
      <c r="E207" s="5" t="str">
        <f>IFERROR(__xludf.DUMMYFUNCTION("""COMPUTED_VALUE"""),"mAP@0.5")</f>
        <v>mAP@0.5</v>
      </c>
      <c r="F207" s="5">
        <f>IFERROR(__xludf.DUMMYFUNCTION("""COMPUTED_VALUE"""),94.4)</f>
        <v>94.4</v>
      </c>
      <c r="G207" s="5">
        <f>IFERROR(__xludf.DUMMYFUNCTION("""COMPUTED_VALUE"""),15.2)</f>
        <v>15.2</v>
      </c>
    </row>
    <row r="208" ht="15.75" customHeight="1">
      <c r="A208" s="5" t="str">
        <f>IFERROR(__xludf.DUMMYFUNCTION("""COMPUTED_VALUE"""),"SCOPUS-000584")</f>
        <v>SCOPUS-000584</v>
      </c>
      <c r="B208" s="5" t="str">
        <f>IFERROR(__xludf.DUMMYFUNCTION("""COMPUTED_VALUE"""),"SCOPUS-000584-1")</f>
        <v>SCOPUS-000584-1</v>
      </c>
      <c r="C208" s="6" t="str">
        <f>IFERROR(__xludf.DUMMYFUNCTION("""COMPUTED_VALUE"""),"SSD 300")</f>
        <v>SSD 300</v>
      </c>
      <c r="D208" s="5" t="str">
        <f>IFERROR(__xludf.DUMMYFUNCTION("""COMPUTED_VALUE"""),"mAP@0.5")</f>
        <v>mAP@0.5</v>
      </c>
      <c r="E208" s="5" t="str">
        <f>IFERROR(__xludf.DUMMYFUNCTION("""COMPUTED_VALUE"""),"mAP@0.5")</f>
        <v>mAP@0.5</v>
      </c>
      <c r="F208" s="5">
        <f>IFERROR(__xludf.DUMMYFUNCTION("""COMPUTED_VALUE"""),69.22)</f>
        <v>69.22</v>
      </c>
      <c r="G208" s="5">
        <f>IFERROR(__xludf.DUMMYFUNCTION("""COMPUTED_VALUE"""),0.7)</f>
        <v>0.7</v>
      </c>
    </row>
    <row r="209" ht="15.75" customHeight="1">
      <c r="A209" s="5" t="str">
        <f>IFERROR(__xludf.DUMMYFUNCTION("""COMPUTED_VALUE"""),"SCOPUS-000584")</f>
        <v>SCOPUS-000584</v>
      </c>
      <c r="B209" s="5" t="str">
        <f>IFERROR(__xludf.DUMMYFUNCTION("""COMPUTED_VALUE"""),"SCOPUS-000584-2")</f>
        <v>SCOPUS-000584-2</v>
      </c>
      <c r="C209" s="6" t="str">
        <f>IFERROR(__xludf.DUMMYFUNCTION("""COMPUTED_VALUE"""),"YOLO v3-tiny")</f>
        <v>YOLO v3-tiny</v>
      </c>
      <c r="D209" s="5" t="str">
        <f>IFERROR(__xludf.DUMMYFUNCTION("""COMPUTED_VALUE"""),"mAP@0.5")</f>
        <v>mAP@0.5</v>
      </c>
      <c r="E209" s="5" t="str">
        <f>IFERROR(__xludf.DUMMYFUNCTION("""COMPUTED_VALUE"""),"mAP@0.5")</f>
        <v>mAP@0.5</v>
      </c>
      <c r="F209" s="5">
        <f>IFERROR(__xludf.DUMMYFUNCTION("""COMPUTED_VALUE"""),75.72)</f>
        <v>75.72</v>
      </c>
      <c r="G209" s="5">
        <f>IFERROR(__xludf.DUMMYFUNCTION("""COMPUTED_VALUE"""),7.2)</f>
        <v>7.2</v>
      </c>
    </row>
    <row r="210" ht="15.75" customHeight="1">
      <c r="A210" s="5" t="str">
        <f>IFERROR(__xludf.DUMMYFUNCTION("""COMPUTED_VALUE"""),"SCOPUS-000584")</f>
        <v>SCOPUS-000584</v>
      </c>
      <c r="B210" s="5" t="str">
        <f>IFERROR(__xludf.DUMMYFUNCTION("""COMPUTED_VALUE"""),"SCOPUS-000584-3")</f>
        <v>SCOPUS-000584-3</v>
      </c>
      <c r="C210" s="6" t="str">
        <f>IFERROR(__xludf.DUMMYFUNCTION("""COMPUTED_VALUE"""),"YOLO v4-tiny")</f>
        <v>YOLO v4-tiny</v>
      </c>
      <c r="D210" s="5" t="str">
        <f>IFERROR(__xludf.DUMMYFUNCTION("""COMPUTED_VALUE"""),"mAP@0.5")</f>
        <v>mAP@0.5</v>
      </c>
      <c r="E210" s="5" t="str">
        <f>IFERROR(__xludf.DUMMYFUNCTION("""COMPUTED_VALUE"""),"mAP@0.5")</f>
        <v>mAP@0.5</v>
      </c>
      <c r="F210" s="5">
        <f>IFERROR(__xludf.DUMMYFUNCTION("""COMPUTED_VALUE"""),80.33)</f>
        <v>80.33</v>
      </c>
      <c r="G210" s="5">
        <f>IFERROR(__xludf.DUMMYFUNCTION("""COMPUTED_VALUE"""),11.8)</f>
        <v>11.8</v>
      </c>
    </row>
    <row r="211" ht="15.75" customHeight="1">
      <c r="A211" s="5" t="str">
        <f>IFERROR(__xludf.DUMMYFUNCTION("""COMPUTED_VALUE"""),"SCOPUS-000584")</f>
        <v>SCOPUS-000584</v>
      </c>
      <c r="B211" s="5" t="str">
        <f>IFERROR(__xludf.DUMMYFUNCTION("""COMPUTED_VALUE"""),"SCOPUS-000584-4")</f>
        <v>SCOPUS-000584-4</v>
      </c>
      <c r="C211" s="6" t="str">
        <f>IFERROR(__xludf.DUMMYFUNCTION("""COMPUTED_VALUE"""),"YOLO v3")</f>
        <v>YOLO v3</v>
      </c>
      <c r="D211" s="5" t="str">
        <f>IFERROR(__xludf.DUMMYFUNCTION("""COMPUTED_VALUE"""),"mAP@0.5")</f>
        <v>mAP@0.5</v>
      </c>
      <c r="E211" s="5" t="str">
        <f>IFERROR(__xludf.DUMMYFUNCTION("""COMPUTED_VALUE"""),"mAP@0.5")</f>
        <v>mAP@0.5</v>
      </c>
      <c r="F211" s="5">
        <f>IFERROR(__xludf.DUMMYFUNCTION("""COMPUTED_VALUE"""),85.55)</f>
        <v>85.55</v>
      </c>
      <c r="G211" s="5">
        <f>IFERROR(__xludf.DUMMYFUNCTION("""COMPUTED_VALUE"""),17.0)</f>
        <v>17</v>
      </c>
    </row>
    <row r="212" ht="15.75" customHeight="1">
      <c r="A212" s="5" t="str">
        <f>IFERROR(__xludf.DUMMYFUNCTION("""COMPUTED_VALUE"""),"SCOPUS-000584")</f>
        <v>SCOPUS-000584</v>
      </c>
      <c r="B212" s="5" t="str">
        <f>IFERROR(__xludf.DUMMYFUNCTION("""COMPUTED_VALUE"""),"SCOPUS-000584-5")</f>
        <v>SCOPUS-000584-5</v>
      </c>
      <c r="C212" s="6" t="str">
        <f>IFERROR(__xludf.DUMMYFUNCTION("""COMPUTED_VALUE"""),"YOLO v4-weeds")</f>
        <v>YOLO v4-weeds</v>
      </c>
      <c r="D212" s="5" t="str">
        <f>IFERROR(__xludf.DUMMYFUNCTION("""COMPUTED_VALUE"""),"mAP@0.5")</f>
        <v>mAP@0.5</v>
      </c>
      <c r="E212" s="5" t="str">
        <f>IFERROR(__xludf.DUMMYFUNCTION("""COMPUTED_VALUE"""),"mAP@0.5")</f>
        <v>mAP@0.5</v>
      </c>
      <c r="F212" s="5">
        <f>IFERROR(__xludf.DUMMYFUNCTION("""COMPUTED_VALUE"""),86.69)</f>
        <v>86.69</v>
      </c>
      <c r="G212" s="5">
        <f>IFERROR(__xludf.DUMMYFUNCTION("""COMPUTED_VALUE"""),18.1)</f>
        <v>18.1</v>
      </c>
    </row>
    <row r="213" ht="15.75" customHeight="1">
      <c r="A213" s="5" t="str">
        <f>IFERROR(__xludf.DUMMYFUNCTION("""COMPUTED_VALUE"""),"WEBSCI-000524")</f>
        <v>WEBSCI-000524</v>
      </c>
      <c r="B213" s="5" t="str">
        <f>IFERROR(__xludf.DUMMYFUNCTION("""COMPUTED_VALUE"""),"WEBSCI-000524-1")</f>
        <v>WEBSCI-000524-1</v>
      </c>
      <c r="C213" s="6" t="str">
        <f>IFERROR(__xludf.DUMMYFUNCTION("""COMPUTED_VALUE"""),"DeepLabV3*")</f>
        <v>DeepLabV3*</v>
      </c>
      <c r="D213" s="5" t="str">
        <f>IFERROR(__xludf.DUMMYFUNCTION("""COMPUTED_VALUE"""),"mIoU")</f>
        <v>mIoU</v>
      </c>
      <c r="E213" s="5" t="str">
        <f>IFERROR(__xludf.DUMMYFUNCTION("""COMPUTED_VALUE"""),"mIoU")</f>
        <v>mIoU</v>
      </c>
      <c r="F213" s="5">
        <f>IFERROR(__xludf.DUMMYFUNCTION("""COMPUTED_VALUE"""),75.0)</f>
        <v>75</v>
      </c>
      <c r="G213" s="5">
        <f>IFERROR(__xludf.DUMMYFUNCTION("""COMPUTED_VALUE"""),11.0)</f>
        <v>11</v>
      </c>
    </row>
    <row r="214" ht="15.75" customHeight="1">
      <c r="A214" s="5" t="str">
        <f>IFERROR(__xludf.DUMMYFUNCTION("""COMPUTED_VALUE"""),"WEBSCI-000524")</f>
        <v>WEBSCI-000524</v>
      </c>
      <c r="B214" s="5" t="str">
        <f>IFERROR(__xludf.DUMMYFUNCTION("""COMPUTED_VALUE"""),"WEBSCI-000524-2")</f>
        <v>WEBSCI-000524-2</v>
      </c>
      <c r="C214" s="6" t="str">
        <f>IFERROR(__xludf.DUMMYFUNCTION("""COMPUTED_VALUE"""),"CED-Net")</f>
        <v>CED-Net</v>
      </c>
      <c r="D214" s="5" t="str">
        <f>IFERROR(__xludf.DUMMYFUNCTION("""COMPUTED_VALUE"""),"mIoU")</f>
        <v>mIoU</v>
      </c>
      <c r="E214" s="5" t="str">
        <f>IFERROR(__xludf.DUMMYFUNCTION("""COMPUTED_VALUE"""),"mIoU")</f>
        <v>mIoU</v>
      </c>
      <c r="F214" s="5">
        <f>IFERROR(__xludf.DUMMYFUNCTION("""COMPUTED_VALUE"""),77.0)</f>
        <v>77</v>
      </c>
      <c r="G214" s="5">
        <f>IFERROR(__xludf.DUMMYFUNCTION("""COMPUTED_VALUE"""),13.0)</f>
        <v>13</v>
      </c>
    </row>
    <row r="215" ht="15.75" customHeight="1">
      <c r="A215" s="5" t="str">
        <f>IFERROR(__xludf.DUMMYFUNCTION("""COMPUTED_VALUE"""),"SCOPUS-000706")</f>
        <v>SCOPUS-000706</v>
      </c>
      <c r="B215" s="5" t="str">
        <f>IFERROR(__xludf.DUMMYFUNCTION("""COMPUTED_VALUE"""),"SCOPUS-000706-1")</f>
        <v>SCOPUS-000706-1</v>
      </c>
      <c r="C215" s="6" t="str">
        <f>IFERROR(__xludf.DUMMYFUNCTION("""COMPUTED_VALUE"""),"FCN-AlexNet FP16")</f>
        <v>FCN-AlexNet FP16</v>
      </c>
      <c r="D215" s="5" t="str">
        <f>IFERROR(__xludf.DUMMYFUNCTION("""COMPUTED_VALUE"""),"mIoU")</f>
        <v>mIoU</v>
      </c>
      <c r="E215" s="5" t="str">
        <f>IFERROR(__xludf.DUMMYFUNCTION("""COMPUTED_VALUE"""),"mIoU")</f>
        <v>mIoU</v>
      </c>
      <c r="F215" s="5">
        <f>IFERROR(__xludf.DUMMYFUNCTION("""COMPUTED_VALUE"""),62.8)</f>
        <v>62.8</v>
      </c>
      <c r="G215" s="5">
        <f>IFERROR(__xludf.DUMMYFUNCTION("""COMPUTED_VALUE"""),-7.7)</f>
        <v>-7.7</v>
      </c>
    </row>
    <row r="216" ht="15.75" customHeight="1">
      <c r="A216" s="5" t="str">
        <f>IFERROR(__xludf.DUMMYFUNCTION("""COMPUTED_VALUE"""),"SCOPUS-000642")</f>
        <v>SCOPUS-000642</v>
      </c>
      <c r="B216" s="5" t="str">
        <f>IFERROR(__xludf.DUMMYFUNCTION("""COMPUTED_VALUE"""),"SCOPUS-000642-1")</f>
        <v>SCOPUS-000642-1</v>
      </c>
      <c r="C216" s="6" t="str">
        <f>IFERROR(__xludf.DUMMYFUNCTION("""COMPUTED_VALUE"""),"YOLOv3")</f>
        <v>YOLOv3</v>
      </c>
      <c r="D216" s="5" t="str">
        <f>IFERROR(__xludf.DUMMYFUNCTION("""COMPUTED_VALUE"""),"mAP@0.5")</f>
        <v>mAP@0.5</v>
      </c>
      <c r="E216" s="5" t="str">
        <f>IFERROR(__xludf.DUMMYFUNCTION("""COMPUTED_VALUE"""),"mAP@0.5")</f>
        <v>mAP@0.5</v>
      </c>
      <c r="F216" s="5">
        <f>IFERROR(__xludf.DUMMYFUNCTION("""COMPUTED_VALUE"""),84.5)</f>
        <v>84.5</v>
      </c>
      <c r="G216" s="5">
        <f>IFERROR(__xludf.DUMMYFUNCTION("""COMPUTED_VALUE"""),9.6)</f>
        <v>9.6</v>
      </c>
    </row>
    <row r="217" ht="15.75" customHeight="1">
      <c r="A217" s="5" t="str">
        <f>IFERROR(__xludf.DUMMYFUNCTION("""COMPUTED_VALUE"""),"SCOPUS-000642")</f>
        <v>SCOPUS-000642</v>
      </c>
      <c r="B217" s="5" t="str">
        <f>IFERROR(__xludf.DUMMYFUNCTION("""COMPUTED_VALUE"""),"SCOPUS-000642-2")</f>
        <v>SCOPUS-000642-2</v>
      </c>
      <c r="C217" s="6" t="str">
        <f>IFERROR(__xludf.DUMMYFUNCTION("""COMPUTED_VALUE"""),"EfficientDet")</f>
        <v>EfficientDet</v>
      </c>
      <c r="D217" s="5" t="str">
        <f>IFERROR(__xludf.DUMMYFUNCTION("""COMPUTED_VALUE"""),"mAP@0.5")</f>
        <v>mAP@0.5</v>
      </c>
      <c r="E217" s="5" t="str">
        <f>IFERROR(__xludf.DUMMYFUNCTION("""COMPUTED_VALUE"""),"mAP@0.5")</f>
        <v>mAP@0.5</v>
      </c>
      <c r="F217" s="5">
        <f>IFERROR(__xludf.DUMMYFUNCTION("""COMPUTED_VALUE"""),87.2)</f>
        <v>87.2</v>
      </c>
      <c r="G217" s="5">
        <f>IFERROR(__xludf.DUMMYFUNCTION("""COMPUTED_VALUE"""),12.3)</f>
        <v>12.3</v>
      </c>
    </row>
    <row r="218" ht="15.75" customHeight="1">
      <c r="A218" s="5" t="str">
        <f>IFERROR(__xludf.DUMMYFUNCTION("""COMPUTED_VALUE"""),"SCOPUS-000642")</f>
        <v>SCOPUS-000642</v>
      </c>
      <c r="B218" s="5" t="str">
        <f>IFERROR(__xludf.DUMMYFUNCTION("""COMPUTED_VALUE"""),"SCOPUS-000642-3")</f>
        <v>SCOPUS-000642-3</v>
      </c>
      <c r="C218" s="6" t="str">
        <f>IFERROR(__xludf.DUMMYFUNCTION("""COMPUTED_VALUE"""),"SSD")</f>
        <v>SSD</v>
      </c>
      <c r="D218" s="5" t="str">
        <f>IFERROR(__xludf.DUMMYFUNCTION("""COMPUTED_VALUE"""),"mAP@0.5")</f>
        <v>mAP@0.5</v>
      </c>
      <c r="E218" s="5" t="str">
        <f>IFERROR(__xludf.DUMMYFUNCTION("""COMPUTED_VALUE"""),"mAP@0.5")</f>
        <v>mAP@0.5</v>
      </c>
      <c r="F218" s="5">
        <f>IFERROR(__xludf.DUMMYFUNCTION("""COMPUTED_VALUE"""),88.2)</f>
        <v>88.2</v>
      </c>
      <c r="G218" s="5">
        <f>IFERROR(__xludf.DUMMYFUNCTION("""COMPUTED_VALUE"""),13.3)</f>
        <v>13.3</v>
      </c>
    </row>
    <row r="219" ht="15.75" customHeight="1">
      <c r="A219" s="5" t="str">
        <f>IFERROR(__xludf.DUMMYFUNCTION("""COMPUTED_VALUE"""),"SCOPUS-000642")</f>
        <v>SCOPUS-000642</v>
      </c>
      <c r="B219" s="5" t="str">
        <f>IFERROR(__xludf.DUMMYFUNCTION("""COMPUTED_VALUE"""),"SCOPUS-000642-4")</f>
        <v>SCOPUS-000642-4</v>
      </c>
      <c r="C219" s="6" t="str">
        <f>IFERROR(__xludf.DUMMYFUNCTION("""COMPUTED_VALUE"""),"Faster R-CNN")</f>
        <v>Faster R-CNN</v>
      </c>
      <c r="D219" s="5" t="str">
        <f>IFERROR(__xludf.DUMMYFUNCTION("""COMPUTED_VALUE"""),"mAP@0.5")</f>
        <v>mAP@0.5</v>
      </c>
      <c r="E219" s="5" t="str">
        <f>IFERROR(__xludf.DUMMYFUNCTION("""COMPUTED_VALUE"""),"mAP@0.5")</f>
        <v>mAP@0.5</v>
      </c>
      <c r="F219" s="5">
        <f>IFERROR(__xludf.DUMMYFUNCTION("""COMPUTED_VALUE"""),89.6)</f>
        <v>89.6</v>
      </c>
      <c r="G219" s="5">
        <f>IFERROR(__xludf.DUMMYFUNCTION("""COMPUTED_VALUE"""),14.7)</f>
        <v>14.7</v>
      </c>
    </row>
    <row r="220" ht="15.75" customHeight="1">
      <c r="A220" s="5" t="str">
        <f>IFERROR(__xludf.DUMMYFUNCTION("""COMPUTED_VALUE"""),"SCOPUS-000642")</f>
        <v>SCOPUS-000642</v>
      </c>
      <c r="B220" s="5" t="str">
        <f>IFERROR(__xludf.DUMMYFUNCTION("""COMPUTED_VALUE"""),"SCOPUS-000642-5")</f>
        <v>SCOPUS-000642-5</v>
      </c>
      <c r="C220" s="6" t="str">
        <f>IFERROR(__xludf.DUMMYFUNCTION("""COMPUTED_VALUE"""),"YOLOv8n")</f>
        <v>YOLOv8n</v>
      </c>
      <c r="D220" s="5" t="str">
        <f>IFERROR(__xludf.DUMMYFUNCTION("""COMPUTED_VALUE"""),"mAP@0.5")</f>
        <v>mAP@0.5</v>
      </c>
      <c r="E220" s="5" t="str">
        <f>IFERROR(__xludf.DUMMYFUNCTION("""COMPUTED_VALUE"""),"mAP@0.5")</f>
        <v>mAP@0.5</v>
      </c>
      <c r="F220" s="5">
        <f>IFERROR(__xludf.DUMMYFUNCTION("""COMPUTED_VALUE"""),92.1)</f>
        <v>92.1</v>
      </c>
      <c r="G220" s="5">
        <f>IFERROR(__xludf.DUMMYFUNCTION("""COMPUTED_VALUE"""),17.2)</f>
        <v>17.2</v>
      </c>
    </row>
    <row r="221" ht="15.75" customHeight="1">
      <c r="A221" s="5" t="str">
        <f>IFERROR(__xludf.DUMMYFUNCTION("""COMPUTED_VALUE"""),"SCOPUS-000642")</f>
        <v>SCOPUS-000642</v>
      </c>
      <c r="B221" s="5" t="str">
        <f>IFERROR(__xludf.DUMMYFUNCTION("""COMPUTED_VALUE"""),"SCOPUS-000642-6")</f>
        <v>SCOPUS-000642-6</v>
      </c>
      <c r="C221" s="6" t="str">
        <f>IFERROR(__xludf.DUMMYFUNCTION("""COMPUTED_VALUE"""),"RVDR-YOLOv8")</f>
        <v>RVDR-YOLOv8</v>
      </c>
      <c r="D221" s="5" t="str">
        <f>IFERROR(__xludf.DUMMYFUNCTION("""COMPUTED_VALUE"""),"mAP@0.5")</f>
        <v>mAP@0.5</v>
      </c>
      <c r="E221" s="5" t="str">
        <f>IFERROR(__xludf.DUMMYFUNCTION("""COMPUTED_VALUE"""),"mAP@0.5")</f>
        <v>mAP@0.5</v>
      </c>
      <c r="F221" s="5">
        <f>IFERROR(__xludf.DUMMYFUNCTION("""COMPUTED_VALUE"""),93.8)</f>
        <v>93.8</v>
      </c>
      <c r="G221" s="5">
        <f>IFERROR(__xludf.DUMMYFUNCTION("""COMPUTED_VALUE"""),18.9)</f>
        <v>18.9</v>
      </c>
    </row>
    <row r="222" ht="15.75" customHeight="1">
      <c r="A222" s="5" t="str">
        <f>IFERROR(__xludf.DUMMYFUNCTION("""COMPUTED_VALUE"""),"SCOPUS-000132")</f>
        <v>SCOPUS-000132</v>
      </c>
      <c r="B222" s="5" t="str">
        <f>IFERROR(__xludf.DUMMYFUNCTION("""COMPUTED_VALUE"""),"SCOPUS-000132-1")</f>
        <v>SCOPUS-000132-1</v>
      </c>
      <c r="C222" s="6" t="str">
        <f>IFERROR(__xludf.DUMMYFUNCTION("""COMPUTED_VALUE"""),"YOLOv10x")</f>
        <v>YOLOv10x</v>
      </c>
      <c r="D222" s="5" t="str">
        <f>IFERROR(__xludf.DUMMYFUNCTION("""COMPUTED_VALUE"""),"mAP@0.5")</f>
        <v>mAP@0.5</v>
      </c>
      <c r="E222" s="5" t="str">
        <f>IFERROR(__xludf.DUMMYFUNCTION("""COMPUTED_VALUE"""),"mAP@0.5")</f>
        <v>mAP@0.5</v>
      </c>
      <c r="F222" s="5">
        <f>IFERROR(__xludf.DUMMYFUNCTION("""COMPUTED_VALUE"""),79.6)</f>
        <v>79.6</v>
      </c>
      <c r="G222" s="5">
        <f>IFERROR(__xludf.DUMMYFUNCTION("""COMPUTED_VALUE"""),-3.4)</f>
        <v>-3.4</v>
      </c>
    </row>
    <row r="223" ht="15.75" customHeight="1">
      <c r="A223" s="5" t="str">
        <f>IFERROR(__xludf.DUMMYFUNCTION("""COMPUTED_VALUE"""),"SCOPUS-000132")</f>
        <v>SCOPUS-000132</v>
      </c>
      <c r="B223" s="5" t="str">
        <f>IFERROR(__xludf.DUMMYFUNCTION("""COMPUTED_VALUE"""),"SCOPUS-000132-2")</f>
        <v>SCOPUS-000132-2</v>
      </c>
      <c r="C223" s="6" t="str">
        <f>IFERROR(__xludf.DUMMYFUNCTION("""COMPUTED_VALUE"""),"YOLOv10n")</f>
        <v>YOLOv10n</v>
      </c>
      <c r="D223" s="5" t="str">
        <f>IFERROR(__xludf.DUMMYFUNCTION("""COMPUTED_VALUE"""),"mAP@0.5")</f>
        <v>mAP@0.5</v>
      </c>
      <c r="E223" s="5" t="str">
        <f>IFERROR(__xludf.DUMMYFUNCTION("""COMPUTED_VALUE"""),"mAP@0.5")</f>
        <v>mAP@0.5</v>
      </c>
      <c r="F223" s="5">
        <f>IFERROR(__xludf.DUMMYFUNCTION("""COMPUTED_VALUE"""),81.0)</f>
        <v>81</v>
      </c>
      <c r="G223" s="5">
        <f>IFERROR(__xludf.DUMMYFUNCTION("""COMPUTED_VALUE"""),-2.0)</f>
        <v>-2</v>
      </c>
    </row>
    <row r="224" ht="15.75" customHeight="1">
      <c r="A224" s="5" t="str">
        <f>IFERROR(__xludf.DUMMYFUNCTION("""COMPUTED_VALUE"""),"SCOPUS-000132")</f>
        <v>SCOPUS-000132</v>
      </c>
      <c r="B224" s="5" t="str">
        <f>IFERROR(__xludf.DUMMYFUNCTION("""COMPUTED_VALUE"""),"SCOPUS-000132-3")</f>
        <v>SCOPUS-000132-3</v>
      </c>
      <c r="C224" s="6" t="str">
        <f>IFERROR(__xludf.DUMMYFUNCTION("""COMPUTED_VALUE"""),"YOLOv10m")</f>
        <v>YOLOv10m</v>
      </c>
      <c r="D224" s="5" t="str">
        <f>IFERROR(__xludf.DUMMYFUNCTION("""COMPUTED_VALUE"""),"mAP@0.5")</f>
        <v>mAP@0.5</v>
      </c>
      <c r="E224" s="5" t="str">
        <f>IFERROR(__xludf.DUMMYFUNCTION("""COMPUTED_VALUE"""),"mAP@0.5")</f>
        <v>mAP@0.5</v>
      </c>
      <c r="F224" s="5">
        <f>IFERROR(__xludf.DUMMYFUNCTION("""COMPUTED_VALUE"""),81.5)</f>
        <v>81.5</v>
      </c>
      <c r="G224" s="5">
        <f>IFERROR(__xludf.DUMMYFUNCTION("""COMPUTED_VALUE"""),-1.5)</f>
        <v>-1.5</v>
      </c>
    </row>
    <row r="225" ht="15.75" customHeight="1">
      <c r="A225" s="5" t="str">
        <f>IFERROR(__xludf.DUMMYFUNCTION("""COMPUTED_VALUE"""),"SCOPUS-000132")</f>
        <v>SCOPUS-000132</v>
      </c>
      <c r="B225" s="5" t="str">
        <f>IFERROR(__xludf.DUMMYFUNCTION("""COMPUTED_VALUE"""),"SCOPUS-000132-4")</f>
        <v>SCOPUS-000132-4</v>
      </c>
      <c r="C225" s="6" t="str">
        <f>IFERROR(__xludf.DUMMYFUNCTION("""COMPUTED_VALUE"""),"YOLO11-edge-base")</f>
        <v>YOLO11-edge-base</v>
      </c>
      <c r="D225" s="5" t="str">
        <f>IFERROR(__xludf.DUMMYFUNCTION("""COMPUTED_VALUE"""),"mAP@0.5")</f>
        <v>mAP@0.5</v>
      </c>
      <c r="E225" s="5" t="str">
        <f>IFERROR(__xludf.DUMMYFUNCTION("""COMPUTED_VALUE"""),"mAP@0.5")</f>
        <v>mAP@0.5</v>
      </c>
      <c r="F225" s="5">
        <f>IFERROR(__xludf.DUMMYFUNCTION("""COMPUTED_VALUE"""),81.9)</f>
        <v>81.9</v>
      </c>
      <c r="G225" s="5">
        <f>IFERROR(__xludf.DUMMYFUNCTION("""COMPUTED_VALUE"""),-1.1)</f>
        <v>-1.1</v>
      </c>
    </row>
    <row r="226" ht="15.75" customHeight="1">
      <c r="A226" s="5" t="str">
        <f>IFERROR(__xludf.DUMMYFUNCTION("""COMPUTED_VALUE"""),"SCOPUS-000132")</f>
        <v>SCOPUS-000132</v>
      </c>
      <c r="B226" s="5" t="str">
        <f>IFERROR(__xludf.DUMMYFUNCTION("""COMPUTED_VALUE"""),"SCOPUS-000132-5")</f>
        <v>SCOPUS-000132-5</v>
      </c>
      <c r="C226" s="6" t="str">
        <f>IFERROR(__xludf.DUMMYFUNCTION("""COMPUTED_VALUE"""),"YOLO11m")</f>
        <v>YOLO11m</v>
      </c>
      <c r="D226" s="5" t="str">
        <f>IFERROR(__xludf.DUMMYFUNCTION("""COMPUTED_VALUE"""),"mAP@0.5")</f>
        <v>mAP@0.5</v>
      </c>
      <c r="E226" s="5" t="str">
        <f>IFERROR(__xludf.DUMMYFUNCTION("""COMPUTED_VALUE"""),"mAP@0.5")</f>
        <v>mAP@0.5</v>
      </c>
      <c r="F226" s="5">
        <f>IFERROR(__xludf.DUMMYFUNCTION("""COMPUTED_VALUE"""),82.0)</f>
        <v>82</v>
      </c>
      <c r="G226" s="5">
        <f>IFERROR(__xludf.DUMMYFUNCTION("""COMPUTED_VALUE"""),-1.0)</f>
        <v>-1</v>
      </c>
    </row>
    <row r="227" ht="15.75" customHeight="1">
      <c r="A227" s="5" t="str">
        <f>IFERROR(__xludf.DUMMYFUNCTION("""COMPUTED_VALUE"""),"SCOPUS-000132")</f>
        <v>SCOPUS-000132</v>
      </c>
      <c r="B227" s="5" t="str">
        <f>IFERROR(__xludf.DUMMYFUNCTION("""COMPUTED_VALUE"""),"SCOPUS-000132-6")</f>
        <v>SCOPUS-000132-6</v>
      </c>
      <c r="C227" s="6" t="str">
        <f>IFERROR(__xludf.DUMMYFUNCTION("""COMPUTED_VALUE"""),"YOLO11x")</f>
        <v>YOLO11x</v>
      </c>
      <c r="D227" s="5" t="str">
        <f>IFERROR(__xludf.DUMMYFUNCTION("""COMPUTED_VALUE"""),"mAP@0.5")</f>
        <v>mAP@0.5</v>
      </c>
      <c r="E227" s="5" t="str">
        <f>IFERROR(__xludf.DUMMYFUNCTION("""COMPUTED_VALUE"""),"mAP@0.5")</f>
        <v>mAP@0.5</v>
      </c>
      <c r="F227" s="5">
        <f>IFERROR(__xludf.DUMMYFUNCTION("""COMPUTED_VALUE"""),82.4)</f>
        <v>82.4</v>
      </c>
      <c r="G227" s="5">
        <f>IFERROR(__xludf.DUMMYFUNCTION("""COMPUTED_VALUE"""),-0.6)</f>
        <v>-0.6</v>
      </c>
    </row>
    <row r="228" ht="15.75" customHeight="1">
      <c r="A228" s="5" t="str">
        <f>IFERROR(__xludf.DUMMYFUNCTION("""COMPUTED_VALUE"""),"SCOPUS-000121")</f>
        <v>SCOPUS-000121</v>
      </c>
      <c r="B228" s="5" t="str">
        <f>IFERROR(__xludf.DUMMYFUNCTION("""COMPUTED_VALUE"""),"SCOPUS-000121-1")</f>
        <v>SCOPUS-000121-1</v>
      </c>
      <c r="C228" s="6" t="str">
        <f>IFERROR(__xludf.DUMMYFUNCTION("""COMPUTED_VALUE"""),"RetinaNet")</f>
        <v>RetinaNet</v>
      </c>
      <c r="D228" s="5" t="str">
        <f>IFERROR(__xludf.DUMMYFUNCTION("""COMPUTED_VALUE"""),"mAP@0.5")</f>
        <v>mAP@0.5</v>
      </c>
      <c r="E228" s="5" t="str">
        <f>IFERROR(__xludf.DUMMYFUNCTION("""COMPUTED_VALUE"""),"mAP@0.5")</f>
        <v>mAP@0.5</v>
      </c>
      <c r="F228" s="5">
        <f>IFERROR(__xludf.DUMMYFUNCTION("""COMPUTED_VALUE"""),49.7)</f>
        <v>49.7</v>
      </c>
      <c r="G228" s="5">
        <f>IFERROR(__xludf.DUMMYFUNCTION("""COMPUTED_VALUE"""),1.3)</f>
        <v>1.3</v>
      </c>
    </row>
    <row r="229" ht="15.75" customHeight="1">
      <c r="A229" s="5" t="str">
        <f>IFERROR(__xludf.DUMMYFUNCTION("""COMPUTED_VALUE"""),"SCOPUS-000121")</f>
        <v>SCOPUS-000121</v>
      </c>
      <c r="B229" s="5" t="str">
        <f>IFERROR(__xludf.DUMMYFUNCTION("""COMPUTED_VALUE"""),"SCOPUS-000121-2")</f>
        <v>SCOPUS-000121-2</v>
      </c>
      <c r="C229" s="6" t="str">
        <f>IFERROR(__xludf.DUMMYFUNCTION("""COMPUTED_VALUE"""),"SSD")</f>
        <v>SSD</v>
      </c>
      <c r="D229" s="5" t="str">
        <f>IFERROR(__xludf.DUMMYFUNCTION("""COMPUTED_VALUE"""),"mAP@0.5")</f>
        <v>mAP@0.5</v>
      </c>
      <c r="E229" s="5" t="str">
        <f>IFERROR(__xludf.DUMMYFUNCTION("""COMPUTED_VALUE"""),"mAP@0.5")</f>
        <v>mAP@0.5</v>
      </c>
      <c r="F229" s="5">
        <f>IFERROR(__xludf.DUMMYFUNCTION("""COMPUTED_VALUE"""),61.9)</f>
        <v>61.9</v>
      </c>
      <c r="G229" s="5">
        <f>IFERROR(__xludf.DUMMYFUNCTION("""COMPUTED_VALUE"""),13.5)</f>
        <v>13.5</v>
      </c>
    </row>
    <row r="230" ht="15.75" customHeight="1">
      <c r="A230" s="5" t="str">
        <f>IFERROR(__xludf.DUMMYFUNCTION("""COMPUTED_VALUE"""),"SCOPUS-000121")</f>
        <v>SCOPUS-000121</v>
      </c>
      <c r="B230" s="5" t="str">
        <f>IFERROR(__xludf.DUMMYFUNCTION("""COMPUTED_VALUE"""),"SCOPUS-000121-3")</f>
        <v>SCOPUS-000121-3</v>
      </c>
      <c r="C230" s="6" t="str">
        <f>IFERROR(__xludf.DUMMYFUNCTION("""COMPUTED_VALUE"""),"YOLOv3-SPP")</f>
        <v>YOLOv3-SPP</v>
      </c>
      <c r="D230" s="5" t="str">
        <f>IFERROR(__xludf.DUMMYFUNCTION("""COMPUTED_VALUE"""),"mAP@0.5")</f>
        <v>mAP@0.5</v>
      </c>
      <c r="E230" s="5" t="str">
        <f>IFERROR(__xludf.DUMMYFUNCTION("""COMPUTED_VALUE"""),"mAP@0.5")</f>
        <v>mAP@0.5</v>
      </c>
      <c r="F230" s="5">
        <f>IFERROR(__xludf.DUMMYFUNCTION("""COMPUTED_VALUE"""),80.1)</f>
        <v>80.1</v>
      </c>
      <c r="G230" s="5">
        <f>IFERROR(__xludf.DUMMYFUNCTION("""COMPUTED_VALUE"""),31.7)</f>
        <v>31.7</v>
      </c>
    </row>
    <row r="231" ht="15.75" customHeight="1">
      <c r="A231" s="5" t="str">
        <f>IFERROR(__xludf.DUMMYFUNCTION("""COMPUTED_VALUE"""),"SCOPUS-000121")</f>
        <v>SCOPUS-000121</v>
      </c>
      <c r="B231" s="5" t="str">
        <f>IFERROR(__xludf.DUMMYFUNCTION("""COMPUTED_VALUE"""),"SCOPUS-000121-4")</f>
        <v>SCOPUS-000121-4</v>
      </c>
      <c r="C231" s="6" t="str">
        <f>IFERROR(__xludf.DUMMYFUNCTION("""COMPUTED_VALUE"""),"YOLOv6-M")</f>
        <v>YOLOv6-M</v>
      </c>
      <c r="D231" s="5" t="str">
        <f>IFERROR(__xludf.DUMMYFUNCTION("""COMPUTED_VALUE"""),"mAP@0.5")</f>
        <v>mAP@0.5</v>
      </c>
      <c r="E231" s="5" t="str">
        <f>IFERROR(__xludf.DUMMYFUNCTION("""COMPUTED_VALUE"""),"mAP@0.5")</f>
        <v>mAP@0.5</v>
      </c>
      <c r="F231" s="5">
        <f>IFERROR(__xludf.DUMMYFUNCTION("""COMPUTED_VALUE"""),80.5)</f>
        <v>80.5</v>
      </c>
      <c r="G231" s="5">
        <f>IFERROR(__xludf.DUMMYFUNCTION("""COMPUTED_VALUE"""),32.1)</f>
        <v>32.1</v>
      </c>
    </row>
    <row r="232" ht="15.75" customHeight="1">
      <c r="A232" s="5" t="str">
        <f>IFERROR(__xludf.DUMMYFUNCTION("""COMPUTED_VALUE"""),"SCOPUS-000121")</f>
        <v>SCOPUS-000121</v>
      </c>
      <c r="B232" s="5" t="str">
        <f>IFERROR(__xludf.DUMMYFUNCTION("""COMPUTED_VALUE"""),"SCOPUS-000121-5")</f>
        <v>SCOPUS-000121-5</v>
      </c>
      <c r="C232" s="6" t="str">
        <f>IFERROR(__xludf.DUMMYFUNCTION("""COMPUTED_VALUE"""),"YOLOv8-L")</f>
        <v>YOLOv8-L</v>
      </c>
      <c r="D232" s="5" t="str">
        <f>IFERROR(__xludf.DUMMYFUNCTION("""COMPUTED_VALUE"""),"mAP@0.5")</f>
        <v>mAP@0.5</v>
      </c>
      <c r="E232" s="5" t="str">
        <f>IFERROR(__xludf.DUMMYFUNCTION("""COMPUTED_VALUE"""),"mAP@0.5")</f>
        <v>mAP@0.5</v>
      </c>
      <c r="F232" s="5">
        <f>IFERROR(__xludf.DUMMYFUNCTION("""COMPUTED_VALUE"""),81.8)</f>
        <v>81.8</v>
      </c>
      <c r="G232" s="5">
        <f>IFERROR(__xludf.DUMMYFUNCTION("""COMPUTED_VALUE"""),33.4)</f>
        <v>33.4</v>
      </c>
    </row>
    <row r="233" ht="15.75" customHeight="1">
      <c r="A233" s="5" t="str">
        <f>IFERROR(__xludf.DUMMYFUNCTION("""COMPUTED_VALUE"""),"SCOPUS-000121")</f>
        <v>SCOPUS-000121</v>
      </c>
      <c r="B233" s="5" t="str">
        <f>IFERROR(__xludf.DUMMYFUNCTION("""COMPUTED_VALUE"""),"SCOPUS-000121-6")</f>
        <v>SCOPUS-000121-6</v>
      </c>
      <c r="C233" s="6" t="str">
        <f>IFERROR(__xludf.DUMMYFUNCTION("""COMPUTED_VALUE"""),"YOLOv5-L")</f>
        <v>YOLOv5-L</v>
      </c>
      <c r="D233" s="5" t="str">
        <f>IFERROR(__xludf.DUMMYFUNCTION("""COMPUTED_VALUE"""),"mAP@0.5")</f>
        <v>mAP@0.5</v>
      </c>
      <c r="E233" s="5" t="str">
        <f>IFERROR(__xludf.DUMMYFUNCTION("""COMPUTED_VALUE"""),"mAP@0.5")</f>
        <v>mAP@0.5</v>
      </c>
      <c r="F233" s="5">
        <f>IFERROR(__xludf.DUMMYFUNCTION("""COMPUTED_VALUE"""),82.0)</f>
        <v>82</v>
      </c>
      <c r="G233" s="5">
        <f>IFERROR(__xludf.DUMMYFUNCTION("""COMPUTED_VALUE"""),33.6)</f>
        <v>33.6</v>
      </c>
    </row>
    <row r="234" ht="15.75" customHeight="1">
      <c r="A234" s="5" t="str">
        <f>IFERROR(__xludf.DUMMYFUNCTION("""COMPUTED_VALUE"""),"SCOPUS-000121")</f>
        <v>SCOPUS-000121</v>
      </c>
      <c r="B234" s="5" t="str">
        <f>IFERROR(__xludf.DUMMYFUNCTION("""COMPUTED_VALUE"""),"SCOPUS-000121-7")</f>
        <v>SCOPUS-000121-7</v>
      </c>
      <c r="C234" s="6" t="str">
        <f>IFERROR(__xludf.DUMMYFUNCTION("""COMPUTED_VALUE"""),"WeedDETR")</f>
        <v>WeedDETR</v>
      </c>
      <c r="D234" s="5" t="str">
        <f>IFERROR(__xludf.DUMMYFUNCTION("""COMPUTED_VALUE"""),"mAP@0.5")</f>
        <v>mAP@0.5</v>
      </c>
      <c r="E234" s="5" t="str">
        <f>IFERROR(__xludf.DUMMYFUNCTION("""COMPUTED_VALUE"""),"mAP@0.5")</f>
        <v>mAP@0.5</v>
      </c>
      <c r="F234" s="5">
        <f>IFERROR(__xludf.DUMMYFUNCTION("""COMPUTED_VALUE"""),83.9)</f>
        <v>83.9</v>
      </c>
      <c r="G234" s="5">
        <f>IFERROR(__xludf.DUMMYFUNCTION("""COMPUTED_VALUE"""),35.5)</f>
        <v>35.5</v>
      </c>
    </row>
    <row r="235" ht="15.75" customHeight="1">
      <c r="A235" s="5" t="str">
        <f>IFERROR(__xludf.DUMMYFUNCTION("""COMPUTED_VALUE"""),"SCOPUS-000267")</f>
        <v>SCOPUS-000267</v>
      </c>
      <c r="B235" s="5" t="str">
        <f>IFERROR(__xludf.DUMMYFUNCTION("""COMPUTED_VALUE"""),"SCOPUS-000267-1")</f>
        <v>SCOPUS-000267-1</v>
      </c>
      <c r="C235" s="6" t="str">
        <f>IFERROR(__xludf.DUMMYFUNCTION("""COMPUTED_VALUE"""),"UNet")</f>
        <v>UNet</v>
      </c>
      <c r="D235" s="5" t="str">
        <f>IFERROR(__xludf.DUMMYFUNCTION("""COMPUTED_VALUE"""),"mIoU")</f>
        <v>mIoU</v>
      </c>
      <c r="E235" s="5" t="str">
        <f>IFERROR(__xludf.DUMMYFUNCTION("""COMPUTED_VALUE"""),"mIoU")</f>
        <v>mIoU</v>
      </c>
      <c r="F235" s="5">
        <f>IFERROR(__xludf.DUMMYFUNCTION("""COMPUTED_VALUE"""),69.8)</f>
        <v>69.8</v>
      </c>
      <c r="G235" s="5">
        <f>IFERROR(__xludf.DUMMYFUNCTION("""COMPUTED_VALUE"""),1.8)</f>
        <v>1.8</v>
      </c>
    </row>
    <row r="236" ht="15.75" customHeight="1">
      <c r="A236" s="5" t="str">
        <f>IFERROR(__xludf.DUMMYFUNCTION("""COMPUTED_VALUE"""),"SCOPUS-000267")</f>
        <v>SCOPUS-000267</v>
      </c>
      <c r="B236" s="5" t="str">
        <f>IFERROR(__xludf.DUMMYFUNCTION("""COMPUTED_VALUE"""),"SCOPUS-000267-2")</f>
        <v>SCOPUS-000267-2</v>
      </c>
      <c r="C236" s="6" t="str">
        <f>IFERROR(__xludf.DUMMYFUNCTION("""COMPUTED_VALUE"""),"FCN-16s")</f>
        <v>FCN-16s</v>
      </c>
      <c r="D236" s="5" t="str">
        <f>IFERROR(__xludf.DUMMYFUNCTION("""COMPUTED_VALUE"""),"mIoU")</f>
        <v>mIoU</v>
      </c>
      <c r="E236" s="5" t="str">
        <f>IFERROR(__xludf.DUMMYFUNCTION("""COMPUTED_VALUE"""),"mIoU")</f>
        <v>mIoU</v>
      </c>
      <c r="F236" s="5">
        <f>IFERROR(__xludf.DUMMYFUNCTION("""COMPUTED_VALUE"""),70.4)</f>
        <v>70.4</v>
      </c>
      <c r="G236" s="5">
        <f>IFERROR(__xludf.DUMMYFUNCTION("""COMPUTED_VALUE"""),2.4)</f>
        <v>2.4</v>
      </c>
    </row>
    <row r="237" ht="15.75" customHeight="1">
      <c r="A237" s="5" t="str">
        <f>IFERROR(__xludf.DUMMYFUNCTION("""COMPUTED_VALUE"""),"SCOPUS-000267")</f>
        <v>SCOPUS-000267</v>
      </c>
      <c r="B237" s="5" t="str">
        <f>IFERROR(__xludf.DUMMYFUNCTION("""COMPUTED_VALUE"""),"SCOPUS-000267-3")</f>
        <v>SCOPUS-000267-3</v>
      </c>
      <c r="C237" s="6" t="str">
        <f>IFERROR(__xludf.DUMMYFUNCTION("""COMPUTED_VALUE"""),"FCN-8s")</f>
        <v>FCN-8s</v>
      </c>
      <c r="D237" s="5" t="str">
        <f>IFERROR(__xludf.DUMMYFUNCTION("""COMPUTED_VALUE"""),"mIoU")</f>
        <v>mIoU</v>
      </c>
      <c r="E237" s="5" t="str">
        <f>IFERROR(__xludf.DUMMYFUNCTION("""COMPUTED_VALUE"""),"mIoU")</f>
        <v>mIoU</v>
      </c>
      <c r="F237" s="5">
        <f>IFERROR(__xludf.DUMMYFUNCTION("""COMPUTED_VALUE"""),73.6)</f>
        <v>73.6</v>
      </c>
      <c r="G237" s="5">
        <f>IFERROR(__xludf.DUMMYFUNCTION("""COMPUTED_VALUE"""),5.6)</f>
        <v>5.6</v>
      </c>
    </row>
    <row r="238" ht="15.75" customHeight="1">
      <c r="A238" s="5" t="str">
        <f>IFERROR(__xludf.DUMMYFUNCTION("""COMPUTED_VALUE"""),"SCOPUS-000267")</f>
        <v>SCOPUS-000267</v>
      </c>
      <c r="B238" s="5" t="str">
        <f>IFERROR(__xludf.DUMMYFUNCTION("""COMPUTED_VALUE"""),"SCOPUS-000267-4")</f>
        <v>SCOPUS-000267-4</v>
      </c>
      <c r="C238" s="6" t="str">
        <f>IFERROR(__xludf.DUMMYFUNCTION("""COMPUTED_VALUE"""),"SegNet")</f>
        <v>SegNet</v>
      </c>
      <c r="D238" s="5" t="str">
        <f>IFERROR(__xludf.DUMMYFUNCTION("""COMPUTED_VALUE"""),"mIoU")</f>
        <v>mIoU</v>
      </c>
      <c r="E238" s="5" t="str">
        <f>IFERROR(__xludf.DUMMYFUNCTION("""COMPUTED_VALUE"""),"mIoU")</f>
        <v>mIoU</v>
      </c>
      <c r="F238" s="5">
        <f>IFERROR(__xludf.DUMMYFUNCTION("""COMPUTED_VALUE"""),75.0)</f>
        <v>75</v>
      </c>
      <c r="G238" s="5">
        <f>IFERROR(__xludf.DUMMYFUNCTION("""COMPUTED_VALUE"""),7.0)</f>
        <v>7</v>
      </c>
    </row>
    <row r="239" ht="15.75" customHeight="1">
      <c r="A239" s="5" t="str">
        <f>IFERROR(__xludf.DUMMYFUNCTION("""COMPUTED_VALUE"""),"SCOPUS-000267")</f>
        <v>SCOPUS-000267</v>
      </c>
      <c r="B239" s="5" t="str">
        <f>IFERROR(__xludf.DUMMYFUNCTION("""COMPUTED_VALUE"""),"SCOPUS-000267-5")</f>
        <v>SCOPUS-000267-5</v>
      </c>
      <c r="C239" s="6" t="str">
        <f>IFERROR(__xludf.DUMMYFUNCTION("""COMPUTED_VALUE"""),"Proposed")</f>
        <v>Proposed</v>
      </c>
      <c r="D239" s="5" t="str">
        <f>IFERROR(__xludf.DUMMYFUNCTION("""COMPUTED_VALUE"""),"mIoU")</f>
        <v>mIoU</v>
      </c>
      <c r="E239" s="5" t="str">
        <f>IFERROR(__xludf.DUMMYFUNCTION("""COMPUTED_VALUE"""),"mIoU")</f>
        <v>mIoU</v>
      </c>
      <c r="F239" s="5">
        <f>IFERROR(__xludf.DUMMYFUNCTION("""COMPUTED_VALUE"""),76.7)</f>
        <v>76.7</v>
      </c>
      <c r="G239" s="5">
        <f>IFERROR(__xludf.DUMMYFUNCTION("""COMPUTED_VALUE"""),8.7)</f>
        <v>8.7</v>
      </c>
    </row>
    <row r="240" ht="15.75" customHeight="1">
      <c r="A240" s="5" t="str">
        <f>IFERROR(__xludf.DUMMYFUNCTION("""COMPUTED_VALUE"""),"SCOPUS-000722")</f>
        <v>SCOPUS-000722</v>
      </c>
      <c r="B240" s="5" t="str">
        <f>IFERROR(__xludf.DUMMYFUNCTION("""COMPUTED_VALUE"""),"SCOPUS-000722-2")</f>
        <v>SCOPUS-000722-2</v>
      </c>
      <c r="C240" s="6" t="str">
        <f>IFERROR(__xludf.DUMMYFUNCTION("""COMPUTED_VALUE"""),"DeepLabV3+ (standard)")</f>
        <v>DeepLabV3+ (standard)</v>
      </c>
      <c r="D240" s="5" t="str">
        <f>IFERROR(__xludf.DUMMYFUNCTION("""COMPUTED_VALUE"""),"mIoU")</f>
        <v>mIoU</v>
      </c>
      <c r="E240" s="5" t="str">
        <f>IFERROR(__xludf.DUMMYFUNCTION("""COMPUTED_VALUE"""),"mIoU")</f>
        <v>mIoU</v>
      </c>
      <c r="F240" s="5">
        <f>IFERROR(__xludf.DUMMYFUNCTION("""COMPUTED_VALUE"""),61.60568)</f>
        <v>61.60568</v>
      </c>
      <c r="G240" s="5">
        <f>IFERROR(__xludf.DUMMYFUNCTION("""COMPUTED_VALUE"""),5.1)</f>
        <v>5.1</v>
      </c>
    </row>
    <row r="241" ht="15.75" customHeight="1">
      <c r="A241" s="5" t="str">
        <f>IFERROR(__xludf.DUMMYFUNCTION("""COMPUTED_VALUE"""),"SCOPUS-000722")</f>
        <v>SCOPUS-000722</v>
      </c>
      <c r="B241" s="5" t="str">
        <f>IFERROR(__xludf.DUMMYFUNCTION("""COMPUTED_VALUE"""),"SCOPUS-000722-3")</f>
        <v>SCOPUS-000722-3</v>
      </c>
      <c r="C241" s="6" t="str">
        <f>IFERROR(__xludf.DUMMYFUNCTION("""COMPUTED_VALUE"""),"U-Net")</f>
        <v>U-Net</v>
      </c>
      <c r="D241" s="5" t="str">
        <f>IFERROR(__xludf.DUMMYFUNCTION("""COMPUTED_VALUE"""),"mIoU")</f>
        <v>mIoU</v>
      </c>
      <c r="E241" s="5" t="str">
        <f>IFERROR(__xludf.DUMMYFUNCTION("""COMPUTED_VALUE"""),"mIoU")</f>
        <v>mIoU</v>
      </c>
      <c r="F241" s="5">
        <f>IFERROR(__xludf.DUMMYFUNCTION("""COMPUTED_VALUE"""),60.95523)</f>
        <v>60.95523</v>
      </c>
      <c r="G241" s="5">
        <f>IFERROR(__xludf.DUMMYFUNCTION("""COMPUTED_VALUE"""),4.5)</f>
        <v>4.5</v>
      </c>
    </row>
    <row r="242" ht="15.75" customHeight="1">
      <c r="A242" s="5" t="str">
        <f>IFERROR(__xludf.DUMMYFUNCTION("""COMPUTED_VALUE"""),"SCOPUS-000722")</f>
        <v>SCOPUS-000722</v>
      </c>
      <c r="B242" s="5" t="str">
        <f>IFERROR(__xludf.DUMMYFUNCTION("""COMPUTED_VALUE"""),"SCOPUS-000722-4")</f>
        <v>SCOPUS-000722-4</v>
      </c>
      <c r="C242" s="6" t="str">
        <f>IFERROR(__xludf.DUMMYFUNCTION("""COMPUTED_VALUE"""),"U-Net ResNet-50")</f>
        <v>U-Net ResNet-50</v>
      </c>
      <c r="D242" s="5" t="str">
        <f>IFERROR(__xludf.DUMMYFUNCTION("""COMPUTED_VALUE"""),"mIoU")</f>
        <v>mIoU</v>
      </c>
      <c r="E242" s="5" t="str">
        <f>IFERROR(__xludf.DUMMYFUNCTION("""COMPUTED_VALUE"""),"mIoU")</f>
        <v>mIoU</v>
      </c>
      <c r="F242" s="5">
        <f>IFERROR(__xludf.DUMMYFUNCTION("""COMPUTED_VALUE"""),63.3363)</f>
        <v>63.3363</v>
      </c>
      <c r="G242" s="5">
        <f>IFERROR(__xludf.DUMMYFUNCTION("""COMPUTED_VALUE"""),6.9)</f>
        <v>6.9</v>
      </c>
    </row>
    <row r="243" ht="15.75" customHeight="1">
      <c r="A243" s="5" t="str">
        <f>IFERROR(__xludf.DUMMYFUNCTION("""COMPUTED_VALUE"""),"SCOPUS-000722")</f>
        <v>SCOPUS-000722</v>
      </c>
      <c r="B243" s="5" t="str">
        <f>IFERROR(__xludf.DUMMYFUNCTION("""COMPUTED_VALUE"""),"SCOPUS-000722-5")</f>
        <v>SCOPUS-000722-5</v>
      </c>
      <c r="C243" s="6" t="str">
        <f>IFERROR(__xludf.DUMMYFUNCTION("""COMPUTED_VALUE"""),"SegNet")</f>
        <v>SegNet</v>
      </c>
      <c r="D243" s="5" t="str">
        <f>IFERROR(__xludf.DUMMYFUNCTION("""COMPUTED_VALUE"""),"mIoU")</f>
        <v>mIoU</v>
      </c>
      <c r="E243" s="5" t="str">
        <f>IFERROR(__xludf.DUMMYFUNCTION("""COMPUTED_VALUE"""),"mIoU")</f>
        <v>mIoU</v>
      </c>
      <c r="F243" s="5">
        <f>IFERROR(__xludf.DUMMYFUNCTION("""COMPUTED_VALUE"""),65.20968)</f>
        <v>65.20968</v>
      </c>
      <c r="G243" s="5">
        <f>IFERROR(__xludf.DUMMYFUNCTION("""COMPUTED_VALUE"""),8.7)</f>
        <v>8.7</v>
      </c>
    </row>
    <row r="244" ht="15.75" customHeight="1">
      <c r="A244" s="5" t="str">
        <f>IFERROR(__xludf.DUMMYFUNCTION("""COMPUTED_VALUE"""),"SCOPUS-000722")</f>
        <v>SCOPUS-000722</v>
      </c>
      <c r="B244" s="5" t="str">
        <f>IFERROR(__xludf.DUMMYFUNCTION("""COMPUTED_VALUE"""),"SCOPUS-000722-6")</f>
        <v>SCOPUS-000722-6</v>
      </c>
      <c r="C244" s="6" t="str">
        <f>IFERROR(__xludf.DUMMYFUNCTION("""COMPUTED_VALUE"""),"SegNet ResNet-50")</f>
        <v>SegNet ResNet-50</v>
      </c>
      <c r="D244" s="5" t="str">
        <f>IFERROR(__xludf.DUMMYFUNCTION("""COMPUTED_VALUE"""),"mIoU")</f>
        <v>mIoU</v>
      </c>
      <c r="E244" s="5" t="str">
        <f>IFERROR(__xludf.DUMMYFUNCTION("""COMPUTED_VALUE"""),"mIoU")</f>
        <v>mIoU</v>
      </c>
      <c r="F244" s="5">
        <f>IFERROR(__xludf.DUMMYFUNCTION("""COMPUTED_VALUE"""),59.37053)</f>
        <v>59.37053</v>
      </c>
      <c r="G244" s="5">
        <f>IFERROR(__xludf.DUMMYFUNCTION("""COMPUTED_VALUE"""),2.9)</f>
        <v>2.9</v>
      </c>
    </row>
    <row r="245" ht="15.75" customHeight="1">
      <c r="A245" s="5" t="str">
        <f>IFERROR(__xludf.DUMMYFUNCTION("""COMPUTED_VALUE"""),"SCOPUS-000629")</f>
        <v>SCOPUS-000629</v>
      </c>
      <c r="B245" s="5" t="str">
        <f>IFERROR(__xludf.DUMMYFUNCTION("""COMPUTED_VALUE"""),"SCOPUS-000629-1")</f>
        <v>SCOPUS-000629-1</v>
      </c>
      <c r="C245" s="6" t="str">
        <f>IFERROR(__xludf.DUMMYFUNCTION("""COMPUTED_VALUE"""),"RetinaNet + fake weeds (model 7-R)")</f>
        <v>RetinaNet + fake weeds (model 7-R)</v>
      </c>
      <c r="D245" s="5" t="str">
        <f>IFERROR(__xludf.DUMMYFUNCTION("""COMPUTED_VALUE"""),"mAP@0.5")</f>
        <v>mAP@0.5</v>
      </c>
      <c r="E245" s="5" t="str">
        <f>IFERROR(__xludf.DUMMYFUNCTION("""COMPUTED_VALUE"""),"mAP@0.5")</f>
        <v>mAP@0.5</v>
      </c>
      <c r="F245" s="5">
        <f>IFERROR(__xludf.DUMMYFUNCTION("""COMPUTED_VALUE"""),92.8)</f>
        <v>92.8</v>
      </c>
      <c r="G245" s="5">
        <f>IFERROR(__xludf.DUMMYFUNCTION("""COMPUTED_VALUE"""),9.1)</f>
        <v>9.1</v>
      </c>
    </row>
    <row r="246" ht="15.75" customHeight="1">
      <c r="A246" s="5" t="str">
        <f>IFERROR(__xludf.DUMMYFUNCTION("""COMPUTED_VALUE"""),"SCOPUS-000146")</f>
        <v>SCOPUS-000146</v>
      </c>
      <c r="B246" s="5" t="str">
        <f>IFERROR(__xludf.DUMMYFUNCTION("""COMPUTED_VALUE"""),"SCOPUS-000146-1")</f>
        <v>SCOPUS-000146-1</v>
      </c>
      <c r="C246" s="6" t="str">
        <f>IFERROR(__xludf.DUMMYFUNCTION("""COMPUTED_VALUE"""),"DenseNet")</f>
        <v>DenseNet</v>
      </c>
      <c r="D246" s="5" t="str">
        <f>IFERROR(__xludf.DUMMYFUNCTION("""COMPUTED_VALUE"""),"Accuracy")</f>
        <v>Accuracy</v>
      </c>
      <c r="E246" s="5" t="str">
        <f>IFERROR(__xludf.DUMMYFUNCTION("""COMPUTED_VALUE"""),"Accuracy")</f>
        <v>Accuracy</v>
      </c>
      <c r="F246" s="5">
        <f>IFERROR(__xludf.DUMMYFUNCTION("""COMPUTED_VALUE"""),91.0)</f>
        <v>91</v>
      </c>
      <c r="G246" s="5">
        <f>IFERROR(__xludf.DUMMYFUNCTION("""COMPUTED_VALUE"""),27.0)</f>
        <v>27</v>
      </c>
    </row>
    <row r="247" ht="15.75" customHeight="1">
      <c r="A247" s="5" t="str">
        <f>IFERROR(__xludf.DUMMYFUNCTION("""COMPUTED_VALUE"""),"SCOPUS-000146")</f>
        <v>SCOPUS-000146</v>
      </c>
      <c r="B247" s="5" t="str">
        <f>IFERROR(__xludf.DUMMYFUNCTION("""COMPUTED_VALUE"""),"SCOPUS-000146-2")</f>
        <v>SCOPUS-000146-2</v>
      </c>
      <c r="C247" s="6" t="str">
        <f>IFERROR(__xludf.DUMMYFUNCTION("""COMPUTED_VALUE"""),"VGG-16")</f>
        <v>VGG-16</v>
      </c>
      <c r="D247" s="5" t="str">
        <f>IFERROR(__xludf.DUMMYFUNCTION("""COMPUTED_VALUE"""),"Accuracy")</f>
        <v>Accuracy</v>
      </c>
      <c r="E247" s="5" t="str">
        <f>IFERROR(__xludf.DUMMYFUNCTION("""COMPUTED_VALUE"""),"Accuracy")</f>
        <v>Accuracy</v>
      </c>
      <c r="F247" s="5">
        <f>IFERROR(__xludf.DUMMYFUNCTION("""COMPUTED_VALUE"""),93.0)</f>
        <v>93</v>
      </c>
      <c r="G247" s="5">
        <f>IFERROR(__xludf.DUMMYFUNCTION("""COMPUTED_VALUE"""),29.0)</f>
        <v>29</v>
      </c>
    </row>
    <row r="248" ht="15.75" customHeight="1">
      <c r="A248" s="5" t="str">
        <f>IFERROR(__xludf.DUMMYFUNCTION("""COMPUTED_VALUE"""),"SCOPUS-000146")</f>
        <v>SCOPUS-000146</v>
      </c>
      <c r="B248" s="5" t="str">
        <f>IFERROR(__xludf.DUMMYFUNCTION("""COMPUTED_VALUE"""),"SCOPUS-000146-3")</f>
        <v>SCOPUS-000146-3</v>
      </c>
      <c r="C248" s="6" t="str">
        <f>IFERROR(__xludf.DUMMYFUNCTION("""COMPUTED_VALUE"""),"ResNet-50")</f>
        <v>ResNet-50</v>
      </c>
      <c r="D248" s="5" t="str">
        <f>IFERROR(__xludf.DUMMYFUNCTION("""COMPUTED_VALUE"""),"Accuracy")</f>
        <v>Accuracy</v>
      </c>
      <c r="E248" s="5" t="str">
        <f>IFERROR(__xludf.DUMMYFUNCTION("""COMPUTED_VALUE"""),"Accuracy")</f>
        <v>Accuracy</v>
      </c>
      <c r="F248" s="5">
        <f>IFERROR(__xludf.DUMMYFUNCTION("""COMPUTED_VALUE"""),94.0)</f>
        <v>94</v>
      </c>
      <c r="G248" s="5">
        <f>IFERROR(__xludf.DUMMYFUNCTION("""COMPUTED_VALUE"""),30.0)</f>
        <v>30</v>
      </c>
    </row>
    <row r="249" ht="15.75" customHeight="1">
      <c r="A249" s="5"/>
      <c r="B249" s="5"/>
      <c r="C249" s="6"/>
      <c r="D249" s="5"/>
      <c r="E249" s="5"/>
      <c r="F249" s="5"/>
      <c r="G249" s="5"/>
    </row>
    <row r="250" ht="15.75" customHeight="1">
      <c r="A250" s="5" t="str">
        <f>IFERROR(__xludf.DUMMYFUNCTION("""COMPUTED_VALUE"""),"SCOPUS-000132")</f>
        <v>SCOPUS-000132</v>
      </c>
      <c r="B250" s="5" t="str">
        <f>IFERROR(__xludf.DUMMYFUNCTION("""COMPUTED_VALUE"""),"SCOPUS-000132-7")</f>
        <v>SCOPUS-000132-7</v>
      </c>
      <c r="C250" s="6" t="str">
        <f>IFERROR(__xludf.DUMMYFUNCTION("""COMPUTED_VALUE"""),"YOLO11-edge-tiny")</f>
        <v>YOLO11-edge-tiny</v>
      </c>
      <c r="D250" s="5" t="str">
        <f>IFERROR(__xludf.DUMMYFUNCTION("""COMPUTED_VALUE"""),"mAP@0.5")</f>
        <v>mAP@0.5</v>
      </c>
      <c r="E250" s="5" t="str">
        <f>IFERROR(__xludf.DUMMYFUNCTION("""COMPUTED_VALUE"""),"mAP@0.5")</f>
        <v>mAP@0.5</v>
      </c>
      <c r="F250" s="5">
        <f>IFERROR(__xludf.DUMMYFUNCTION("""COMPUTED_VALUE"""),74.5)</f>
        <v>74.5</v>
      </c>
      <c r="G250" s="5">
        <f>IFERROR(__xludf.DUMMYFUNCTION("""COMPUTED_VALUE"""),-8.5)</f>
        <v>-8.5</v>
      </c>
    </row>
    <row r="251" ht="15.75" customHeight="1">
      <c r="A251" s="5" t="str">
        <f>IFERROR(__xludf.DUMMYFUNCTION("""COMPUTED_VALUE"""),"SCOPUS-000139")</f>
        <v>SCOPUS-000139</v>
      </c>
      <c r="B251" s="5" t="str">
        <f>IFERROR(__xludf.DUMMYFUNCTION("""COMPUTED_VALUE"""),"SCOPUS-000139-1")</f>
        <v>SCOPUS-000139-1</v>
      </c>
      <c r="C251" s="6" t="str">
        <f>IFERROR(__xludf.DUMMYFUNCTION("""COMPUTED_VALUE"""),"YOLOv10n (Syn10 Real90)")</f>
        <v>YOLOv10n (Syn10 Real90)</v>
      </c>
      <c r="D251" s="5" t="str">
        <f>IFERROR(__xludf.DUMMYFUNCTION("""COMPUTED_VALUE"""),"mAP@0.5")</f>
        <v>mAP@0.5</v>
      </c>
      <c r="E251" s="5" t="str">
        <f>IFERROR(__xludf.DUMMYFUNCTION("""COMPUTED_VALUE"""),"mAP@0.5")</f>
        <v>mAP@0.5</v>
      </c>
      <c r="F251" s="5">
        <f>IFERROR(__xludf.DUMMYFUNCTION("""COMPUTED_VALUE"""),82.3)</f>
        <v>82.3</v>
      </c>
      <c r="G251" s="5">
        <f>IFERROR(__xludf.DUMMYFUNCTION("""COMPUTED_VALUE"""),3.6)</f>
        <v>3.6</v>
      </c>
    </row>
    <row r="252" ht="15.75" customHeight="1">
      <c r="A252" s="5" t="str">
        <f>IFERROR(__xludf.DUMMYFUNCTION("""COMPUTED_VALUE"""),"SCOPUS-000139")</f>
        <v>SCOPUS-000139</v>
      </c>
      <c r="B252" s="5" t="str">
        <f>IFERROR(__xludf.DUMMYFUNCTION("""COMPUTED_VALUE"""),"SCOPUS-000139-2")</f>
        <v>SCOPUS-000139-2</v>
      </c>
      <c r="C252" s="6" t="str">
        <f>IFERROR(__xludf.DUMMYFUNCTION("""COMPUTED_VALUE"""),"YOLOv8n (Syn10 Real90)")</f>
        <v>YOLOv8n (Syn10 Real90)</v>
      </c>
      <c r="D252" s="5" t="str">
        <f>IFERROR(__xludf.DUMMYFUNCTION("""COMPUTED_VALUE"""),"mAP@0.5")</f>
        <v>mAP@0.5</v>
      </c>
      <c r="E252" s="5" t="str">
        <f>IFERROR(__xludf.DUMMYFUNCTION("""COMPUTED_VALUE"""),"mAP@0.5")</f>
        <v>mAP@0.5</v>
      </c>
      <c r="F252" s="5">
        <f>IFERROR(__xludf.DUMMYFUNCTION("""COMPUTED_VALUE"""),88.3)</f>
        <v>88.3</v>
      </c>
      <c r="G252" s="5">
        <f>IFERROR(__xludf.DUMMYFUNCTION("""COMPUTED_VALUE"""),0.7)</f>
        <v>0.7</v>
      </c>
    </row>
    <row r="253" ht="15.75" customHeight="1">
      <c r="A253" s="5" t="str">
        <f>IFERROR(__xludf.DUMMYFUNCTION("""COMPUTED_VALUE"""),"SCOPUS-000139")</f>
        <v>SCOPUS-000139</v>
      </c>
      <c r="B253" s="5" t="str">
        <f>IFERROR(__xludf.DUMMYFUNCTION("""COMPUTED_VALUE"""),"SCOPUS-000139-3")</f>
        <v>SCOPUS-000139-3</v>
      </c>
      <c r="C253" s="6" t="str">
        <f>IFERROR(__xludf.DUMMYFUNCTION("""COMPUTED_VALUE"""),"YOLOv9s (Syn10 Real90)")</f>
        <v>YOLOv9s (Syn10 Real90)</v>
      </c>
      <c r="D253" s="5" t="str">
        <f>IFERROR(__xludf.DUMMYFUNCTION("""COMPUTED_VALUE"""),"mAP@0.5")</f>
        <v>mAP@0.5</v>
      </c>
      <c r="E253" s="5" t="str">
        <f>IFERROR(__xludf.DUMMYFUNCTION("""COMPUTED_VALUE"""),"mAP@0.5")</f>
        <v>mAP@0.5</v>
      </c>
      <c r="F253" s="5">
        <f>IFERROR(__xludf.DUMMYFUNCTION("""COMPUTED_VALUE"""),89.9)</f>
        <v>89.9</v>
      </c>
      <c r="G253" s="5">
        <f>IFERROR(__xludf.DUMMYFUNCTION("""COMPUTED_VALUE"""),1.2)</f>
        <v>1.2</v>
      </c>
    </row>
    <row r="254" ht="15.75" customHeight="1">
      <c r="A254" s="5" t="str">
        <f>IFERROR(__xludf.DUMMYFUNCTION("""COMPUTED_VALUE"""),"SCOPUS-000139")</f>
        <v>SCOPUS-000139</v>
      </c>
      <c r="B254" s="5" t="str">
        <f>IFERROR(__xludf.DUMMYFUNCTION("""COMPUTED_VALUE"""),"SCOPUS-000139-4")</f>
        <v>SCOPUS-000139-4</v>
      </c>
      <c r="C254" s="6" t="str">
        <f>IFERROR(__xludf.DUMMYFUNCTION("""COMPUTED_VALUE"""),"YOLOv10s (Syn10 Real90)")</f>
        <v>YOLOv10s (Syn10 Real90)</v>
      </c>
      <c r="D254" s="5" t="str">
        <f>IFERROR(__xludf.DUMMYFUNCTION("""COMPUTED_VALUE"""),"mAP@0.5")</f>
        <v>mAP@0.5</v>
      </c>
      <c r="E254" s="5" t="str">
        <f>IFERROR(__xludf.DUMMYFUNCTION("""COMPUTED_VALUE"""),"mAP@0.5")</f>
        <v>mAP@0.5</v>
      </c>
      <c r="F254" s="5">
        <f>IFERROR(__xludf.DUMMYFUNCTION("""COMPUTED_VALUE"""),85.9)</f>
        <v>85.9</v>
      </c>
      <c r="G254" s="5">
        <f>IFERROR(__xludf.DUMMYFUNCTION("""COMPUTED_VALUE"""),6.0)</f>
        <v>6</v>
      </c>
    </row>
    <row r="255" ht="15.75" customHeight="1">
      <c r="A255" s="5" t="str">
        <f>IFERROR(__xludf.DUMMYFUNCTION("""COMPUTED_VALUE"""),"SCOPUS-000074")</f>
        <v>SCOPUS-000074</v>
      </c>
      <c r="B255" s="5" t="str">
        <f>IFERROR(__xludf.DUMMYFUNCTION("""COMPUTED_VALUE"""),"SCOPUS-000074-1")</f>
        <v>SCOPUS-000074-1</v>
      </c>
      <c r="C255" s="6" t="str">
        <f>IFERROR(__xludf.DUMMYFUNCTION("""COMPUTED_VALUE"""),"RRUDC")</f>
        <v>RRUDC</v>
      </c>
      <c r="D255" s="5" t="str">
        <f>IFERROR(__xludf.DUMMYFUNCTION("""COMPUTED_VALUE"""),"mIoU")</f>
        <v>mIoU</v>
      </c>
      <c r="E255" s="5" t="str">
        <f>IFERROR(__xludf.DUMMYFUNCTION("""COMPUTED_VALUE"""),"mIoU")</f>
        <v>mIoU</v>
      </c>
      <c r="F255" s="5">
        <f>IFERROR(__xludf.DUMMYFUNCTION("""COMPUTED_VALUE"""),77.25)</f>
        <v>77.25</v>
      </c>
      <c r="G255" s="5">
        <f>IFERROR(__xludf.DUMMYFUNCTION("""COMPUTED_VALUE"""),2.0)</f>
        <v>2</v>
      </c>
    </row>
    <row r="256" ht="15.75" customHeight="1">
      <c r="A256" s="5" t="str">
        <f>IFERROR(__xludf.DUMMYFUNCTION("""COMPUTED_VALUE"""),"SCOPUS-000074")</f>
        <v>SCOPUS-000074</v>
      </c>
      <c r="B256" s="5" t="str">
        <f>IFERROR(__xludf.DUMMYFUNCTION("""COMPUTED_VALUE"""),"SCOPUS-000074-2")</f>
        <v>SCOPUS-000074-2</v>
      </c>
      <c r="C256" s="6" t="str">
        <f>IFERROR(__xludf.DUMMYFUNCTION("""COMPUTED_VALUE"""),"UNet")</f>
        <v>UNet</v>
      </c>
      <c r="D256" s="5" t="str">
        <f>IFERROR(__xludf.DUMMYFUNCTION("""COMPUTED_VALUE"""),"mIoU")</f>
        <v>mIoU</v>
      </c>
      <c r="E256" s="5" t="str">
        <f>IFERROR(__xludf.DUMMYFUNCTION("""COMPUTED_VALUE"""),"mIoU")</f>
        <v>mIoU</v>
      </c>
      <c r="F256" s="5">
        <f>IFERROR(__xludf.DUMMYFUNCTION("""COMPUTED_VALUE"""),78.52)</f>
        <v>78.52</v>
      </c>
      <c r="G256" s="5">
        <f>IFERROR(__xludf.DUMMYFUNCTION("""COMPUTED_VALUE"""),3.3)</f>
        <v>3.3</v>
      </c>
    </row>
    <row r="257" ht="15.75" customHeight="1">
      <c r="A257" s="5" t="str">
        <f>IFERROR(__xludf.DUMMYFUNCTION("""COMPUTED_VALUE"""),"SCOPUS-000074")</f>
        <v>SCOPUS-000074</v>
      </c>
      <c r="B257" s="5" t="str">
        <f>IFERROR(__xludf.DUMMYFUNCTION("""COMPUTED_VALUE"""),"SCOPUS-000074-3")</f>
        <v>SCOPUS-000074-3</v>
      </c>
      <c r="C257" s="6" t="str">
        <f>IFERROR(__xludf.DUMMYFUNCTION("""COMPUTED_VALUE"""),"Proposed CAUC")</f>
        <v>Proposed CAUC</v>
      </c>
      <c r="D257" s="5" t="str">
        <f>IFERROR(__xludf.DUMMYFUNCTION("""COMPUTED_VALUE"""),"mIoU")</f>
        <v>mIoU</v>
      </c>
      <c r="E257" s="5" t="str">
        <f>IFERROR(__xludf.DUMMYFUNCTION("""COMPUTED_VALUE"""),"mIoU")</f>
        <v>mIoU</v>
      </c>
      <c r="F257" s="5">
        <f>IFERROR(__xludf.DUMMYFUNCTION("""COMPUTED_VALUE"""),80.2)</f>
        <v>80.2</v>
      </c>
      <c r="G257" s="5">
        <f>IFERROR(__xludf.DUMMYFUNCTION("""COMPUTED_VALUE"""),5.0)</f>
        <v>5</v>
      </c>
    </row>
    <row r="258" ht="15.75" customHeight="1">
      <c r="A258" s="5" t="str">
        <f>IFERROR(__xludf.DUMMYFUNCTION("""COMPUTED_VALUE"""),"SCOPUS-000074")</f>
        <v>SCOPUS-000074</v>
      </c>
      <c r="B258" s="5" t="str">
        <f>IFERROR(__xludf.DUMMYFUNCTION("""COMPUTED_VALUE"""),"SCOPUS-000074-4")</f>
        <v>SCOPUS-000074-4</v>
      </c>
      <c r="C258" s="6" t="str">
        <f>IFERROR(__xludf.DUMMYFUNCTION("""COMPUTED_VALUE"""),"DeepLabV3+")</f>
        <v>DeepLabV3+</v>
      </c>
      <c r="D258" s="5" t="str">
        <f>IFERROR(__xludf.DUMMYFUNCTION("""COMPUTED_VALUE"""),"mIoU")</f>
        <v>mIoU</v>
      </c>
      <c r="E258" s="5" t="str">
        <f>IFERROR(__xludf.DUMMYFUNCTION("""COMPUTED_VALUE"""),"mIoU")</f>
        <v>mIoU</v>
      </c>
      <c r="F258" s="5">
        <f>IFERROR(__xludf.DUMMYFUNCTION("""COMPUTED_VALUE"""),80.61)</f>
        <v>80.61</v>
      </c>
      <c r="G258" s="5">
        <f>IFERROR(__xludf.DUMMYFUNCTION("""COMPUTED_VALUE"""),5.4)</f>
        <v>5.4</v>
      </c>
    </row>
    <row r="259" ht="15.75" customHeight="1">
      <c r="A259" s="5" t="str">
        <f>IFERROR(__xludf.DUMMYFUNCTION("""COMPUTED_VALUE"""),"SCOPUS-000074")</f>
        <v>SCOPUS-000074</v>
      </c>
      <c r="B259" s="5" t="str">
        <f>IFERROR(__xludf.DUMMYFUNCTION("""COMPUTED_VALUE"""),"SCOPUS-000074-5")</f>
        <v>SCOPUS-000074-5</v>
      </c>
      <c r="C259" s="6" t="str">
        <f>IFERROR(__xludf.DUMMYFUNCTION("""COMPUTED_VALUE"""),"UNet++")</f>
        <v>UNet++</v>
      </c>
      <c r="D259" s="5" t="str">
        <f>IFERROR(__xludf.DUMMYFUNCTION("""COMPUTED_VALUE"""),"mIoU")</f>
        <v>mIoU</v>
      </c>
      <c r="E259" s="5" t="str">
        <f>IFERROR(__xludf.DUMMYFUNCTION("""COMPUTED_VALUE"""),"mIoU")</f>
        <v>mIoU</v>
      </c>
      <c r="F259" s="5">
        <f>IFERROR(__xludf.DUMMYFUNCTION("""COMPUTED_VALUE"""),80.85)</f>
        <v>80.85</v>
      </c>
      <c r="G259" s="5">
        <f>IFERROR(__xludf.DUMMYFUNCTION("""COMPUTED_VALUE"""),5.6)</f>
        <v>5.6</v>
      </c>
    </row>
    <row r="260" ht="15.75" customHeight="1">
      <c r="A260" s="5" t="str">
        <f>IFERROR(__xludf.DUMMYFUNCTION("""COMPUTED_VALUE"""),"SCOPUS-000107")</f>
        <v>SCOPUS-000107</v>
      </c>
      <c r="B260" s="5" t="str">
        <f>IFERROR(__xludf.DUMMYFUNCTION("""COMPUTED_VALUE"""),"SCOPUS-000107-1")</f>
        <v>SCOPUS-000107-1</v>
      </c>
      <c r="C260" s="6" t="str">
        <f>IFERROR(__xludf.DUMMYFUNCTION("""COMPUTED_VALUE"""),"Student with KD")</f>
        <v>Student with KD</v>
      </c>
      <c r="D260" s="5" t="str">
        <f>IFERROR(__xludf.DUMMYFUNCTION("""COMPUTED_VALUE"""),"mIoU")</f>
        <v>mIoU</v>
      </c>
      <c r="E260" s="5" t="str">
        <f>IFERROR(__xludf.DUMMYFUNCTION("""COMPUTED_VALUE"""),"mIoU")</f>
        <v>mIoU</v>
      </c>
      <c r="F260" s="5">
        <f>IFERROR(__xludf.DUMMYFUNCTION("""COMPUTED_VALUE"""),86.95)</f>
        <v>86.95</v>
      </c>
      <c r="G260" s="5">
        <f>IFERROR(__xludf.DUMMYFUNCTION("""COMPUTED_VALUE"""),2.4)</f>
        <v>2.4</v>
      </c>
    </row>
    <row r="261" ht="15.75" customHeight="1">
      <c r="A261" s="5" t="str">
        <f>IFERROR(__xludf.DUMMYFUNCTION("""COMPUTED_VALUE"""),"SCOPUS-000107")</f>
        <v>SCOPUS-000107</v>
      </c>
      <c r="B261" s="5" t="str">
        <f>IFERROR(__xludf.DUMMYFUNCTION("""COMPUTED_VALUE"""),"SCOPUS-000107-2")</f>
        <v>SCOPUS-000107-2</v>
      </c>
      <c r="C261" s="6" t="str">
        <f>IFERROR(__xludf.DUMMYFUNCTION("""COMPUTED_VALUE"""),"Teacher (DeepLabV3+)")</f>
        <v>Teacher (DeepLabV3+)</v>
      </c>
      <c r="D261" s="5" t="str">
        <f>IFERROR(__xludf.DUMMYFUNCTION("""COMPUTED_VALUE"""),"mIoU")</f>
        <v>mIoU</v>
      </c>
      <c r="E261" s="5" t="str">
        <f>IFERROR(__xludf.DUMMYFUNCTION("""COMPUTED_VALUE"""),"mIoU")</f>
        <v>mIoU</v>
      </c>
      <c r="F261" s="5">
        <f>IFERROR(__xludf.DUMMYFUNCTION("""COMPUTED_VALUE"""),94.98)</f>
        <v>94.98</v>
      </c>
      <c r="G261" s="5">
        <f>IFERROR(__xludf.DUMMYFUNCTION("""COMPUTED_VALUE"""),10.5)</f>
        <v>10.5</v>
      </c>
    </row>
    <row r="262" ht="15.75" customHeight="1">
      <c r="A262" s="5" t="str">
        <f>IFERROR(__xludf.DUMMYFUNCTION("""COMPUTED_VALUE"""),"SCOPUS-000193")</f>
        <v>SCOPUS-000193</v>
      </c>
      <c r="B262" s="5" t="str">
        <f>IFERROR(__xludf.DUMMYFUNCTION("""COMPUTED_VALUE"""),"SCOPUS-000193-1")</f>
        <v>SCOPUS-000193-1</v>
      </c>
      <c r="C262" s="6" t="str">
        <f>IFERROR(__xludf.DUMMYFUNCTION("""COMPUTED_VALUE"""),"Deformable-DETR")</f>
        <v>Deformable-DETR</v>
      </c>
      <c r="D262" s="5" t="str">
        <f>IFERROR(__xludf.DUMMYFUNCTION("""COMPUTED_VALUE"""),"mAP@0.5")</f>
        <v>mAP@0.5</v>
      </c>
      <c r="E262" s="5" t="str">
        <f>IFERROR(__xludf.DUMMYFUNCTION("""COMPUTED_VALUE"""),"mAP@0.5")</f>
        <v>mAP@0.5</v>
      </c>
      <c r="F262" s="5">
        <f>IFERROR(__xludf.DUMMYFUNCTION("""COMPUTED_VALUE"""),67.8)</f>
        <v>67.8</v>
      </c>
      <c r="G262" s="5">
        <f>IFERROR(__xludf.DUMMYFUNCTION("""COMPUTED_VALUE"""),4.3)</f>
        <v>4.3</v>
      </c>
    </row>
    <row r="263" ht="15.75" customHeight="1">
      <c r="A263" s="5" t="str">
        <f>IFERROR(__xludf.DUMMYFUNCTION("""COMPUTED_VALUE"""),"SCOPUS-000193")</f>
        <v>SCOPUS-000193</v>
      </c>
      <c r="B263" s="5" t="str">
        <f>IFERROR(__xludf.DUMMYFUNCTION("""COMPUTED_VALUE"""),"SCOPUS-000193-2")</f>
        <v>SCOPUS-000193-2</v>
      </c>
      <c r="C263" s="6" t="str">
        <f>IFERROR(__xludf.DUMMYFUNCTION("""COMPUTED_VALUE"""),"Faster-RCNN")</f>
        <v>Faster-RCNN</v>
      </c>
      <c r="D263" s="5" t="str">
        <f>IFERROR(__xludf.DUMMYFUNCTION("""COMPUTED_VALUE"""),"mAP@0.5")</f>
        <v>mAP@0.5</v>
      </c>
      <c r="E263" s="5" t="str">
        <f>IFERROR(__xludf.DUMMYFUNCTION("""COMPUTED_VALUE"""),"mAP@0.5")</f>
        <v>mAP@0.5</v>
      </c>
      <c r="F263" s="5">
        <f>IFERROR(__xludf.DUMMYFUNCTION("""COMPUTED_VALUE"""),68.1)</f>
        <v>68.1</v>
      </c>
      <c r="G263" s="5">
        <f>IFERROR(__xludf.DUMMYFUNCTION("""COMPUTED_VALUE"""),4.6)</f>
        <v>4.6</v>
      </c>
    </row>
    <row r="264" ht="15.75" customHeight="1">
      <c r="A264" s="5" t="str">
        <f>IFERROR(__xludf.DUMMYFUNCTION("""COMPUTED_VALUE"""),"SCOPUS-000193")</f>
        <v>SCOPUS-000193</v>
      </c>
      <c r="B264" s="5" t="str">
        <f>IFERROR(__xludf.DUMMYFUNCTION("""COMPUTED_VALUE"""),"SCOPUS-000193-3")</f>
        <v>SCOPUS-000193-3</v>
      </c>
      <c r="C264" s="6" t="str">
        <f>IFERROR(__xludf.DUMMYFUNCTION("""COMPUTED_VALUE"""),"Cascade-RCNN")</f>
        <v>Cascade-RCNN</v>
      </c>
      <c r="D264" s="5" t="str">
        <f>IFERROR(__xludf.DUMMYFUNCTION("""COMPUTED_VALUE"""),"mAP@0.5")</f>
        <v>mAP@0.5</v>
      </c>
      <c r="E264" s="5" t="str">
        <f>IFERROR(__xludf.DUMMYFUNCTION("""COMPUTED_VALUE"""),"mAP@0.5")</f>
        <v>mAP@0.5</v>
      </c>
      <c r="F264" s="5">
        <f>IFERROR(__xludf.DUMMYFUNCTION("""COMPUTED_VALUE"""),70.3)</f>
        <v>70.3</v>
      </c>
      <c r="G264" s="5">
        <f>IFERROR(__xludf.DUMMYFUNCTION("""COMPUTED_VALUE"""),6.8)</f>
        <v>6.8</v>
      </c>
    </row>
    <row r="265" ht="15.75" customHeight="1">
      <c r="A265" s="5" t="str">
        <f>IFERROR(__xludf.DUMMYFUNCTION("""COMPUTED_VALUE"""),"SCOPUS-000193")</f>
        <v>SCOPUS-000193</v>
      </c>
      <c r="B265" s="5" t="str">
        <f>IFERROR(__xludf.DUMMYFUNCTION("""COMPUTED_VALUE"""),"SCOPUS-000193-4")</f>
        <v>SCOPUS-000193-4</v>
      </c>
      <c r="C265" s="6" t="str">
        <f>IFERROR(__xludf.DUMMYFUNCTION("""COMPUTED_VALUE"""),"YOLOv6s")</f>
        <v>YOLOv6s</v>
      </c>
      <c r="D265" s="5" t="str">
        <f>IFERROR(__xludf.DUMMYFUNCTION("""COMPUTED_VALUE"""),"mAP@0.5")</f>
        <v>mAP@0.5</v>
      </c>
      <c r="E265" s="5" t="str">
        <f>IFERROR(__xludf.DUMMYFUNCTION("""COMPUTED_VALUE"""),"mAP@0.5")</f>
        <v>mAP@0.5</v>
      </c>
      <c r="F265" s="5">
        <f>IFERROR(__xludf.DUMMYFUNCTION("""COMPUTED_VALUE"""),71.7)</f>
        <v>71.7</v>
      </c>
      <c r="G265" s="5">
        <f>IFERROR(__xludf.DUMMYFUNCTION("""COMPUTED_VALUE"""),8.2)</f>
        <v>8.2</v>
      </c>
    </row>
    <row r="266" ht="15.75" customHeight="1">
      <c r="A266" s="5" t="str">
        <f>IFERROR(__xludf.DUMMYFUNCTION("""COMPUTED_VALUE"""),"SCOPUS-000193")</f>
        <v>SCOPUS-000193</v>
      </c>
      <c r="B266" s="5" t="str">
        <f>IFERROR(__xludf.DUMMYFUNCTION("""COMPUTED_VALUE"""),"SCOPUS-000193-5")</f>
        <v>SCOPUS-000193-5</v>
      </c>
      <c r="C266" s="6" t="str">
        <f>IFERROR(__xludf.DUMMYFUNCTION("""COMPUTED_VALUE"""),"YOLOv5s")</f>
        <v>YOLOv5s</v>
      </c>
      <c r="D266" s="5" t="str">
        <f>IFERROR(__xludf.DUMMYFUNCTION("""COMPUTED_VALUE"""),"mAP@0.5")</f>
        <v>mAP@0.5</v>
      </c>
      <c r="E266" s="5" t="str">
        <f>IFERROR(__xludf.DUMMYFUNCTION("""COMPUTED_VALUE"""),"mAP@0.5")</f>
        <v>mAP@0.5</v>
      </c>
      <c r="F266" s="5">
        <f>IFERROR(__xludf.DUMMYFUNCTION("""COMPUTED_VALUE"""),72.3)</f>
        <v>72.3</v>
      </c>
      <c r="G266" s="5">
        <f>IFERROR(__xludf.DUMMYFUNCTION("""COMPUTED_VALUE"""),8.8)</f>
        <v>8.8</v>
      </c>
    </row>
    <row r="267" ht="15.75" customHeight="1">
      <c r="A267" s="5" t="str">
        <f>IFERROR(__xludf.DUMMYFUNCTION("""COMPUTED_VALUE"""),"SCOPUS-000193")</f>
        <v>SCOPUS-000193</v>
      </c>
      <c r="B267" s="5" t="str">
        <f>IFERROR(__xludf.DUMMYFUNCTION("""COMPUTED_VALUE"""),"SCOPUS-000193-6")</f>
        <v>SCOPUS-000193-6</v>
      </c>
      <c r="C267" s="6" t="str">
        <f>IFERROR(__xludf.DUMMYFUNCTION("""COMPUTED_VALUE"""),"RT-DETR-R18")</f>
        <v>RT-DETR-R18</v>
      </c>
      <c r="D267" s="5" t="str">
        <f>IFERROR(__xludf.DUMMYFUNCTION("""COMPUTED_VALUE"""),"mAP@0.5")</f>
        <v>mAP@0.5</v>
      </c>
      <c r="E267" s="5" t="str">
        <f>IFERROR(__xludf.DUMMYFUNCTION("""COMPUTED_VALUE"""),"mAP@0.5")</f>
        <v>mAP@0.5</v>
      </c>
      <c r="F267" s="5">
        <f>IFERROR(__xludf.DUMMYFUNCTION("""COMPUTED_VALUE"""),72.8)</f>
        <v>72.8</v>
      </c>
      <c r="G267" s="5">
        <f>IFERROR(__xludf.DUMMYFUNCTION("""COMPUTED_VALUE"""),9.3)</f>
        <v>9.3</v>
      </c>
    </row>
    <row r="268" ht="15.75" customHeight="1">
      <c r="A268" s="5" t="str">
        <f>IFERROR(__xludf.DUMMYFUNCTION("""COMPUTED_VALUE"""),"SCOPUS-000193")</f>
        <v>SCOPUS-000193</v>
      </c>
      <c r="B268" s="5" t="str">
        <f>IFERROR(__xludf.DUMMYFUNCTION("""COMPUTED_VALUE"""),"SCOPUS-000193-7")</f>
        <v>SCOPUS-000193-7</v>
      </c>
      <c r="C268" s="6" t="str">
        <f>IFERROR(__xludf.DUMMYFUNCTION("""COMPUTED_VALUE"""),"YOLOv8s")</f>
        <v>YOLOv8s</v>
      </c>
      <c r="D268" s="5" t="str">
        <f>IFERROR(__xludf.DUMMYFUNCTION("""COMPUTED_VALUE"""),"mAP@0.5")</f>
        <v>mAP@0.5</v>
      </c>
      <c r="E268" s="5" t="str">
        <f>IFERROR(__xludf.DUMMYFUNCTION("""COMPUTED_VALUE"""),"mAP@0.5")</f>
        <v>mAP@0.5</v>
      </c>
      <c r="F268" s="5">
        <f>IFERROR(__xludf.DUMMYFUNCTION("""COMPUTED_VALUE"""),73.3)</f>
        <v>73.3</v>
      </c>
      <c r="G268" s="5">
        <f>IFERROR(__xludf.DUMMYFUNCTION("""COMPUTED_VALUE"""),9.8)</f>
        <v>9.8</v>
      </c>
    </row>
    <row r="269" ht="15.75" customHeight="1">
      <c r="A269" s="5" t="str">
        <f>IFERROR(__xludf.DUMMYFUNCTION("""COMPUTED_VALUE"""),"SCOPUS-000193")</f>
        <v>SCOPUS-000193</v>
      </c>
      <c r="B269" s="5" t="str">
        <f>IFERROR(__xludf.DUMMYFUNCTION("""COMPUTED_VALUE"""),"SCOPUS-000193-8")</f>
        <v>SCOPUS-000193-8</v>
      </c>
      <c r="C269" s="6" t="str">
        <f>IFERROR(__xludf.DUMMYFUNCTION("""COMPUTED_VALUE"""),"YOLOv10s")</f>
        <v>YOLOv10s</v>
      </c>
      <c r="D269" s="5" t="str">
        <f>IFERROR(__xludf.DUMMYFUNCTION("""COMPUTED_VALUE"""),"mAP@0.5")</f>
        <v>mAP@0.5</v>
      </c>
      <c r="E269" s="5" t="str">
        <f>IFERROR(__xludf.DUMMYFUNCTION("""COMPUTED_VALUE"""),"mAP@0.5")</f>
        <v>mAP@0.5</v>
      </c>
      <c r="F269" s="5">
        <f>IFERROR(__xludf.DUMMYFUNCTION("""COMPUTED_VALUE"""),73.5)</f>
        <v>73.5</v>
      </c>
      <c r="G269" s="5">
        <f>IFERROR(__xludf.DUMMYFUNCTION("""COMPUTED_VALUE"""),10.0)</f>
        <v>10</v>
      </c>
    </row>
    <row r="270" ht="15.75" customHeight="1">
      <c r="A270" s="5" t="str">
        <f>IFERROR(__xludf.DUMMYFUNCTION("""COMPUTED_VALUE"""),"SCOPUS-000193")</f>
        <v>SCOPUS-000193</v>
      </c>
      <c r="B270" s="5" t="str">
        <f>IFERROR(__xludf.DUMMYFUNCTION("""COMPUTED_VALUE"""),"SCOPUS-000193-9")</f>
        <v>SCOPUS-000193-9</v>
      </c>
      <c r="C270" s="6" t="str">
        <f>IFERROR(__xludf.DUMMYFUNCTION("""COMPUTED_VALUE"""),"YOLOv11s")</f>
        <v>YOLOv11s</v>
      </c>
      <c r="D270" s="5" t="str">
        <f>IFERROR(__xludf.DUMMYFUNCTION("""COMPUTED_VALUE"""),"mAP@0.5")</f>
        <v>mAP@0.5</v>
      </c>
      <c r="E270" s="5" t="str">
        <f>IFERROR(__xludf.DUMMYFUNCTION("""COMPUTED_VALUE"""),"mAP@0.5")</f>
        <v>mAP@0.5</v>
      </c>
      <c r="F270" s="5">
        <f>IFERROR(__xludf.DUMMYFUNCTION("""COMPUTED_VALUE"""),73.5)</f>
        <v>73.5</v>
      </c>
      <c r="G270" s="5">
        <f>IFERROR(__xludf.DUMMYFUNCTION("""COMPUTED_VALUE"""),10.0)</f>
        <v>10</v>
      </c>
    </row>
    <row r="271" ht="15.75" customHeight="1">
      <c r="A271" s="5" t="str">
        <f>IFERROR(__xludf.DUMMYFUNCTION("""COMPUTED_VALUE"""),"SCOPUS-000193")</f>
        <v>SCOPUS-000193</v>
      </c>
      <c r="B271" s="5" t="str">
        <f>IFERROR(__xludf.DUMMYFUNCTION("""COMPUTED_VALUE"""),"SCOPUS-000193-10")</f>
        <v>SCOPUS-000193-10</v>
      </c>
      <c r="C271" s="6" t="str">
        <f>IFERROR(__xludf.DUMMYFUNCTION("""COMPUTED_VALUE"""),"YOLOv9s")</f>
        <v>YOLOv9s</v>
      </c>
      <c r="D271" s="5" t="str">
        <f>IFERROR(__xludf.DUMMYFUNCTION("""COMPUTED_VALUE"""),"mAP@0.5")</f>
        <v>mAP@0.5</v>
      </c>
      <c r="E271" s="5" t="str">
        <f>IFERROR(__xludf.DUMMYFUNCTION("""COMPUTED_VALUE"""),"mAP@0.5")</f>
        <v>mAP@0.5</v>
      </c>
      <c r="F271" s="5">
        <f>IFERROR(__xludf.DUMMYFUNCTION("""COMPUTED_VALUE"""),73.7)</f>
        <v>73.7</v>
      </c>
      <c r="G271" s="5">
        <f>IFERROR(__xludf.DUMMYFUNCTION("""COMPUTED_VALUE"""),10.2)</f>
        <v>10.2</v>
      </c>
    </row>
    <row r="272" ht="15.75" customHeight="1">
      <c r="A272" s="5" t="str">
        <f>IFERROR(__xludf.DUMMYFUNCTION("""COMPUTED_VALUE"""),"SCOPUS-000193")</f>
        <v>SCOPUS-000193</v>
      </c>
      <c r="B272" s="5" t="str">
        <f>IFERROR(__xludf.DUMMYFUNCTION("""COMPUTED_VALUE"""),"SCOPUS-000193-11")</f>
        <v>SCOPUS-000193-11</v>
      </c>
      <c r="C272" s="6" t="str">
        <f>IFERROR(__xludf.DUMMYFUNCTION("""COMPUTED_VALUE"""),"YOLOv12s")</f>
        <v>YOLOv12s</v>
      </c>
      <c r="D272" s="5" t="str">
        <f>IFERROR(__xludf.DUMMYFUNCTION("""COMPUTED_VALUE"""),"mAP@0.5")</f>
        <v>mAP@0.5</v>
      </c>
      <c r="E272" s="5" t="str">
        <f>IFERROR(__xludf.DUMMYFUNCTION("""COMPUTED_VALUE"""),"mAP@0.5")</f>
        <v>mAP@0.5</v>
      </c>
      <c r="F272" s="5">
        <f>IFERROR(__xludf.DUMMYFUNCTION("""COMPUTED_VALUE"""),73.8)</f>
        <v>73.8</v>
      </c>
      <c r="G272" s="5">
        <f>IFERROR(__xludf.DUMMYFUNCTION("""COMPUTED_VALUE"""),10.3)</f>
        <v>10.3</v>
      </c>
    </row>
    <row r="273" ht="15.75" customHeight="1">
      <c r="A273" s="5" t="str">
        <f>IFERROR(__xludf.DUMMYFUNCTION("""COMPUTED_VALUE"""),"SCOPUS-000193")</f>
        <v>SCOPUS-000193</v>
      </c>
      <c r="B273" s="5" t="str">
        <f>IFERROR(__xludf.DUMMYFUNCTION("""COMPUTED_VALUE"""),"SCOPUS-000193-12")</f>
        <v>SCOPUS-000193-12</v>
      </c>
      <c r="C273" s="6" t="str">
        <f>IFERROR(__xludf.DUMMYFUNCTION("""COMPUTED_VALUE"""),"D-FINE")</f>
        <v>D-FINE</v>
      </c>
      <c r="D273" s="5" t="str">
        <f>IFERROR(__xludf.DUMMYFUNCTION("""COMPUTED_VALUE"""),"mAP@0.5")</f>
        <v>mAP@0.5</v>
      </c>
      <c r="E273" s="5" t="str">
        <f>IFERROR(__xludf.DUMMYFUNCTION("""COMPUTED_VALUE"""),"mAP@0.5")</f>
        <v>mAP@0.5</v>
      </c>
      <c r="F273" s="5">
        <f>IFERROR(__xludf.DUMMYFUNCTION("""COMPUTED_VALUE"""),73.9)</f>
        <v>73.9</v>
      </c>
      <c r="G273" s="5">
        <f>IFERROR(__xludf.DUMMYFUNCTION("""COMPUTED_VALUE"""),10.4)</f>
        <v>10.4</v>
      </c>
    </row>
    <row r="274" ht="15.75" customHeight="1">
      <c r="A274" s="5" t="str">
        <f>IFERROR(__xludf.DUMMYFUNCTION("""COMPUTED_VALUE"""),"SCOPUS-000193")</f>
        <v>SCOPUS-000193</v>
      </c>
      <c r="B274" s="5" t="str">
        <f>IFERROR(__xludf.DUMMYFUNCTION("""COMPUTED_VALUE"""),"SCOPUS-000193-13")</f>
        <v>SCOPUS-000193-13</v>
      </c>
      <c r="C274" s="6" t="str">
        <f>IFERROR(__xludf.DUMMYFUNCTION("""COMPUTED_VALUE"""),"MCS-YOLO")</f>
        <v>MCS-YOLO</v>
      </c>
      <c r="D274" s="5" t="str">
        <f>IFERROR(__xludf.DUMMYFUNCTION("""COMPUTED_VALUE"""),"mAP@0.5")</f>
        <v>mAP@0.5</v>
      </c>
      <c r="E274" s="5" t="str">
        <f>IFERROR(__xludf.DUMMYFUNCTION("""COMPUTED_VALUE"""),"mAP@0.5")</f>
        <v>mAP@0.5</v>
      </c>
      <c r="F274" s="5">
        <f>IFERROR(__xludf.DUMMYFUNCTION("""COMPUTED_VALUE"""),76.4)</f>
        <v>76.4</v>
      </c>
      <c r="G274" s="5">
        <f>IFERROR(__xludf.DUMMYFUNCTION("""COMPUTED_VALUE"""),12.9)</f>
        <v>12.9</v>
      </c>
    </row>
    <row r="275" ht="15.75" customHeight="1">
      <c r="A275" s="5" t="str">
        <f>IFERROR(__xludf.DUMMYFUNCTION("""COMPUTED_VALUE"""),"SCOPUS-000092")</f>
        <v>SCOPUS-000092</v>
      </c>
      <c r="B275" s="5" t="str">
        <f>IFERROR(__xludf.DUMMYFUNCTION("""COMPUTED_VALUE"""),"SCOPUS-000092-1")</f>
        <v>SCOPUS-000092-1</v>
      </c>
      <c r="C275" s="6" t="str">
        <f>IFERROR(__xludf.DUMMYFUNCTION("""COMPUTED_VALUE"""),"RF-DETR (semi-supervised)")</f>
        <v>RF-DETR (semi-supervised)</v>
      </c>
      <c r="D275" s="5" t="str">
        <f>IFERROR(__xludf.DUMMYFUNCTION("""COMPUTED_VALUE"""),"mAP@0.5")</f>
        <v>mAP@0.5</v>
      </c>
      <c r="E275" s="5" t="str">
        <f>IFERROR(__xludf.DUMMYFUNCTION("""COMPUTED_VALUE"""),"mAP@0.5")</f>
        <v>mAP@0.5</v>
      </c>
      <c r="F275" s="5">
        <f>IFERROR(__xludf.DUMMYFUNCTION("""COMPUTED_VALUE"""),78.5)</f>
        <v>78.5</v>
      </c>
      <c r="G275" s="5">
        <f>IFERROR(__xludf.DUMMYFUNCTION("""COMPUTED_VALUE"""),0.8)</f>
        <v>0.8</v>
      </c>
    </row>
    <row r="276" ht="15.75" customHeight="1">
      <c r="A276" s="5" t="str">
        <f>IFERROR(__xludf.DUMMYFUNCTION("""COMPUTED_VALUE"""),"SCOPUS-000092")</f>
        <v>SCOPUS-000092</v>
      </c>
      <c r="B276" s="5" t="str">
        <f>IFERROR(__xludf.DUMMYFUNCTION("""COMPUTED_VALUE"""),"SCOPUS-000092-2")</f>
        <v>SCOPUS-000092-2</v>
      </c>
      <c r="C276" s="6" t="str">
        <f>IFERROR(__xludf.DUMMYFUNCTION("""COMPUTED_VALUE"""),"YOLOv12-s (supervised)")</f>
        <v>YOLOv12-s (supervised)</v>
      </c>
      <c r="D276" s="5" t="str">
        <f>IFERROR(__xludf.DUMMYFUNCTION("""COMPUTED_VALUE"""),"mAP@0.5")</f>
        <v>mAP@0.5</v>
      </c>
      <c r="E276" s="5" t="str">
        <f>IFERROR(__xludf.DUMMYFUNCTION("""COMPUTED_VALUE"""),"mAP@0.5")</f>
        <v>mAP@0.5</v>
      </c>
      <c r="F276" s="5">
        <f>IFERROR(__xludf.DUMMYFUNCTION("""COMPUTED_VALUE"""),80.7)</f>
        <v>80.7</v>
      </c>
      <c r="G276" s="5">
        <f>IFERROR(__xludf.DUMMYFUNCTION("""COMPUTED_VALUE"""),3.0)</f>
        <v>3</v>
      </c>
    </row>
    <row r="277" ht="15.75" customHeight="1">
      <c r="A277" s="5" t="str">
        <f>IFERROR(__xludf.DUMMYFUNCTION("""COMPUTED_VALUE"""),"SCOPUS-000092")</f>
        <v>SCOPUS-000092</v>
      </c>
      <c r="B277" s="5" t="str">
        <f>IFERROR(__xludf.DUMMYFUNCTION("""COMPUTED_VALUE"""),"SCOPUS-000092-3")</f>
        <v>SCOPUS-000092-3</v>
      </c>
      <c r="C277" s="6" t="str">
        <f>IFERROR(__xludf.DUMMYFUNCTION("""COMPUTED_VALUE"""),"YOLOv12-s (semi-supervised)")</f>
        <v>YOLOv12-s (semi-supervised)</v>
      </c>
      <c r="D277" s="5" t="str">
        <f>IFERROR(__xludf.DUMMYFUNCTION("""COMPUTED_VALUE"""),"mAP@0.5")</f>
        <v>mAP@0.5</v>
      </c>
      <c r="E277" s="5" t="str">
        <f>IFERROR(__xludf.DUMMYFUNCTION("""COMPUTED_VALUE"""),"mAP@0.5")</f>
        <v>mAP@0.5</v>
      </c>
      <c r="F277" s="5">
        <f>IFERROR(__xludf.DUMMYFUNCTION("""COMPUTED_VALUE"""),82.8)</f>
        <v>82.8</v>
      </c>
      <c r="G277" s="5">
        <f>IFERROR(__xludf.DUMMYFUNCTION("""COMPUTED_VALUE"""),5.1)</f>
        <v>5.1</v>
      </c>
    </row>
    <row r="278" ht="15.75" customHeight="1">
      <c r="A278" s="5" t="str">
        <f>IFERROR(__xludf.DUMMYFUNCTION("""COMPUTED_VALUE"""),"SCOPUS-000296")</f>
        <v>SCOPUS-000296</v>
      </c>
      <c r="B278" s="5" t="str">
        <f>IFERROR(__xludf.DUMMYFUNCTION("""COMPUTED_VALUE"""),"SCOPUS-000296-1")</f>
        <v>SCOPUS-000296-1</v>
      </c>
      <c r="C278" s="6" t="str">
        <f>IFERROR(__xludf.DUMMYFUNCTION("""COMPUTED_VALUE"""),"RetinaNet")</f>
        <v>RetinaNet</v>
      </c>
      <c r="D278" s="5" t="str">
        <f>IFERROR(__xludf.DUMMYFUNCTION("""COMPUTED_VALUE"""),"mAP@0.5")</f>
        <v>mAP@0.5</v>
      </c>
      <c r="E278" s="5" t="str">
        <f>IFERROR(__xludf.DUMMYFUNCTION("""COMPUTED_VALUE"""),"mAP@0.5")</f>
        <v>mAP@0.5</v>
      </c>
      <c r="F278" s="5">
        <f>IFERROR(__xludf.DUMMYFUNCTION("""COMPUTED_VALUE"""),98.5)</f>
        <v>98.5</v>
      </c>
      <c r="G278" s="5">
        <f>IFERROR(__xludf.DUMMYFUNCTION("""COMPUTED_VALUE"""),5.2)</f>
        <v>5.2</v>
      </c>
    </row>
    <row r="279" ht="15.75" customHeight="1">
      <c r="A279" s="5" t="str">
        <f>IFERROR(__xludf.DUMMYFUNCTION("""COMPUTED_VALUE"""),"SCOPUS-000296")</f>
        <v>SCOPUS-000296</v>
      </c>
      <c r="B279" s="5" t="str">
        <f>IFERROR(__xludf.DUMMYFUNCTION("""COMPUTED_VALUE"""),"SCOPUS-000296-2")</f>
        <v>SCOPUS-000296-2</v>
      </c>
      <c r="C279" s="6" t="str">
        <f>IFERROR(__xludf.DUMMYFUNCTION("""COMPUTED_VALUE"""),"DETR")</f>
        <v>DETR</v>
      </c>
      <c r="D279" s="5" t="str">
        <f>IFERROR(__xludf.DUMMYFUNCTION("""COMPUTED_VALUE"""),"mAP@0.5")</f>
        <v>mAP@0.5</v>
      </c>
      <c r="E279" s="5" t="str">
        <f>IFERROR(__xludf.DUMMYFUNCTION("""COMPUTED_VALUE"""),"mAP@0.5")</f>
        <v>mAP@0.5</v>
      </c>
      <c r="F279" s="5">
        <f>IFERROR(__xludf.DUMMYFUNCTION("""COMPUTED_VALUE"""),98.7)</f>
        <v>98.7</v>
      </c>
      <c r="G279" s="5">
        <f>IFERROR(__xludf.DUMMYFUNCTION("""COMPUTED_VALUE"""),5.4)</f>
        <v>5.4</v>
      </c>
    </row>
    <row r="280" ht="15.75" customHeight="1">
      <c r="A280" s="5" t="str">
        <f>IFERROR(__xludf.DUMMYFUNCTION("""COMPUTED_VALUE"""),"SCOPUS-000296")</f>
        <v>SCOPUS-000296</v>
      </c>
      <c r="B280" s="5" t="str">
        <f>IFERROR(__xludf.DUMMYFUNCTION("""COMPUTED_VALUE"""),"SCOPUS-000296-3")</f>
        <v>SCOPUS-000296-3</v>
      </c>
      <c r="C280" s="6" t="str">
        <f>IFERROR(__xludf.DUMMYFUNCTION("""COMPUTED_VALUE"""),"Faster R-CNN")</f>
        <v>Faster R-CNN</v>
      </c>
      <c r="D280" s="5" t="str">
        <f>IFERROR(__xludf.DUMMYFUNCTION("""COMPUTED_VALUE"""),"mAP@0.5")</f>
        <v>mAP@0.5</v>
      </c>
      <c r="E280" s="5" t="str">
        <f>IFERROR(__xludf.DUMMYFUNCTION("""COMPUTED_VALUE"""),"mAP@0.5")</f>
        <v>mAP@0.5</v>
      </c>
      <c r="F280" s="5">
        <f>IFERROR(__xludf.DUMMYFUNCTION("""COMPUTED_VALUE"""),98.1)</f>
        <v>98.1</v>
      </c>
      <c r="G280" s="5">
        <f>IFERROR(__xludf.DUMMYFUNCTION("""COMPUTED_VALUE"""),4.8)</f>
        <v>4.8</v>
      </c>
    </row>
    <row r="281" ht="15.75" customHeight="1">
      <c r="A281" s="5" t="str">
        <f>IFERROR(__xludf.DUMMYFUNCTION("""COMPUTED_VALUE"""),"SCOPUS-000296")</f>
        <v>SCOPUS-000296</v>
      </c>
      <c r="B281" s="5" t="str">
        <f>IFERROR(__xludf.DUMMYFUNCTION("""COMPUTED_VALUE"""),"SCOPUS-000296-4")</f>
        <v>SCOPUS-000296-4</v>
      </c>
      <c r="C281" s="6" t="str">
        <f>IFERROR(__xludf.DUMMYFUNCTION("""COMPUTED_VALUE"""),"RCW-YOLOv10")</f>
        <v>RCW-YOLOv10</v>
      </c>
      <c r="D281" s="5" t="str">
        <f>IFERROR(__xludf.DUMMYFUNCTION("""COMPUTED_VALUE"""),"mAP@0.5")</f>
        <v>mAP@0.5</v>
      </c>
      <c r="E281" s="5" t="str">
        <f>IFERROR(__xludf.DUMMYFUNCTION("""COMPUTED_VALUE"""),"mAP@0.5")</f>
        <v>mAP@0.5</v>
      </c>
      <c r="F281" s="5">
        <f>IFERROR(__xludf.DUMMYFUNCTION("""COMPUTED_VALUE"""),98.0)</f>
        <v>98</v>
      </c>
      <c r="G281" s="5">
        <f>IFERROR(__xludf.DUMMYFUNCTION("""COMPUTED_VALUE"""),4.7)</f>
        <v>4.7</v>
      </c>
    </row>
    <row r="282" ht="15.75" customHeight="1">
      <c r="A282" s="5" t="str">
        <f>IFERROR(__xludf.DUMMYFUNCTION("""COMPUTED_VALUE"""),"SCOPUS-000255")</f>
        <v>SCOPUS-000255</v>
      </c>
      <c r="B282" s="5" t="str">
        <f>IFERROR(__xludf.DUMMYFUNCTION("""COMPUTED_VALUE"""),"SCOPUS-000255-1")</f>
        <v>SCOPUS-000255-1</v>
      </c>
      <c r="C282" s="6" t="str">
        <f>IFERROR(__xludf.DUMMYFUNCTION("""COMPUTED_VALUE"""),"DeepLabv3 (R18)")</f>
        <v>DeepLabv3 (R18)</v>
      </c>
      <c r="D282" s="5" t="str">
        <f>IFERROR(__xludf.DUMMYFUNCTION("""COMPUTED_VALUE"""),"mIoU")</f>
        <v>mIoU</v>
      </c>
      <c r="E282" s="5" t="str">
        <f>IFERROR(__xludf.DUMMYFUNCTION("""COMPUTED_VALUE"""),"mIoU")</f>
        <v>mIoU</v>
      </c>
      <c r="F282" s="5">
        <f>IFERROR(__xludf.DUMMYFUNCTION("""COMPUTED_VALUE"""),78.2)</f>
        <v>78.2</v>
      </c>
      <c r="G282" s="5">
        <f>IFERROR(__xludf.DUMMYFUNCTION("""COMPUTED_VALUE"""),2.8)</f>
        <v>2.8</v>
      </c>
    </row>
    <row r="283" ht="15.75" customHeight="1">
      <c r="A283" s="5" t="str">
        <f>IFERROR(__xludf.DUMMYFUNCTION("""COMPUTED_VALUE"""),"SCOPUS-000255")</f>
        <v>SCOPUS-000255</v>
      </c>
      <c r="B283" s="5" t="str">
        <f>IFERROR(__xludf.DUMMYFUNCTION("""COMPUTED_VALUE"""),"SCOPUS-000255-2")</f>
        <v>SCOPUS-000255-2</v>
      </c>
      <c r="C283" s="6" t="str">
        <f>IFERROR(__xludf.DUMMYFUNCTION("""COMPUTED_VALUE"""),"DeepLabv3 (R50)")</f>
        <v>DeepLabv3 (R50)</v>
      </c>
      <c r="D283" s="5" t="str">
        <f>IFERROR(__xludf.DUMMYFUNCTION("""COMPUTED_VALUE"""),"mIoU")</f>
        <v>mIoU</v>
      </c>
      <c r="E283" s="5" t="str">
        <f>IFERROR(__xludf.DUMMYFUNCTION("""COMPUTED_VALUE"""),"mIoU")</f>
        <v>mIoU</v>
      </c>
      <c r="F283" s="5">
        <f>IFERROR(__xludf.DUMMYFUNCTION("""COMPUTED_VALUE"""),79.0)</f>
        <v>79</v>
      </c>
      <c r="G283" s="5">
        <f>IFERROR(__xludf.DUMMYFUNCTION("""COMPUTED_VALUE"""),3.6)</f>
        <v>3.6</v>
      </c>
    </row>
    <row r="284" ht="15.75" customHeight="1">
      <c r="A284" s="5" t="str">
        <f>IFERROR(__xludf.DUMMYFUNCTION("""COMPUTED_VALUE"""),"SCOPUS-000255")</f>
        <v>SCOPUS-000255</v>
      </c>
      <c r="B284" s="5" t="str">
        <f>IFERROR(__xludf.DUMMYFUNCTION("""COMPUTED_VALUE"""),"SCOPUS-000255-3")</f>
        <v>SCOPUS-000255-3</v>
      </c>
      <c r="C284" s="6" t="str">
        <f>IFERROR(__xludf.DUMMYFUNCTION("""COMPUTED_VALUE"""),"BiseNet (R18)")</f>
        <v>BiseNet (R18)</v>
      </c>
      <c r="D284" s="5" t="str">
        <f>IFERROR(__xludf.DUMMYFUNCTION("""COMPUTED_VALUE"""),"mIoU")</f>
        <v>mIoU</v>
      </c>
      <c r="E284" s="5" t="str">
        <f>IFERROR(__xludf.DUMMYFUNCTION("""COMPUTED_VALUE"""),"mIoU")</f>
        <v>mIoU</v>
      </c>
      <c r="F284" s="5">
        <f>IFERROR(__xludf.DUMMYFUNCTION("""COMPUTED_VALUE"""),75.6)</f>
        <v>75.6</v>
      </c>
      <c r="G284" s="5">
        <f>IFERROR(__xludf.DUMMYFUNCTION("""COMPUTED_VALUE"""),0.2)</f>
        <v>0.2</v>
      </c>
    </row>
    <row r="285" ht="15.75" customHeight="1">
      <c r="A285" s="5" t="str">
        <f>IFERROR(__xludf.DUMMYFUNCTION("""COMPUTED_VALUE"""),"SCOPUS-000255")</f>
        <v>SCOPUS-000255</v>
      </c>
      <c r="B285" s="5" t="str">
        <f>IFERROR(__xludf.DUMMYFUNCTION("""COMPUTED_VALUE"""),"SCOPUS-000255-4")</f>
        <v>SCOPUS-000255-4</v>
      </c>
      <c r="C285" s="6" t="str">
        <f>IFERROR(__xludf.DUMMYFUNCTION("""COMPUTED_VALUE"""),"BiseNet (R50)")</f>
        <v>BiseNet (R50)</v>
      </c>
      <c r="D285" s="5" t="str">
        <f>IFERROR(__xludf.DUMMYFUNCTION("""COMPUTED_VALUE"""),"mIoU")</f>
        <v>mIoU</v>
      </c>
      <c r="E285" s="5" t="str">
        <f>IFERROR(__xludf.DUMMYFUNCTION("""COMPUTED_VALUE"""),"mIoU")</f>
        <v>mIoU</v>
      </c>
      <c r="F285" s="5">
        <f>IFERROR(__xludf.DUMMYFUNCTION("""COMPUTED_VALUE"""),76.3)</f>
        <v>76.3</v>
      </c>
      <c r="G285" s="5">
        <f>IFERROR(__xludf.DUMMYFUNCTION("""COMPUTED_VALUE"""),0.9)</f>
        <v>0.9</v>
      </c>
    </row>
    <row r="286" ht="15.75" customHeight="1">
      <c r="A286" s="5" t="str">
        <f>IFERROR(__xludf.DUMMYFUNCTION("""COMPUTED_VALUE"""),"SCOPUS-000255")</f>
        <v>SCOPUS-000255</v>
      </c>
      <c r="B286" s="5" t="str">
        <f>IFERROR(__xludf.DUMMYFUNCTION("""COMPUTED_VALUE"""),"SCOPUS-000255-5")</f>
        <v>SCOPUS-000255-5</v>
      </c>
      <c r="C286" s="6" t="str">
        <f>IFERROR(__xludf.DUMMYFUNCTION("""COMPUTED_VALUE"""),"Swin Transformer")</f>
        <v>Swin Transformer</v>
      </c>
      <c r="D286" s="5" t="str">
        <f>IFERROR(__xludf.DUMMYFUNCTION("""COMPUTED_VALUE"""),"mIoU")</f>
        <v>mIoU</v>
      </c>
      <c r="E286" s="5" t="str">
        <f>IFERROR(__xludf.DUMMYFUNCTION("""COMPUTED_VALUE"""),"mIoU")</f>
        <v>mIoU</v>
      </c>
      <c r="F286" s="5">
        <f>IFERROR(__xludf.DUMMYFUNCTION("""COMPUTED_VALUE"""),84.6)</f>
        <v>84.6</v>
      </c>
      <c r="G286" s="5">
        <f>IFERROR(__xludf.DUMMYFUNCTION("""COMPUTED_VALUE"""),9.2)</f>
        <v>9.2</v>
      </c>
    </row>
    <row r="287" ht="15.75" customHeight="1">
      <c r="A287" s="5" t="str">
        <f>IFERROR(__xludf.DUMMYFUNCTION("""COMPUTED_VALUE"""),"SCOPUS-000255")</f>
        <v>SCOPUS-000255</v>
      </c>
      <c r="B287" s="5" t="str">
        <f>IFERROR(__xludf.DUMMYFUNCTION("""COMPUTED_VALUE"""),"SCOPUS-000255-6")</f>
        <v>SCOPUS-000255-6</v>
      </c>
      <c r="C287" s="6" t="str">
        <f>IFERROR(__xludf.DUMMYFUNCTION("""COMPUTED_VALUE"""),"YOLO-CornSeg")</f>
        <v>YOLO-CornSeg</v>
      </c>
      <c r="D287" s="5" t="str">
        <f>IFERROR(__xludf.DUMMYFUNCTION("""COMPUTED_VALUE"""),"mIoU")</f>
        <v>mIoU</v>
      </c>
      <c r="E287" s="5" t="str">
        <f>IFERROR(__xludf.DUMMYFUNCTION("""COMPUTED_VALUE"""),"mIoU")</f>
        <v>mIoU</v>
      </c>
      <c r="F287" s="5">
        <f>IFERROR(__xludf.DUMMYFUNCTION("""COMPUTED_VALUE"""),91.1)</f>
        <v>91.1</v>
      </c>
      <c r="G287" s="5">
        <f>IFERROR(__xludf.DUMMYFUNCTION("""COMPUTED_VALUE"""),15.7)</f>
        <v>15.7</v>
      </c>
    </row>
    <row r="288" ht="15.75" customHeight="1">
      <c r="A288" s="5" t="str">
        <f>IFERROR(__xludf.DUMMYFUNCTION("""COMPUTED_VALUE"""),"SCOPUS-000223")</f>
        <v>SCOPUS-000223</v>
      </c>
      <c r="B288" s="5" t="str">
        <f>IFERROR(__xludf.DUMMYFUNCTION("""COMPUTED_VALUE"""),"SCOPUS-000223-1")</f>
        <v>SCOPUS-000223-1</v>
      </c>
      <c r="C288" s="6" t="str">
        <f>IFERROR(__xludf.DUMMYFUNCTION("""COMPUTED_VALUE"""),"YOLOv9t")</f>
        <v>YOLOv9t</v>
      </c>
      <c r="D288" s="5" t="str">
        <f>IFERROR(__xludf.DUMMYFUNCTION("""COMPUTED_VALUE"""),"mAP@0.5")</f>
        <v>mAP@0.5</v>
      </c>
      <c r="E288" s="5" t="str">
        <f>IFERROR(__xludf.DUMMYFUNCTION("""COMPUTED_VALUE"""),"mAP@0.5")</f>
        <v>mAP@0.5</v>
      </c>
      <c r="F288" s="5">
        <f>IFERROR(__xludf.DUMMYFUNCTION("""COMPUTED_VALUE"""),68.8)</f>
        <v>68.8</v>
      </c>
      <c r="G288" s="5">
        <f>IFERROR(__xludf.DUMMYFUNCTION("""COMPUTED_VALUE"""),0.7)</f>
        <v>0.7</v>
      </c>
    </row>
    <row r="289" ht="15.75" customHeight="1">
      <c r="A289" s="5" t="str">
        <f>IFERROR(__xludf.DUMMYFUNCTION("""COMPUTED_VALUE"""),"SCOPUS-000223")</f>
        <v>SCOPUS-000223</v>
      </c>
      <c r="B289" s="5" t="str">
        <f>IFERROR(__xludf.DUMMYFUNCTION("""COMPUTED_VALUE"""),"SCOPUS-000223-2")</f>
        <v>SCOPUS-000223-2</v>
      </c>
      <c r="C289" s="6" t="str">
        <f>IFERROR(__xludf.DUMMYFUNCTION("""COMPUTED_VALUE"""),"SSS-YOLO")</f>
        <v>SSS-YOLO</v>
      </c>
      <c r="D289" s="5" t="str">
        <f>IFERROR(__xludf.DUMMYFUNCTION("""COMPUTED_VALUE"""),"mAP@0.5")</f>
        <v>mAP@0.5</v>
      </c>
      <c r="E289" s="5" t="str">
        <f>IFERROR(__xludf.DUMMYFUNCTION("""COMPUTED_VALUE"""),"mAP@0.5")</f>
        <v>mAP@0.5</v>
      </c>
      <c r="F289" s="5">
        <f>IFERROR(__xludf.DUMMYFUNCTION("""COMPUTED_VALUE"""),77.4)</f>
        <v>77.4</v>
      </c>
      <c r="G289" s="5">
        <f>IFERROR(__xludf.DUMMYFUNCTION("""COMPUTED_VALUE"""),9.3)</f>
        <v>9.3</v>
      </c>
    </row>
    <row r="290" ht="15.75" customHeight="1">
      <c r="A290" s="5" t="str">
        <f>IFERROR(__xludf.DUMMYFUNCTION("""COMPUTED_VALUE"""),"SCOPUS-000216")</f>
        <v>SCOPUS-000216</v>
      </c>
      <c r="B290" s="5" t="str">
        <f>IFERROR(__xludf.DUMMYFUNCTION("""COMPUTED_VALUE"""),"SCOPUS-000216-1")</f>
        <v>SCOPUS-000216-1</v>
      </c>
      <c r="C290" s="6" t="str">
        <f>IFERROR(__xludf.DUMMYFUNCTION("""COMPUTED_VALUE"""),"YOLOv8-nano")</f>
        <v>YOLOv8-nano</v>
      </c>
      <c r="D290" s="5" t="str">
        <f>IFERROR(__xludf.DUMMYFUNCTION("""COMPUTED_VALUE"""),"mAP@0.5")</f>
        <v>mAP@0.5</v>
      </c>
      <c r="E290" s="5" t="str">
        <f>IFERROR(__xludf.DUMMYFUNCTION("""COMPUTED_VALUE"""),"mAP@0.5")</f>
        <v>mAP@0.5</v>
      </c>
      <c r="F290" s="5">
        <f>IFERROR(__xludf.DUMMYFUNCTION("""COMPUTED_VALUE"""),90.2)</f>
        <v>90.2</v>
      </c>
      <c r="G290" s="5">
        <f>IFERROR(__xludf.DUMMYFUNCTION("""COMPUTED_VALUE"""),4.0)</f>
        <v>4</v>
      </c>
    </row>
    <row r="291" ht="15.75" customHeight="1">
      <c r="A291" s="5" t="str">
        <f>IFERROR(__xludf.DUMMYFUNCTION("""COMPUTED_VALUE"""),"SCOPUS-000216")</f>
        <v>SCOPUS-000216</v>
      </c>
      <c r="B291" s="5" t="str">
        <f>IFERROR(__xludf.DUMMYFUNCTION("""COMPUTED_VALUE"""),"SCOPUS-000216-2")</f>
        <v>SCOPUS-000216-2</v>
      </c>
      <c r="C291" s="6" t="str">
        <f>IFERROR(__xludf.DUMMYFUNCTION("""COMPUTED_VALUE"""),"YOLOv11-small")</f>
        <v>YOLOv11-small</v>
      </c>
      <c r="D291" s="5" t="str">
        <f>IFERROR(__xludf.DUMMYFUNCTION("""COMPUTED_VALUE"""),"mAP@0.5")</f>
        <v>mAP@0.5</v>
      </c>
      <c r="E291" s="5" t="str">
        <f>IFERROR(__xludf.DUMMYFUNCTION("""COMPUTED_VALUE"""),"mAP@0.5")</f>
        <v>mAP@0.5</v>
      </c>
      <c r="F291" s="5">
        <f>IFERROR(__xludf.DUMMYFUNCTION("""COMPUTED_VALUE"""),90.2)</f>
        <v>90.2</v>
      </c>
      <c r="G291" s="5">
        <f>IFERROR(__xludf.DUMMYFUNCTION("""COMPUTED_VALUE"""),4.0)</f>
        <v>4</v>
      </c>
    </row>
    <row r="292" ht="15.75" customHeight="1">
      <c r="A292" s="5" t="str">
        <f>IFERROR(__xludf.DUMMYFUNCTION("""COMPUTED_VALUE"""),"SCOPUS-000216")</f>
        <v>SCOPUS-000216</v>
      </c>
      <c r="B292" s="5" t="str">
        <f>IFERROR(__xludf.DUMMYFUNCTION("""COMPUTED_VALUE"""),"SCOPUS-000216-3")</f>
        <v>SCOPUS-000216-3</v>
      </c>
      <c r="C292" s="6" t="str">
        <f>IFERROR(__xludf.DUMMYFUNCTION("""COMPUTED_VALUE"""),"YOLOv12-medium")</f>
        <v>YOLOv12-medium</v>
      </c>
      <c r="D292" s="5" t="str">
        <f>IFERROR(__xludf.DUMMYFUNCTION("""COMPUTED_VALUE"""),"mAP@0.5")</f>
        <v>mAP@0.5</v>
      </c>
      <c r="E292" s="5" t="str">
        <f>IFERROR(__xludf.DUMMYFUNCTION("""COMPUTED_VALUE"""),"mAP@0.5")</f>
        <v>mAP@0.5</v>
      </c>
      <c r="F292" s="5">
        <f>IFERROR(__xludf.DUMMYFUNCTION("""COMPUTED_VALUE"""),90.9)</f>
        <v>90.9</v>
      </c>
      <c r="G292" s="5">
        <f>IFERROR(__xludf.DUMMYFUNCTION("""COMPUTED_VALUE"""),4.7)</f>
        <v>4.7</v>
      </c>
    </row>
    <row r="293" ht="15.75" customHeight="1">
      <c r="A293" s="5" t="str">
        <f>IFERROR(__xludf.DUMMYFUNCTION("""COMPUTED_VALUE"""),"SCOPUS-000168")</f>
        <v>SCOPUS-000168</v>
      </c>
      <c r="B293" s="5" t="str">
        <f>IFERROR(__xludf.DUMMYFUNCTION("""COMPUTED_VALUE"""),"SCOPUS-000168-1")</f>
        <v>SCOPUS-000168-1</v>
      </c>
      <c r="C293" s="6" t="str">
        <f>IFERROR(__xludf.DUMMYFUNCTION("""COMPUTED_VALUE"""),"SVM")</f>
        <v>SVM</v>
      </c>
      <c r="D293" s="5" t="str">
        <f>IFERROR(__xludf.DUMMYFUNCTION("""COMPUTED_VALUE"""),"Accuracy")</f>
        <v>Accuracy</v>
      </c>
      <c r="E293" s="5" t="str">
        <f>IFERROR(__xludf.DUMMYFUNCTION("""COMPUTED_VALUE"""),"Accuracy")</f>
        <v>Accuracy</v>
      </c>
      <c r="F293" s="5">
        <f>IFERROR(__xludf.DUMMYFUNCTION("""COMPUTED_VALUE"""),60.1)</f>
        <v>60.1</v>
      </c>
      <c r="G293" s="5">
        <f>IFERROR(__xludf.DUMMYFUNCTION("""COMPUTED_VALUE"""),11.8)</f>
        <v>11.8</v>
      </c>
    </row>
    <row r="294" ht="15.75" customHeight="1">
      <c r="A294" s="5" t="str">
        <f>IFERROR(__xludf.DUMMYFUNCTION("""COMPUTED_VALUE"""),"SCOPUS-000168")</f>
        <v>SCOPUS-000168</v>
      </c>
      <c r="B294" s="5" t="str">
        <f>IFERROR(__xludf.DUMMYFUNCTION("""COMPUTED_VALUE"""),"SCOPUS-000168-2")</f>
        <v>SCOPUS-000168-2</v>
      </c>
      <c r="C294" s="6" t="str">
        <f>IFERROR(__xludf.DUMMYFUNCTION("""COMPUTED_VALUE"""),"Random Forest")</f>
        <v>Random Forest</v>
      </c>
      <c r="D294" s="5" t="str">
        <f>IFERROR(__xludf.DUMMYFUNCTION("""COMPUTED_VALUE"""),"Accuracy")</f>
        <v>Accuracy</v>
      </c>
      <c r="E294" s="5" t="str">
        <f>IFERROR(__xludf.DUMMYFUNCTION("""COMPUTED_VALUE"""),"Accuracy")</f>
        <v>Accuracy</v>
      </c>
      <c r="F294" s="5">
        <f>IFERROR(__xludf.DUMMYFUNCTION("""COMPUTED_VALUE"""),93.5)</f>
        <v>93.5</v>
      </c>
      <c r="G294" s="5">
        <f>IFERROR(__xludf.DUMMYFUNCTION("""COMPUTED_VALUE"""),45.2)</f>
        <v>45.2</v>
      </c>
    </row>
    <row r="295" ht="15.75" customHeight="1">
      <c r="A295" s="5" t="str">
        <f>IFERROR(__xludf.DUMMYFUNCTION("""COMPUTED_VALUE"""),"SCOPUS-000066")</f>
        <v>SCOPUS-000066</v>
      </c>
      <c r="B295" s="5" t="str">
        <f>IFERROR(__xludf.DUMMYFUNCTION("""COMPUTED_VALUE"""),"SCOPUS-000066-1")</f>
        <v>SCOPUS-000066-1</v>
      </c>
      <c r="C295" s="6" t="str">
        <f>IFERROR(__xludf.DUMMYFUNCTION("""COMPUTED_VALUE"""),"MEFE")</f>
        <v>MEFE</v>
      </c>
      <c r="D295" s="5" t="str">
        <f>IFERROR(__xludf.DUMMYFUNCTION("""COMPUTED_VALUE"""),"mIoU")</f>
        <v>mIoU</v>
      </c>
      <c r="E295" s="5" t="str">
        <f>IFERROR(__xludf.DUMMYFUNCTION("""COMPUTED_VALUE"""),"mIoU")</f>
        <v>mIoU</v>
      </c>
      <c r="F295" s="5">
        <f>IFERROR(__xludf.DUMMYFUNCTION("""COMPUTED_VALUE"""),89.7)</f>
        <v>89.7</v>
      </c>
      <c r="G295" s="5">
        <f>IFERROR(__xludf.DUMMYFUNCTION("""COMPUTED_VALUE"""),2.3)</f>
        <v>2.3</v>
      </c>
    </row>
    <row r="296" ht="15.75" customHeight="1">
      <c r="A296" s="5" t="str">
        <f>IFERROR(__xludf.DUMMYFUNCTION("""COMPUTED_VALUE"""),"SCOPUS-000066")</f>
        <v>SCOPUS-000066</v>
      </c>
      <c r="B296" s="5" t="str">
        <f>IFERROR(__xludf.DUMMYFUNCTION("""COMPUTED_VALUE"""),"SCOPUS-000066-2")</f>
        <v>SCOPUS-000066-2</v>
      </c>
      <c r="C296" s="6" t="str">
        <f>IFERROR(__xludf.DUMMYFUNCTION("""COMPUTED_VALUE"""),"SCARF")</f>
        <v>SCARF</v>
      </c>
      <c r="D296" s="5" t="str">
        <f>IFERROR(__xludf.DUMMYFUNCTION("""COMPUTED_VALUE"""),"mIoU")</f>
        <v>mIoU</v>
      </c>
      <c r="E296" s="5" t="str">
        <f>IFERROR(__xludf.DUMMYFUNCTION("""COMPUTED_VALUE"""),"mIoU")</f>
        <v>mIoU</v>
      </c>
      <c r="F296" s="5">
        <f>IFERROR(__xludf.DUMMYFUNCTION("""COMPUTED_VALUE"""),88.3)</f>
        <v>88.3</v>
      </c>
      <c r="G296" s="5">
        <f>IFERROR(__xludf.DUMMYFUNCTION("""COMPUTED_VALUE"""),0.9)</f>
        <v>0.9</v>
      </c>
    </row>
    <row r="297" ht="15.75" customHeight="1">
      <c r="A297" s="5" t="str">
        <f>IFERROR(__xludf.DUMMYFUNCTION("""COMPUTED_VALUE"""),"SCOPUS-000066")</f>
        <v>SCOPUS-000066</v>
      </c>
      <c r="B297" s="5" t="str">
        <f>IFERROR(__xludf.DUMMYFUNCTION("""COMPUTED_VALUE"""),"SCOPUS-000066-3")</f>
        <v>SCOPUS-000066-3</v>
      </c>
      <c r="C297" s="6" t="str">
        <f>IFERROR(__xludf.DUMMYFUNCTION("""COMPUTED_VALUE"""),"SEAFEC")</f>
        <v>SEAFEC</v>
      </c>
      <c r="D297" s="5" t="str">
        <f>IFERROR(__xludf.DUMMYFUNCTION("""COMPUTED_VALUE"""),"mIoU")</f>
        <v>mIoU</v>
      </c>
      <c r="E297" s="5" t="str">
        <f>IFERROR(__xludf.DUMMYFUNCTION("""COMPUTED_VALUE"""),"mIoU")</f>
        <v>mIoU</v>
      </c>
      <c r="F297" s="5">
        <f>IFERROR(__xludf.DUMMYFUNCTION("""COMPUTED_VALUE"""),90.8)</f>
        <v>90.8</v>
      </c>
      <c r="G297" s="5">
        <f>IFERROR(__xludf.DUMMYFUNCTION("""COMPUTED_VALUE"""),3.4)</f>
        <v>3.4</v>
      </c>
    </row>
    <row r="298" ht="15.75" customHeight="1">
      <c r="A298" s="5" t="str">
        <f>IFERROR(__xludf.DUMMYFUNCTION("""COMPUTED_VALUE"""),"SCOPUS-000015")</f>
        <v>SCOPUS-000015</v>
      </c>
      <c r="B298" s="5" t="str">
        <f>IFERROR(__xludf.DUMMYFUNCTION("""COMPUTED_VALUE"""),"SCOPUS-000015-1")</f>
        <v>SCOPUS-000015-1</v>
      </c>
      <c r="C298" s="6" t="str">
        <f>IFERROR(__xludf.DUMMYFUNCTION("""COMPUTED_VALUE"""),"UNet++")</f>
        <v>UNet++</v>
      </c>
      <c r="D298" s="5" t="str">
        <f>IFERROR(__xludf.DUMMYFUNCTION("""COMPUTED_VALUE"""),"mIoU")</f>
        <v>mIoU</v>
      </c>
      <c r="E298" s="5" t="str">
        <f>IFERROR(__xludf.DUMMYFUNCTION("""COMPUTED_VALUE"""),"mIoU")</f>
        <v>mIoU</v>
      </c>
      <c r="F298" s="5">
        <f>IFERROR(__xludf.DUMMYFUNCTION("""COMPUTED_VALUE"""),67.7)</f>
        <v>67.7</v>
      </c>
      <c r="G298" s="5">
        <f>IFERROR(__xludf.DUMMYFUNCTION("""COMPUTED_VALUE"""),4.3)</f>
        <v>4.3</v>
      </c>
    </row>
    <row r="299" ht="15.75" customHeight="1">
      <c r="A299" s="5" t="str">
        <f>IFERROR(__xludf.DUMMYFUNCTION("""COMPUTED_VALUE"""),"SCOPUS-000015")</f>
        <v>SCOPUS-000015</v>
      </c>
      <c r="B299" s="5" t="str">
        <f>IFERROR(__xludf.DUMMYFUNCTION("""COMPUTED_VALUE"""),"SCOPUS-000015-2")</f>
        <v>SCOPUS-000015-2</v>
      </c>
      <c r="C299" s="6" t="str">
        <f>IFERROR(__xludf.DUMMYFUNCTION("""COMPUTED_VALUE"""),"UNet-EfficientNetB0")</f>
        <v>UNet-EfficientNetB0</v>
      </c>
      <c r="D299" s="5" t="str">
        <f>IFERROR(__xludf.DUMMYFUNCTION("""COMPUTED_VALUE"""),"mIoU")</f>
        <v>mIoU</v>
      </c>
      <c r="E299" s="5" t="str">
        <f>IFERROR(__xludf.DUMMYFUNCTION("""COMPUTED_VALUE"""),"mIoU")</f>
        <v>mIoU</v>
      </c>
      <c r="F299" s="5">
        <f>IFERROR(__xludf.DUMMYFUNCTION("""COMPUTED_VALUE"""),70.44)</f>
        <v>70.44</v>
      </c>
      <c r="G299" s="5">
        <f>IFERROR(__xludf.DUMMYFUNCTION("""COMPUTED_VALUE"""),7.0)</f>
        <v>7</v>
      </c>
    </row>
    <row r="300" ht="15.75" customHeight="1">
      <c r="A300" s="5" t="str">
        <f>IFERROR(__xludf.DUMMYFUNCTION("""COMPUTED_VALUE"""),"SCOPUS-000015")</f>
        <v>SCOPUS-000015</v>
      </c>
      <c r="B300" s="5" t="str">
        <f>IFERROR(__xludf.DUMMYFUNCTION("""COMPUTED_VALUE"""),"SCOPUS-000015-3")</f>
        <v>SCOPUS-000015-3</v>
      </c>
      <c r="C300" s="6" t="str">
        <f>IFERROR(__xludf.DUMMYFUNCTION("""COMPUTED_VALUE"""),"UNet-ResNet50")</f>
        <v>UNet-ResNet50</v>
      </c>
      <c r="D300" s="5" t="str">
        <f>IFERROR(__xludf.DUMMYFUNCTION("""COMPUTED_VALUE"""),"mIoU")</f>
        <v>mIoU</v>
      </c>
      <c r="E300" s="5" t="str">
        <f>IFERROR(__xludf.DUMMYFUNCTION("""COMPUTED_VALUE"""),"mIoU")</f>
        <v>mIoU</v>
      </c>
      <c r="F300" s="5">
        <f>IFERROR(__xludf.DUMMYFUNCTION("""COMPUTED_VALUE"""),72.12)</f>
        <v>72.12</v>
      </c>
      <c r="G300" s="5">
        <f>IFERROR(__xludf.DUMMYFUNCTION("""COMPUTED_VALUE"""),8.7)</f>
        <v>8.7</v>
      </c>
    </row>
    <row r="301" ht="15.75" customHeight="1">
      <c r="A301" s="5" t="str">
        <f>IFERROR(__xludf.DUMMYFUNCTION("""COMPUTED_VALUE"""),"SCOPUS-000015")</f>
        <v>SCOPUS-000015</v>
      </c>
      <c r="B301" s="5" t="str">
        <f>IFERROR(__xludf.DUMMYFUNCTION("""COMPUTED_VALUE"""),"SCOPUS-000015-4")</f>
        <v>SCOPUS-000015-4</v>
      </c>
      <c r="C301" s="6" t="str">
        <f>IFERROR(__xludf.DUMMYFUNCTION("""COMPUTED_VALUE"""),"R2U-Net")</f>
        <v>R2U-Net</v>
      </c>
      <c r="D301" s="5" t="str">
        <f>IFERROR(__xludf.DUMMYFUNCTION("""COMPUTED_VALUE"""),"mIoU")</f>
        <v>mIoU</v>
      </c>
      <c r="E301" s="5" t="str">
        <f>IFERROR(__xludf.DUMMYFUNCTION("""COMPUTED_VALUE"""),"mIoU")</f>
        <v>mIoU</v>
      </c>
      <c r="F301" s="5">
        <f>IFERROR(__xludf.DUMMYFUNCTION("""COMPUTED_VALUE"""),74.07)</f>
        <v>74.07</v>
      </c>
      <c r="G301" s="5">
        <f>IFERROR(__xludf.DUMMYFUNCTION("""COMPUTED_VALUE"""),10.6)</f>
        <v>10.6</v>
      </c>
    </row>
    <row r="302" ht="15.75" customHeight="1">
      <c r="A302" s="5" t="str">
        <f>IFERROR(__xludf.DUMMYFUNCTION("""COMPUTED_VALUE"""),"SCOPUS-000015")</f>
        <v>SCOPUS-000015</v>
      </c>
      <c r="B302" s="5" t="str">
        <f>IFERROR(__xludf.DUMMYFUNCTION("""COMPUTED_VALUE"""),"SCOPUS-000015-5")</f>
        <v>SCOPUS-000015-5</v>
      </c>
      <c r="C302" s="6" t="str">
        <f>IFERROR(__xludf.DUMMYFUNCTION("""COMPUTED_VALUE"""),"TransUnet")</f>
        <v>TransUnet</v>
      </c>
      <c r="D302" s="5" t="str">
        <f>IFERROR(__xludf.DUMMYFUNCTION("""COMPUTED_VALUE"""),"mIoU")</f>
        <v>mIoU</v>
      </c>
      <c r="E302" s="5" t="str">
        <f>IFERROR(__xludf.DUMMYFUNCTION("""COMPUTED_VALUE"""),"mIoU")</f>
        <v>mIoU</v>
      </c>
      <c r="F302" s="5">
        <f>IFERROR(__xludf.DUMMYFUNCTION("""COMPUTED_VALUE"""),75.52)</f>
        <v>75.52</v>
      </c>
      <c r="G302" s="5">
        <f>IFERROR(__xludf.DUMMYFUNCTION("""COMPUTED_VALUE"""),12.1)</f>
        <v>12.1</v>
      </c>
    </row>
    <row r="303" ht="15.75" customHeight="1">
      <c r="A303" s="5" t="str">
        <f>IFERROR(__xludf.DUMMYFUNCTION("""COMPUTED_VALUE"""),"SCOPUS-000015")</f>
        <v>SCOPUS-000015</v>
      </c>
      <c r="B303" s="5" t="str">
        <f>IFERROR(__xludf.DUMMYFUNCTION("""COMPUTED_VALUE"""),"SCOPUS-000015-6")</f>
        <v>SCOPUS-000015-6</v>
      </c>
      <c r="C303" s="6" t="str">
        <f>IFERROR(__xludf.DUMMYFUNCTION("""COMPUTED_VALUE"""),"Swin-Unet")</f>
        <v>Swin-Unet</v>
      </c>
      <c r="D303" s="5" t="str">
        <f>IFERROR(__xludf.DUMMYFUNCTION("""COMPUTED_VALUE"""),"mIoU")</f>
        <v>mIoU</v>
      </c>
      <c r="E303" s="5" t="str">
        <f>IFERROR(__xludf.DUMMYFUNCTION("""COMPUTED_VALUE"""),"mIoU")</f>
        <v>mIoU</v>
      </c>
      <c r="F303" s="5">
        <f>IFERROR(__xludf.DUMMYFUNCTION("""COMPUTED_VALUE"""),78.28)</f>
        <v>78.28</v>
      </c>
      <c r="G303" s="5">
        <f>IFERROR(__xludf.DUMMYFUNCTION("""COMPUTED_VALUE"""),14.8)</f>
        <v>14.8</v>
      </c>
    </row>
    <row r="304" ht="15.75" customHeight="1">
      <c r="A304" s="5" t="str">
        <f>IFERROR(__xludf.DUMMYFUNCTION("""COMPUTED_VALUE"""),"SCOPUS-000015")</f>
        <v>SCOPUS-000015</v>
      </c>
      <c r="B304" s="5" t="str">
        <f>IFERROR(__xludf.DUMMYFUNCTION("""COMPUTED_VALUE"""),"SCOPUS-000015-7")</f>
        <v>SCOPUS-000015-7</v>
      </c>
      <c r="C304" s="6" t="str">
        <f>IFERROR(__xludf.DUMMYFUNCTION("""COMPUTED_VALUE"""),"DeepLabv3")</f>
        <v>DeepLabv3</v>
      </c>
      <c r="D304" s="5" t="str">
        <f>IFERROR(__xludf.DUMMYFUNCTION("""COMPUTED_VALUE"""),"mIoU")</f>
        <v>mIoU</v>
      </c>
      <c r="E304" s="5" t="str">
        <f>IFERROR(__xludf.DUMMYFUNCTION("""COMPUTED_VALUE"""),"mIoU")</f>
        <v>mIoU</v>
      </c>
      <c r="F304" s="5">
        <f>IFERROR(__xludf.DUMMYFUNCTION("""COMPUTED_VALUE"""),78.82)</f>
        <v>78.82</v>
      </c>
      <c r="G304" s="5">
        <f>IFERROR(__xludf.DUMMYFUNCTION("""COMPUTED_VALUE"""),15.4)</f>
        <v>15.4</v>
      </c>
    </row>
    <row r="305" ht="15.75" customHeight="1">
      <c r="A305" s="5" t="str">
        <f>IFERROR(__xludf.DUMMYFUNCTION("""COMPUTED_VALUE"""),"SCOPUS-000015")</f>
        <v>SCOPUS-000015</v>
      </c>
      <c r="B305" s="5" t="str">
        <f>IFERROR(__xludf.DUMMYFUNCTION("""COMPUTED_VALUE"""),"SCOPUS-000015-8")</f>
        <v>SCOPUS-000015-8</v>
      </c>
      <c r="C305" s="6" t="str">
        <f>IFERROR(__xludf.DUMMYFUNCTION("""COMPUTED_VALUE"""),"U-Mamba")</f>
        <v>U-Mamba</v>
      </c>
      <c r="D305" s="5" t="str">
        <f>IFERROR(__xludf.DUMMYFUNCTION("""COMPUTED_VALUE"""),"mIoU")</f>
        <v>mIoU</v>
      </c>
      <c r="E305" s="5" t="str">
        <f>IFERROR(__xludf.DUMMYFUNCTION("""COMPUTED_VALUE"""),"mIoU")</f>
        <v>mIoU</v>
      </c>
      <c r="F305" s="5">
        <f>IFERROR(__xludf.DUMMYFUNCTION("""COMPUTED_VALUE"""),79.19)</f>
        <v>79.19</v>
      </c>
      <c r="G305" s="5">
        <f>IFERROR(__xludf.DUMMYFUNCTION("""COMPUTED_VALUE"""),15.8)</f>
        <v>15.8</v>
      </c>
    </row>
    <row r="306" ht="15.75" customHeight="1">
      <c r="A306" s="5" t="str">
        <f>IFERROR(__xludf.DUMMYFUNCTION("""COMPUTED_VALUE"""),"SCOPUS-000015")</f>
        <v>SCOPUS-000015</v>
      </c>
      <c r="B306" s="5" t="str">
        <f>IFERROR(__xludf.DUMMYFUNCTION("""COMPUTED_VALUE"""),"SCOPUS-000015-9")</f>
        <v>SCOPUS-000015-9</v>
      </c>
      <c r="C306" s="6" t="str">
        <f>IFERROR(__xludf.DUMMYFUNCTION("""COMPUTED_VALUE"""),"Lawin-B1")</f>
        <v>Lawin-B1</v>
      </c>
      <c r="D306" s="5" t="str">
        <f>IFERROR(__xludf.DUMMYFUNCTION("""COMPUTED_VALUE"""),"mIoU")</f>
        <v>mIoU</v>
      </c>
      <c r="E306" s="5" t="str">
        <f>IFERROR(__xludf.DUMMYFUNCTION("""COMPUTED_VALUE"""),"mIoU")</f>
        <v>mIoU</v>
      </c>
      <c r="F306" s="5">
        <f>IFERROR(__xludf.DUMMYFUNCTION("""COMPUTED_VALUE"""),79.75)</f>
        <v>79.75</v>
      </c>
      <c r="G306" s="5">
        <f>IFERROR(__xludf.DUMMYFUNCTION("""COMPUTED_VALUE"""),16.3)</f>
        <v>16.3</v>
      </c>
    </row>
    <row r="307" ht="15.75" customHeight="1">
      <c r="A307" s="5" t="str">
        <f>IFERROR(__xludf.DUMMYFUNCTION("""COMPUTED_VALUE"""),"SCOPUS-000015")</f>
        <v>SCOPUS-000015</v>
      </c>
      <c r="B307" s="5" t="str">
        <f>IFERROR(__xludf.DUMMYFUNCTION("""COMPUTED_VALUE"""),"SCOPUS-000015-10")</f>
        <v>SCOPUS-000015-10</v>
      </c>
      <c r="C307" s="6" t="str">
        <f>IFERROR(__xludf.DUMMYFUNCTION("""COMPUTED_VALUE"""),"SegFormer-B0")</f>
        <v>SegFormer-B0</v>
      </c>
      <c r="D307" s="5" t="str">
        <f>IFERROR(__xludf.DUMMYFUNCTION("""COMPUTED_VALUE"""),"mIoU")</f>
        <v>mIoU</v>
      </c>
      <c r="E307" s="5" t="str">
        <f>IFERROR(__xludf.DUMMYFUNCTION("""COMPUTED_VALUE"""),"mIoU")</f>
        <v>mIoU</v>
      </c>
      <c r="F307" s="5">
        <f>IFERROR(__xludf.DUMMYFUNCTION("""COMPUTED_VALUE"""),79.98)</f>
        <v>79.98</v>
      </c>
      <c r="G307" s="5">
        <f>IFERROR(__xludf.DUMMYFUNCTION("""COMPUTED_VALUE"""),16.5)</f>
        <v>16.5</v>
      </c>
    </row>
    <row r="308" ht="15.75" customHeight="1">
      <c r="A308" s="5" t="str">
        <f>IFERROR(__xludf.DUMMYFUNCTION("""COMPUTED_VALUE"""),"SCOPUS-000015")</f>
        <v>SCOPUS-000015</v>
      </c>
      <c r="B308" s="5" t="str">
        <f>IFERROR(__xludf.DUMMYFUNCTION("""COMPUTED_VALUE"""),"SCOPUS-000015-11")</f>
        <v>SCOPUS-000015-11</v>
      </c>
      <c r="C308" s="6" t="str">
        <f>IFERROR(__xludf.DUMMYFUNCTION("""COMPUTED_VALUE"""),"SplitLawin-B1")</f>
        <v>SplitLawin-B1</v>
      </c>
      <c r="D308" s="5" t="str">
        <f>IFERROR(__xludf.DUMMYFUNCTION("""COMPUTED_VALUE"""),"mIoU")</f>
        <v>mIoU</v>
      </c>
      <c r="E308" s="5" t="str">
        <f>IFERROR(__xludf.DUMMYFUNCTION("""COMPUTED_VALUE"""),"mIoU")</f>
        <v>mIoU</v>
      </c>
      <c r="F308" s="5">
        <f>IFERROR(__xludf.DUMMYFUNCTION("""COMPUTED_VALUE"""),81.05)</f>
        <v>81.05</v>
      </c>
      <c r="G308" s="5">
        <f>IFERROR(__xludf.DUMMYFUNCTION("""COMPUTED_VALUE"""),17.6)</f>
        <v>17.6</v>
      </c>
    </row>
    <row r="309" ht="15.75" customHeight="1">
      <c r="A309" s="5" t="str">
        <f>IFERROR(__xludf.DUMMYFUNCTION("""COMPUTED_VALUE"""),"SCOPUS-000015")</f>
        <v>SCOPUS-000015</v>
      </c>
      <c r="B309" s="5" t="str">
        <f>IFERROR(__xludf.DUMMYFUNCTION("""COMPUTED_VALUE"""),"SCOPUS-000015-12")</f>
        <v>SCOPUS-000015-12</v>
      </c>
      <c r="C309" s="6" t="str">
        <f>IFERROR(__xludf.DUMMYFUNCTION("""COMPUTED_VALUE"""),"UNet3+")</f>
        <v>UNet3+</v>
      </c>
      <c r="D309" s="5" t="str">
        <f>IFERROR(__xludf.DUMMYFUNCTION("""COMPUTED_VALUE"""),"mIoU")</f>
        <v>mIoU</v>
      </c>
      <c r="E309" s="5" t="str">
        <f>IFERROR(__xludf.DUMMYFUNCTION("""COMPUTED_VALUE"""),"mIoU")</f>
        <v>mIoU</v>
      </c>
      <c r="F309" s="5">
        <f>IFERROR(__xludf.DUMMYFUNCTION("""COMPUTED_VALUE"""),81.21)</f>
        <v>81.21</v>
      </c>
      <c r="G309" s="5">
        <f>IFERROR(__xludf.DUMMYFUNCTION("""COMPUTED_VALUE"""),17.8)</f>
        <v>17.8</v>
      </c>
    </row>
    <row r="310" ht="15.75" customHeight="1">
      <c r="A310" s="5" t="str">
        <f>IFERROR(__xludf.DUMMYFUNCTION("""COMPUTED_VALUE"""),"SCOPUS-000015")</f>
        <v>SCOPUS-000015</v>
      </c>
      <c r="B310" s="5" t="str">
        <f>IFERROR(__xludf.DUMMYFUNCTION("""COMPUTED_VALUE"""),"SCOPUS-000015-13")</f>
        <v>SCOPUS-000015-13</v>
      </c>
      <c r="C310" s="6" t="str">
        <f>IFERROR(__xludf.DUMMYFUNCTION("""COMPUTED_VALUE"""),"PRC-Net")</f>
        <v>PRC-Net</v>
      </c>
      <c r="D310" s="5" t="str">
        <f>IFERROR(__xludf.DUMMYFUNCTION("""COMPUTED_VALUE"""),"mIoU")</f>
        <v>mIoU</v>
      </c>
      <c r="E310" s="5" t="str">
        <f>IFERROR(__xludf.DUMMYFUNCTION("""COMPUTED_VALUE"""),"mIoU")</f>
        <v>mIoU</v>
      </c>
      <c r="F310" s="5">
        <f>IFERROR(__xludf.DUMMYFUNCTION("""COMPUTED_VALUE"""),83.97)</f>
        <v>83.97</v>
      </c>
      <c r="G310" s="5">
        <f>IFERROR(__xludf.DUMMYFUNCTION("""COMPUTED_VALUE"""),20.5)</f>
        <v>20.5</v>
      </c>
    </row>
    <row r="311" ht="15.75" customHeight="1">
      <c r="A311" s="5" t="str">
        <f>IFERROR(__xludf.DUMMYFUNCTION("""COMPUTED_VALUE"""),"SCOPUS-000180")</f>
        <v>SCOPUS-000180</v>
      </c>
      <c r="B311" s="5" t="str">
        <f>IFERROR(__xludf.DUMMYFUNCTION("""COMPUTED_VALUE"""),"SCOPUS-000180-1")</f>
        <v>SCOPUS-000180-1</v>
      </c>
      <c r="C311" s="6" t="str">
        <f>IFERROR(__xludf.DUMMYFUNCTION("""COMPUTED_VALUE"""),"SSD")</f>
        <v>SSD</v>
      </c>
      <c r="D311" s="5" t="str">
        <f>IFERROR(__xludf.DUMMYFUNCTION("""COMPUTED_VALUE"""),"mAP@0.5")</f>
        <v>mAP@0.5</v>
      </c>
      <c r="E311" s="5" t="str">
        <f>IFERROR(__xludf.DUMMYFUNCTION("""COMPUTED_VALUE"""),"mAP@0.5")</f>
        <v>mAP@0.5</v>
      </c>
      <c r="F311" s="5">
        <f>IFERROR(__xludf.DUMMYFUNCTION("""COMPUTED_VALUE"""),79.1)</f>
        <v>79.1</v>
      </c>
      <c r="G311" s="5">
        <f>IFERROR(__xludf.DUMMYFUNCTION("""COMPUTED_VALUE"""),6.3)</f>
        <v>6.3</v>
      </c>
    </row>
    <row r="312" ht="15.75" customHeight="1">
      <c r="A312" s="5" t="str">
        <f>IFERROR(__xludf.DUMMYFUNCTION("""COMPUTED_VALUE"""),"SCOPUS-000180")</f>
        <v>SCOPUS-000180</v>
      </c>
      <c r="B312" s="5" t="str">
        <f>IFERROR(__xludf.DUMMYFUNCTION("""COMPUTED_VALUE"""),"SCOPUS-000180-2")</f>
        <v>SCOPUS-000180-2</v>
      </c>
      <c r="C312" s="6" t="str">
        <f>IFERROR(__xludf.DUMMYFUNCTION("""COMPUTED_VALUE"""),"TOOD")</f>
        <v>TOOD</v>
      </c>
      <c r="D312" s="5" t="str">
        <f>IFERROR(__xludf.DUMMYFUNCTION("""COMPUTED_VALUE"""),"mAP@0.5")</f>
        <v>mAP@0.5</v>
      </c>
      <c r="E312" s="5" t="str">
        <f>IFERROR(__xludf.DUMMYFUNCTION("""COMPUTED_VALUE"""),"mAP@0.5")</f>
        <v>mAP@0.5</v>
      </c>
      <c r="F312" s="5">
        <f>IFERROR(__xludf.DUMMYFUNCTION("""COMPUTED_VALUE"""),81.5)</f>
        <v>81.5</v>
      </c>
      <c r="G312" s="5">
        <f>IFERROR(__xludf.DUMMYFUNCTION("""COMPUTED_VALUE"""),8.7)</f>
        <v>8.7</v>
      </c>
    </row>
    <row r="313" ht="15.75" customHeight="1">
      <c r="A313" s="5" t="str">
        <f>IFERROR(__xludf.DUMMYFUNCTION("""COMPUTED_VALUE"""),"SCOPUS-000180")</f>
        <v>SCOPUS-000180</v>
      </c>
      <c r="B313" s="5" t="str">
        <f>IFERROR(__xludf.DUMMYFUNCTION("""COMPUTED_VALUE"""),"SCOPUS-000180-3")</f>
        <v>SCOPUS-000180-3</v>
      </c>
      <c r="C313" s="6" t="str">
        <f>IFERROR(__xludf.DUMMYFUNCTION("""COMPUTED_VALUE"""),"YOLOv5m")</f>
        <v>YOLOv5m</v>
      </c>
      <c r="D313" s="5" t="str">
        <f>IFERROR(__xludf.DUMMYFUNCTION("""COMPUTED_VALUE"""),"mAP@0.5")</f>
        <v>mAP@0.5</v>
      </c>
      <c r="E313" s="5" t="str">
        <f>IFERROR(__xludf.DUMMYFUNCTION("""COMPUTED_VALUE"""),"mAP@0.5")</f>
        <v>mAP@0.5</v>
      </c>
      <c r="F313" s="5">
        <f>IFERROR(__xludf.DUMMYFUNCTION("""COMPUTED_VALUE"""),84.2)</f>
        <v>84.2</v>
      </c>
      <c r="G313" s="5">
        <f>IFERROR(__xludf.DUMMYFUNCTION("""COMPUTED_VALUE"""),11.4)</f>
        <v>11.4</v>
      </c>
    </row>
    <row r="314" ht="15.75" customHeight="1">
      <c r="A314" s="5" t="str">
        <f>IFERROR(__xludf.DUMMYFUNCTION("""COMPUTED_VALUE"""),"SCOPUS-000180")</f>
        <v>SCOPUS-000180</v>
      </c>
      <c r="B314" s="5" t="str">
        <f>IFERROR(__xludf.DUMMYFUNCTION("""COMPUTED_VALUE"""),"SCOPUS-000180-4")</f>
        <v>SCOPUS-000180-4</v>
      </c>
      <c r="C314" s="6" t="str">
        <f>IFERROR(__xludf.DUMMYFUNCTION("""COMPUTED_VALUE"""),"RT-DETR-R18")</f>
        <v>RT-DETR-R18</v>
      </c>
      <c r="D314" s="5" t="str">
        <f>IFERROR(__xludf.DUMMYFUNCTION("""COMPUTED_VALUE"""),"mAP@0.5")</f>
        <v>mAP@0.5</v>
      </c>
      <c r="E314" s="5" t="str">
        <f>IFERROR(__xludf.DUMMYFUNCTION("""COMPUTED_VALUE"""),"mAP@0.5")</f>
        <v>mAP@0.5</v>
      </c>
      <c r="F314" s="5">
        <f>IFERROR(__xludf.DUMMYFUNCTION("""COMPUTED_VALUE"""),85.3)</f>
        <v>85.3</v>
      </c>
      <c r="G314" s="5">
        <f>IFERROR(__xludf.DUMMYFUNCTION("""COMPUTED_VALUE"""),12.5)</f>
        <v>12.5</v>
      </c>
    </row>
    <row r="315" ht="15.75" customHeight="1">
      <c r="A315" s="5" t="str">
        <f>IFERROR(__xludf.DUMMYFUNCTION("""COMPUTED_VALUE"""),"SCOPUS-000180")</f>
        <v>SCOPUS-000180</v>
      </c>
      <c r="B315" s="5" t="str">
        <f>IFERROR(__xludf.DUMMYFUNCTION("""COMPUTED_VALUE"""),"SCOPUS-000180-5")</f>
        <v>SCOPUS-000180-5</v>
      </c>
      <c r="C315" s="6" t="str">
        <f>IFERROR(__xludf.DUMMYFUNCTION("""COMPUTED_VALUE"""),"YOLO13l")</f>
        <v>YOLO13l</v>
      </c>
      <c r="D315" s="5" t="str">
        <f>IFERROR(__xludf.DUMMYFUNCTION("""COMPUTED_VALUE"""),"mAP@0.5")</f>
        <v>mAP@0.5</v>
      </c>
      <c r="E315" s="5" t="str">
        <f>IFERROR(__xludf.DUMMYFUNCTION("""COMPUTED_VALUE"""),"mAP@0.5")</f>
        <v>mAP@0.5</v>
      </c>
      <c r="F315" s="5">
        <f>IFERROR(__xludf.DUMMYFUNCTION("""COMPUTED_VALUE"""),85.9)</f>
        <v>85.9</v>
      </c>
      <c r="G315" s="5">
        <f>IFERROR(__xludf.DUMMYFUNCTION("""COMPUTED_VALUE"""),13.1)</f>
        <v>13.1</v>
      </c>
    </row>
    <row r="316" ht="15.75" customHeight="1">
      <c r="A316" s="5" t="str">
        <f>IFERROR(__xludf.DUMMYFUNCTION("""COMPUTED_VALUE"""),"SCOPUS-000180")</f>
        <v>SCOPUS-000180</v>
      </c>
      <c r="B316" s="5" t="str">
        <f>IFERROR(__xludf.DUMMYFUNCTION("""COMPUTED_VALUE"""),"SCOPUS-000180-6")</f>
        <v>SCOPUS-000180-6</v>
      </c>
      <c r="C316" s="6" t="str">
        <f>IFERROR(__xludf.DUMMYFUNCTION("""COMPUTED_VALUE"""),"YOLOv9c")</f>
        <v>YOLOv9c</v>
      </c>
      <c r="D316" s="5" t="str">
        <f>IFERROR(__xludf.DUMMYFUNCTION("""COMPUTED_VALUE"""),"mAP@0.5")</f>
        <v>mAP@0.5</v>
      </c>
      <c r="E316" s="5" t="str">
        <f>IFERROR(__xludf.DUMMYFUNCTION("""COMPUTED_VALUE"""),"mAP@0.5")</f>
        <v>mAP@0.5</v>
      </c>
      <c r="F316" s="5">
        <f>IFERROR(__xludf.DUMMYFUNCTION("""COMPUTED_VALUE"""),86.6)</f>
        <v>86.6</v>
      </c>
      <c r="G316" s="5">
        <f>IFERROR(__xludf.DUMMYFUNCTION("""COMPUTED_VALUE"""),13.8)</f>
        <v>13.8</v>
      </c>
    </row>
    <row r="317" ht="15.75" customHeight="1">
      <c r="A317" s="5" t="str">
        <f>IFERROR(__xludf.DUMMYFUNCTION("""COMPUTED_VALUE"""),"SCOPUS-000180")</f>
        <v>SCOPUS-000180</v>
      </c>
      <c r="B317" s="5" t="str">
        <f>IFERROR(__xludf.DUMMYFUNCTION("""COMPUTED_VALUE"""),"SCOPUS-000180-7")</f>
        <v>SCOPUS-000180-7</v>
      </c>
      <c r="C317" s="6" t="str">
        <f>IFERROR(__xludf.DUMMYFUNCTION("""COMPUTED_VALUE"""),"YOLOv8m")</f>
        <v>YOLOv8m</v>
      </c>
      <c r="D317" s="5" t="str">
        <f>IFERROR(__xludf.DUMMYFUNCTION("""COMPUTED_VALUE"""),"mAP@0.5")</f>
        <v>mAP@0.5</v>
      </c>
      <c r="E317" s="5" t="str">
        <f>IFERROR(__xludf.DUMMYFUNCTION("""COMPUTED_VALUE"""),"mAP@0.5")</f>
        <v>mAP@0.5</v>
      </c>
      <c r="F317" s="5">
        <f>IFERROR(__xludf.DUMMYFUNCTION("""COMPUTED_VALUE"""),87.0)</f>
        <v>87</v>
      </c>
      <c r="G317" s="5">
        <f>IFERROR(__xludf.DUMMYFUNCTION("""COMPUTED_VALUE"""),14.2)</f>
        <v>14.2</v>
      </c>
    </row>
    <row r="318" ht="15.75" customHeight="1">
      <c r="A318" s="5" t="str">
        <f>IFERROR(__xludf.DUMMYFUNCTION("""COMPUTED_VALUE"""),"SCOPUS-000180")</f>
        <v>SCOPUS-000180</v>
      </c>
      <c r="B318" s="5" t="str">
        <f>IFERROR(__xludf.DUMMYFUNCTION("""COMPUTED_VALUE"""),"SCOPUS-000180-8")</f>
        <v>SCOPUS-000180-8</v>
      </c>
      <c r="C318" s="6" t="str">
        <f>IFERROR(__xludf.DUMMYFUNCTION("""COMPUTED_VALUE"""),"YOLO11m")</f>
        <v>YOLO11m</v>
      </c>
      <c r="D318" s="5" t="str">
        <f>IFERROR(__xludf.DUMMYFUNCTION("""COMPUTED_VALUE"""),"mAP@0.5")</f>
        <v>mAP@0.5</v>
      </c>
      <c r="E318" s="5" t="str">
        <f>IFERROR(__xludf.DUMMYFUNCTION("""COMPUTED_VALUE"""),"mAP@0.5")</f>
        <v>mAP@0.5</v>
      </c>
      <c r="F318" s="5">
        <f>IFERROR(__xludf.DUMMYFUNCTION("""COMPUTED_VALUE"""),87.4)</f>
        <v>87.4</v>
      </c>
      <c r="G318" s="5">
        <f>IFERROR(__xludf.DUMMYFUNCTION("""COMPUTED_VALUE"""),14.6)</f>
        <v>14.6</v>
      </c>
    </row>
    <row r="319" ht="15.75" customHeight="1">
      <c r="A319" s="5" t="str">
        <f>IFERROR(__xludf.DUMMYFUNCTION("""COMPUTED_VALUE"""),"SCOPUS-000180")</f>
        <v>SCOPUS-000180</v>
      </c>
      <c r="B319" s="5" t="str">
        <f>IFERROR(__xludf.DUMMYFUNCTION("""COMPUTED_VALUE"""),"SCOPUS-000180-9")</f>
        <v>SCOPUS-000180-9</v>
      </c>
      <c r="C319" s="6" t="str">
        <f>IFERROR(__xludf.DUMMYFUNCTION("""COMPUTED_VALUE"""),"CAFE-DETR")</f>
        <v>CAFE-DETR</v>
      </c>
      <c r="D319" s="5" t="str">
        <f>IFERROR(__xludf.DUMMYFUNCTION("""COMPUTED_VALUE"""),"mAP@0.5")</f>
        <v>mAP@0.5</v>
      </c>
      <c r="E319" s="5" t="str">
        <f>IFERROR(__xludf.DUMMYFUNCTION("""COMPUTED_VALUE"""),"mAP@0.5")</f>
        <v>mAP@0.5</v>
      </c>
      <c r="F319" s="5">
        <f>IFERROR(__xludf.DUMMYFUNCTION("""COMPUTED_VALUE"""),89.5)</f>
        <v>89.5</v>
      </c>
      <c r="G319" s="5">
        <f>IFERROR(__xludf.DUMMYFUNCTION("""COMPUTED_VALUE"""),16.7)</f>
        <v>16.7</v>
      </c>
    </row>
    <row r="320" ht="15.75" customHeight="1">
      <c r="A320" s="5" t="str">
        <f>IFERROR(__xludf.DUMMYFUNCTION("""COMPUTED_VALUE"""),"SCOPUS-000065")</f>
        <v>SCOPUS-000065</v>
      </c>
      <c r="B320" s="5" t="str">
        <f>IFERROR(__xludf.DUMMYFUNCTION("""COMPUTED_VALUE"""),"SCOPUS-000065-1")</f>
        <v>SCOPUS-000065-1</v>
      </c>
      <c r="C320" s="6" t="str">
        <f>IFERROR(__xludf.DUMMYFUNCTION("""COMPUTED_VALUE"""),"ANN ResNet50")</f>
        <v>ANN ResNet50</v>
      </c>
      <c r="D320" s="5" t="str">
        <f>IFERROR(__xludf.DUMMYFUNCTION("""COMPUTED_VALUE"""),"mIoU")</f>
        <v>mIoU</v>
      </c>
      <c r="E320" s="5" t="str">
        <f>IFERROR(__xludf.DUMMYFUNCTION("""COMPUTED_VALUE"""),"mIoU")</f>
        <v>mIoU</v>
      </c>
      <c r="F320" s="5">
        <f>IFERROR(__xludf.DUMMYFUNCTION("""COMPUTED_VALUE"""),75.98)</f>
        <v>75.98</v>
      </c>
      <c r="G320" s="5">
        <f>IFERROR(__xludf.DUMMYFUNCTION("""COMPUTED_VALUE"""),1.5)</f>
        <v>1.5</v>
      </c>
    </row>
    <row r="321" ht="15.75" customHeight="1">
      <c r="A321" s="5" t="str">
        <f>IFERROR(__xludf.DUMMYFUNCTION("""COMPUTED_VALUE"""),"SCOPUS-000065")</f>
        <v>SCOPUS-000065</v>
      </c>
      <c r="B321" s="5" t="str">
        <f>IFERROR(__xludf.DUMMYFUNCTION("""COMPUTED_VALUE"""),"SCOPUS-000065-2")</f>
        <v>SCOPUS-000065-2</v>
      </c>
      <c r="C321" s="6" t="str">
        <f>IFERROR(__xludf.DUMMYFUNCTION("""COMPUTED_VALUE"""),"UPERNET ResNet50")</f>
        <v>UPERNET ResNet50</v>
      </c>
      <c r="D321" s="5" t="str">
        <f>IFERROR(__xludf.DUMMYFUNCTION("""COMPUTED_VALUE"""),"mIoU")</f>
        <v>mIoU</v>
      </c>
      <c r="E321" s="5" t="str">
        <f>IFERROR(__xludf.DUMMYFUNCTION("""COMPUTED_VALUE"""),"mIoU")</f>
        <v>mIoU</v>
      </c>
      <c r="F321" s="5">
        <f>IFERROR(__xludf.DUMMYFUNCTION("""COMPUTED_VALUE"""),78.67)</f>
        <v>78.67</v>
      </c>
      <c r="G321" s="5">
        <f>IFERROR(__xludf.DUMMYFUNCTION("""COMPUTED_VALUE"""),4.2)</f>
        <v>4.2</v>
      </c>
    </row>
    <row r="322" ht="15.75" customHeight="1">
      <c r="A322" s="5" t="str">
        <f>IFERROR(__xludf.DUMMYFUNCTION("""COMPUTED_VALUE"""),"SCOPUS-000065")</f>
        <v>SCOPUS-000065</v>
      </c>
      <c r="B322" s="5" t="str">
        <f>IFERROR(__xludf.DUMMYFUNCTION("""COMPUTED_VALUE"""),"SCOPUS-000065-3")</f>
        <v>SCOPUS-000065-3</v>
      </c>
      <c r="C322" s="6" t="str">
        <f>IFERROR(__xludf.DUMMYFUNCTION("""COMPUTED_VALUE"""),"DeepLabV3+ ResNet50")</f>
        <v>DeepLabV3+ ResNet50</v>
      </c>
      <c r="D322" s="5" t="str">
        <f>IFERROR(__xludf.DUMMYFUNCTION("""COMPUTED_VALUE"""),"mIoU")</f>
        <v>mIoU</v>
      </c>
      <c r="E322" s="5" t="str">
        <f>IFERROR(__xludf.DUMMYFUNCTION("""COMPUTED_VALUE"""),"mIoU")</f>
        <v>mIoU</v>
      </c>
      <c r="F322" s="5">
        <f>IFERROR(__xludf.DUMMYFUNCTION("""COMPUTED_VALUE"""),80.34)</f>
        <v>80.34</v>
      </c>
      <c r="G322" s="5">
        <f>IFERROR(__xludf.DUMMYFUNCTION("""COMPUTED_VALUE"""),5.9)</f>
        <v>5.9</v>
      </c>
    </row>
    <row r="323" ht="15.75" customHeight="1">
      <c r="A323" s="5" t="str">
        <f>IFERROR(__xludf.DUMMYFUNCTION("""COMPUTED_VALUE"""),"SCOPUS-000065")</f>
        <v>SCOPUS-000065</v>
      </c>
      <c r="B323" s="5" t="str">
        <f>IFERROR(__xludf.DUMMYFUNCTION("""COMPUTED_VALUE"""),"SCOPUS-000065-4")</f>
        <v>SCOPUS-000065-4</v>
      </c>
      <c r="C323" s="6" t="str">
        <f>IFERROR(__xludf.DUMMYFUNCTION("""COMPUTED_VALUE"""),"DeepLabV3+ ResNeSt")</f>
        <v>DeepLabV3+ ResNeSt</v>
      </c>
      <c r="D323" s="5" t="str">
        <f>IFERROR(__xludf.DUMMYFUNCTION("""COMPUTED_VALUE"""),"mIoU")</f>
        <v>mIoU</v>
      </c>
      <c r="E323" s="5" t="str">
        <f>IFERROR(__xludf.DUMMYFUNCTION("""COMPUTED_VALUE"""),"mIoU")</f>
        <v>mIoU</v>
      </c>
      <c r="F323" s="5">
        <f>IFERROR(__xludf.DUMMYFUNCTION("""COMPUTED_VALUE"""),82.96)</f>
        <v>82.96</v>
      </c>
      <c r="G323" s="5">
        <f>IFERROR(__xludf.DUMMYFUNCTION("""COMPUTED_VALUE"""),8.5)</f>
        <v>8.5</v>
      </c>
    </row>
    <row r="324" ht="15.75" customHeight="1">
      <c r="A324" s="5" t="str">
        <f>IFERROR(__xludf.DUMMYFUNCTION("""COMPUTED_VALUE"""),"SCOPUS-000065")</f>
        <v>SCOPUS-000065</v>
      </c>
      <c r="B324" s="5" t="str">
        <f>IFERROR(__xludf.DUMMYFUNCTION("""COMPUTED_VALUE"""),"SCOPUS-000065-5")</f>
        <v>SCOPUS-000065-5</v>
      </c>
      <c r="C324" s="6" t="str">
        <f>IFERROR(__xludf.DUMMYFUNCTION("""COMPUTED_VALUE"""),"Proposed model")</f>
        <v>Proposed model</v>
      </c>
      <c r="D324" s="5" t="str">
        <f>IFERROR(__xludf.DUMMYFUNCTION("""COMPUTED_VALUE"""),"mIoU")</f>
        <v>mIoU</v>
      </c>
      <c r="E324" s="5" t="str">
        <f>IFERROR(__xludf.DUMMYFUNCTION("""COMPUTED_VALUE"""),"mIoU")</f>
        <v>mIoU</v>
      </c>
      <c r="F324" s="5">
        <f>IFERROR(__xludf.DUMMYFUNCTION("""COMPUTED_VALUE"""),84.99)</f>
        <v>84.99</v>
      </c>
      <c r="G324" s="5">
        <f>IFERROR(__xludf.DUMMYFUNCTION("""COMPUTED_VALUE"""),2.0)</f>
        <v>2</v>
      </c>
    </row>
    <row r="325" ht="15.75" customHeight="1">
      <c r="A325" s="5" t="str">
        <f>IFERROR(__xludf.DUMMYFUNCTION("""COMPUTED_VALUE"""),"SCOPUS-000030")</f>
        <v>SCOPUS-000030</v>
      </c>
      <c r="B325" s="5" t="str">
        <f>IFERROR(__xludf.DUMMYFUNCTION("""COMPUTED_VALUE"""),"SCOPUS-000030-1")</f>
        <v>SCOPUS-000030-1</v>
      </c>
      <c r="C325" s="6" t="str">
        <f>IFERROR(__xludf.DUMMYFUNCTION("""COMPUTED_VALUE"""),"HDMNet − 1 Shot")</f>
        <v>HDMNet − 1 Shot</v>
      </c>
      <c r="D325" s="5" t="str">
        <f>IFERROR(__xludf.DUMMYFUNCTION("""COMPUTED_VALUE"""),"mIoU")</f>
        <v>mIoU</v>
      </c>
      <c r="E325" s="5" t="str">
        <f>IFERROR(__xludf.DUMMYFUNCTION("""COMPUTED_VALUE"""),"mIoU")</f>
        <v>mIoU</v>
      </c>
      <c r="F325" s="5">
        <f>IFERROR(__xludf.DUMMYFUNCTION("""COMPUTED_VALUE"""),44.47)</f>
        <v>44.47</v>
      </c>
      <c r="G325" s="5">
        <f>IFERROR(__xludf.DUMMYFUNCTION("""COMPUTED_VALUE"""),-6.1)</f>
        <v>-6.1</v>
      </c>
    </row>
    <row r="326" ht="15.75" customHeight="1">
      <c r="A326" s="5" t="str">
        <f>IFERROR(__xludf.DUMMYFUNCTION("""COMPUTED_VALUE"""),"SCOPUS-000030")</f>
        <v>SCOPUS-000030</v>
      </c>
      <c r="B326" s="5" t="str">
        <f>IFERROR(__xludf.DUMMYFUNCTION("""COMPUTED_VALUE"""),"SCOPUS-000030-2")</f>
        <v>SCOPUS-000030-2</v>
      </c>
      <c r="C326" s="6" t="str">
        <f>IFERROR(__xludf.DUMMYFUNCTION("""COMPUTED_VALUE"""),"HDMNet − 1 Shot")</f>
        <v>HDMNet − 1 Shot</v>
      </c>
      <c r="D326" s="5" t="str">
        <f>IFERROR(__xludf.DUMMYFUNCTION("""COMPUTED_VALUE"""),"mIoU")</f>
        <v>mIoU</v>
      </c>
      <c r="E326" s="5" t="str">
        <f>IFERROR(__xludf.DUMMYFUNCTION("""COMPUTED_VALUE"""),"mIoU")</f>
        <v>mIoU</v>
      </c>
      <c r="F326" s="5">
        <f>IFERROR(__xludf.DUMMYFUNCTION("""COMPUTED_VALUE"""),44.47)</f>
        <v>44.47</v>
      </c>
      <c r="G326" s="5">
        <f>IFERROR(__xludf.DUMMYFUNCTION("""COMPUTED_VALUE"""),-13.3)</f>
        <v>-13.3</v>
      </c>
    </row>
    <row r="327" ht="15.75" customHeight="1">
      <c r="A327" s="5" t="str">
        <f>IFERROR(__xludf.DUMMYFUNCTION("""COMPUTED_VALUE"""),"WEBSCI-000402")</f>
        <v>WEBSCI-000402</v>
      </c>
      <c r="B327" s="5" t="str">
        <f>IFERROR(__xludf.DUMMYFUNCTION("""COMPUTED_VALUE"""),"WEBSCI-000402-1")</f>
        <v>WEBSCI-000402-1</v>
      </c>
      <c r="C327" s="6" t="str">
        <f>IFERROR(__xludf.DUMMYFUNCTION("""COMPUTED_VALUE"""),"VGG-19")</f>
        <v>VGG-19</v>
      </c>
      <c r="D327" s="5" t="str">
        <f>IFERROR(__xludf.DUMMYFUNCTION("""COMPUTED_VALUE"""),"Accuracy")</f>
        <v>Accuracy</v>
      </c>
      <c r="E327" s="5" t="str">
        <f>IFERROR(__xludf.DUMMYFUNCTION("""COMPUTED_VALUE"""),"Accuracy")</f>
        <v>Accuracy</v>
      </c>
      <c r="F327" s="5">
        <f>IFERROR(__xludf.DUMMYFUNCTION("""COMPUTED_VALUE"""),88.2)</f>
        <v>88.2</v>
      </c>
      <c r="G327" s="5">
        <f>IFERROR(__xludf.DUMMYFUNCTION("""COMPUTED_VALUE"""),1.2)</f>
        <v>1.2</v>
      </c>
    </row>
    <row r="328" ht="15.75" customHeight="1">
      <c r="A328" s="5" t="str">
        <f>IFERROR(__xludf.DUMMYFUNCTION("""COMPUTED_VALUE"""),"WEBSCI-000402")</f>
        <v>WEBSCI-000402</v>
      </c>
      <c r="B328" s="5" t="str">
        <f>IFERROR(__xludf.DUMMYFUNCTION("""COMPUTED_VALUE"""),"WEBSCI-000402-2")</f>
        <v>WEBSCI-000402-2</v>
      </c>
      <c r="C328" s="6" t="str">
        <f>IFERROR(__xludf.DUMMYFUNCTION("""COMPUTED_VALUE"""),"ResNet-50")</f>
        <v>ResNet-50</v>
      </c>
      <c r="D328" s="5" t="str">
        <f>IFERROR(__xludf.DUMMYFUNCTION("""COMPUTED_VALUE"""),"Accuracy")</f>
        <v>Accuracy</v>
      </c>
      <c r="E328" s="5" t="str">
        <f>IFERROR(__xludf.DUMMYFUNCTION("""COMPUTED_VALUE"""),"Accuracy")</f>
        <v>Accuracy</v>
      </c>
      <c r="F328" s="5">
        <f>IFERROR(__xludf.DUMMYFUNCTION("""COMPUTED_VALUE"""),89.2)</f>
        <v>89.2</v>
      </c>
      <c r="G328" s="5">
        <f>IFERROR(__xludf.DUMMYFUNCTION("""COMPUTED_VALUE"""),2.2)</f>
        <v>2.2</v>
      </c>
    </row>
    <row r="329" ht="15.75" customHeight="1">
      <c r="A329" s="5" t="str">
        <f>IFERROR(__xludf.DUMMYFUNCTION("""COMPUTED_VALUE"""),"WEBSCI-000402")</f>
        <v>WEBSCI-000402</v>
      </c>
      <c r="B329" s="5" t="str">
        <f>IFERROR(__xludf.DUMMYFUNCTION("""COMPUTED_VALUE"""),"WEBSCI-000402-3")</f>
        <v>WEBSCI-000402-3</v>
      </c>
      <c r="C329" s="6" t="str">
        <f>IFERROR(__xludf.DUMMYFUNCTION("""COMPUTED_VALUE"""),"ResNet-152")</f>
        <v>ResNet-152</v>
      </c>
      <c r="D329" s="5" t="str">
        <f>IFERROR(__xludf.DUMMYFUNCTION("""COMPUTED_VALUE"""),"Accuracy")</f>
        <v>Accuracy</v>
      </c>
      <c r="E329" s="5" t="str">
        <f>IFERROR(__xludf.DUMMYFUNCTION("""COMPUTED_VALUE"""),"Accuracy")</f>
        <v>Accuracy</v>
      </c>
      <c r="F329" s="5">
        <f>IFERROR(__xludf.DUMMYFUNCTION("""COMPUTED_VALUE"""),97.2)</f>
        <v>97.2</v>
      </c>
      <c r="G329" s="5">
        <f>IFERROR(__xludf.DUMMYFUNCTION("""COMPUTED_VALUE"""),10.2)</f>
        <v>10.2</v>
      </c>
    </row>
    <row r="330" ht="15.75" customHeight="1">
      <c r="A330" s="5" t="str">
        <f>IFERROR(__xludf.DUMMYFUNCTION("""COMPUTED_VALUE"""),"WEBSCI-000402")</f>
        <v>WEBSCI-000402</v>
      </c>
      <c r="B330" s="5" t="str">
        <f>IFERROR(__xludf.DUMMYFUNCTION("""COMPUTED_VALUE"""),"WEBSCI-000402-4")</f>
        <v>WEBSCI-000402-4</v>
      </c>
      <c r="C330" s="6" t="str">
        <f>IFERROR(__xludf.DUMMYFUNCTION("""COMPUTED_VALUE"""),"VGG-16-CBAM")</f>
        <v>VGG-16-CBAM</v>
      </c>
      <c r="D330" s="5" t="str">
        <f>IFERROR(__xludf.DUMMYFUNCTION("""COMPUTED_VALUE"""),"Accuracy")</f>
        <v>Accuracy</v>
      </c>
      <c r="E330" s="5" t="str">
        <f>IFERROR(__xludf.DUMMYFUNCTION("""COMPUTED_VALUE"""),"Accuracy")</f>
        <v>Accuracy</v>
      </c>
      <c r="F330" s="5">
        <f>IFERROR(__xludf.DUMMYFUNCTION("""COMPUTED_VALUE"""),97.3)</f>
        <v>97.3</v>
      </c>
      <c r="G330" s="5">
        <f>IFERROR(__xludf.DUMMYFUNCTION("""COMPUTED_VALUE"""),10.3)</f>
        <v>10.3</v>
      </c>
    </row>
    <row r="331" ht="15.75" customHeight="1">
      <c r="A331" s="5" t="str">
        <f>IFERROR(__xludf.DUMMYFUNCTION("""COMPUTED_VALUE"""),"WEBSCI-000402")</f>
        <v>WEBSCI-000402</v>
      </c>
      <c r="B331" s="5" t="str">
        <f>IFERROR(__xludf.DUMMYFUNCTION("""COMPUTED_VALUE"""),"WEBSCI-000402-5")</f>
        <v>WEBSCI-000402-5</v>
      </c>
      <c r="C331" s="6" t="str">
        <f>IFERROR(__xludf.DUMMYFUNCTION("""COMPUTED_VALUE"""),"VGG-19-CBAM")</f>
        <v>VGG-19-CBAM</v>
      </c>
      <c r="D331" s="5" t="str">
        <f>IFERROR(__xludf.DUMMYFUNCTION("""COMPUTED_VALUE"""),"Accuracy")</f>
        <v>Accuracy</v>
      </c>
      <c r="E331" s="5" t="str">
        <f>IFERROR(__xludf.DUMMYFUNCTION("""COMPUTED_VALUE"""),"Accuracy")</f>
        <v>Accuracy</v>
      </c>
      <c r="F331" s="5">
        <f>IFERROR(__xludf.DUMMYFUNCTION("""COMPUTED_VALUE"""),98.4)</f>
        <v>98.4</v>
      </c>
      <c r="G331" s="5">
        <f>IFERROR(__xludf.DUMMYFUNCTION("""COMPUTED_VALUE"""),11.4)</f>
        <v>11.4</v>
      </c>
    </row>
    <row r="332" ht="15.75" customHeight="1">
      <c r="A332" s="5" t="str">
        <f>IFERROR(__xludf.DUMMYFUNCTION("""COMPUTED_VALUE"""),"WEBSCI-000402")</f>
        <v>WEBSCI-000402</v>
      </c>
      <c r="B332" s="5" t="str">
        <f>IFERROR(__xludf.DUMMYFUNCTION("""COMPUTED_VALUE"""),"WEBSCI-000402-6")</f>
        <v>WEBSCI-000402-6</v>
      </c>
      <c r="C332" s="6" t="str">
        <f>IFERROR(__xludf.DUMMYFUNCTION("""COMPUTED_VALUE"""),"ResNet-50-CBAM")</f>
        <v>ResNet-50-CBAM</v>
      </c>
      <c r="D332" s="5" t="str">
        <f>IFERROR(__xludf.DUMMYFUNCTION("""COMPUTED_VALUE"""),"Accuracy")</f>
        <v>Accuracy</v>
      </c>
      <c r="E332" s="5" t="str">
        <f>IFERROR(__xludf.DUMMYFUNCTION("""COMPUTED_VALUE"""),"Accuracy")</f>
        <v>Accuracy</v>
      </c>
      <c r="F332" s="5">
        <f>IFERROR(__xludf.DUMMYFUNCTION("""COMPUTED_VALUE"""),99.5)</f>
        <v>99.5</v>
      </c>
      <c r="G332" s="5">
        <f>IFERROR(__xludf.DUMMYFUNCTION("""COMPUTED_VALUE"""),12.5)</f>
        <v>12.5</v>
      </c>
    </row>
    <row r="333" ht="15.75" customHeight="1">
      <c r="A333" s="5" t="str">
        <f>IFERROR(__xludf.DUMMYFUNCTION("""COMPUTED_VALUE"""),"WEBSCI-000402")</f>
        <v>WEBSCI-000402</v>
      </c>
      <c r="B333" s="5" t="str">
        <f>IFERROR(__xludf.DUMMYFUNCTION("""COMPUTED_VALUE"""),"WEBSCI-000402-7")</f>
        <v>WEBSCI-000402-7</v>
      </c>
      <c r="C333" s="6" t="str">
        <f>IFERROR(__xludf.DUMMYFUNCTION("""COMPUTED_VALUE"""),"ResNet-152-CBAM")</f>
        <v>ResNet-152-CBAM</v>
      </c>
      <c r="D333" s="5" t="str">
        <f>IFERROR(__xludf.DUMMYFUNCTION("""COMPUTED_VALUE"""),"Accuracy")</f>
        <v>Accuracy</v>
      </c>
      <c r="E333" s="5" t="str">
        <f>IFERROR(__xludf.DUMMYFUNCTION("""COMPUTED_VALUE"""),"Accuracy")</f>
        <v>Accuracy</v>
      </c>
      <c r="F333" s="5">
        <f>IFERROR(__xludf.DUMMYFUNCTION("""COMPUTED_VALUE"""),99.5)</f>
        <v>99.5</v>
      </c>
      <c r="G333" s="5">
        <f>IFERROR(__xludf.DUMMYFUNCTION("""COMPUTED_VALUE"""),12.5)</f>
        <v>12.5</v>
      </c>
    </row>
    <row r="334" ht="15.75" customHeight="1">
      <c r="A334" s="5" t="str">
        <f>IFERROR(__xludf.DUMMYFUNCTION("""COMPUTED_VALUE"""),"SCOPUS-000300")</f>
        <v>SCOPUS-000300</v>
      </c>
      <c r="B334" s="5" t="str">
        <f>IFERROR(__xludf.DUMMYFUNCTION("""COMPUTED_VALUE"""),"SCOPUS-000300-1")</f>
        <v>SCOPUS-000300-1</v>
      </c>
      <c r="C334" s="6" t="str">
        <f>IFERROR(__xludf.DUMMYFUNCTION("""COMPUTED_VALUE"""),"Deformable-DETR")</f>
        <v>Deformable-DETR</v>
      </c>
      <c r="D334" s="5" t="str">
        <f>IFERROR(__xludf.DUMMYFUNCTION("""COMPUTED_VALUE"""),"mAP@0.5 (4K)")</f>
        <v>mAP@0.5 (4K)</v>
      </c>
      <c r="E334" s="5" t="str">
        <f>IFERROR(__xludf.DUMMYFUNCTION("""COMPUTED_VALUE"""),"mAP@0.5")</f>
        <v>mAP@0.5</v>
      </c>
      <c r="F334" s="5">
        <f>IFERROR(__xludf.DUMMYFUNCTION("""COMPUTED_VALUE"""),65.7)</f>
        <v>65.7</v>
      </c>
      <c r="G334" s="5">
        <f>IFERROR(__xludf.DUMMYFUNCTION("""COMPUTED_VALUE"""),0.4)</f>
        <v>0.4</v>
      </c>
    </row>
    <row r="335" ht="15.75" customHeight="1">
      <c r="A335" s="5" t="str">
        <f>IFERROR(__xludf.DUMMYFUNCTION("""COMPUTED_VALUE"""),"SCOPUS-000300")</f>
        <v>SCOPUS-000300</v>
      </c>
      <c r="B335" s="5" t="str">
        <f>IFERROR(__xludf.DUMMYFUNCTION("""COMPUTED_VALUE"""),"SCOPUS-000300-2")</f>
        <v>SCOPUS-000300-2</v>
      </c>
      <c r="C335" s="6" t="str">
        <f>IFERROR(__xludf.DUMMYFUNCTION("""COMPUTED_VALUE"""),"Faster R-CNN")</f>
        <v>Faster R-CNN</v>
      </c>
      <c r="D335" s="5" t="str">
        <f>IFERROR(__xludf.DUMMYFUNCTION("""COMPUTED_VALUE"""),"mAP@0.5 (4K)")</f>
        <v>mAP@0.5 (4K)</v>
      </c>
      <c r="E335" s="5" t="str">
        <f>IFERROR(__xludf.DUMMYFUNCTION("""COMPUTED_VALUE"""),"mAP@0.5")</f>
        <v>mAP@0.5</v>
      </c>
      <c r="F335" s="5">
        <f>IFERROR(__xludf.DUMMYFUNCTION("""COMPUTED_VALUE"""),70.6)</f>
        <v>70.6</v>
      </c>
      <c r="G335" s="5">
        <f>IFERROR(__xludf.DUMMYFUNCTION("""COMPUTED_VALUE"""),5.3)</f>
        <v>5.3</v>
      </c>
    </row>
    <row r="336" ht="15.75" customHeight="1">
      <c r="A336" s="5" t="str">
        <f>IFERROR(__xludf.DUMMYFUNCTION("""COMPUTED_VALUE"""),"SCOPUS-000300")</f>
        <v>SCOPUS-000300</v>
      </c>
      <c r="B336" s="5" t="str">
        <f>IFERROR(__xludf.DUMMYFUNCTION("""COMPUTED_VALUE"""),"SCOPUS-000300-3")</f>
        <v>SCOPUS-000300-3</v>
      </c>
      <c r="C336" s="6" t="str">
        <f>IFERROR(__xludf.DUMMYFUNCTION("""COMPUTED_VALUE"""),"YOLOX-L")</f>
        <v>YOLOX-L</v>
      </c>
      <c r="D336" s="5" t="str">
        <f>IFERROR(__xludf.DUMMYFUNCTION("""COMPUTED_VALUE"""),"mAP@0.5 (4K)")</f>
        <v>mAP@0.5 (4K)</v>
      </c>
      <c r="E336" s="5" t="str">
        <f>IFERROR(__xludf.DUMMYFUNCTION("""COMPUTED_VALUE"""),"mAP@0.5")</f>
        <v>mAP@0.5</v>
      </c>
      <c r="F336" s="5">
        <f>IFERROR(__xludf.DUMMYFUNCTION("""COMPUTED_VALUE"""),71.4)</f>
        <v>71.4</v>
      </c>
      <c r="G336" s="5">
        <f>IFERROR(__xludf.DUMMYFUNCTION("""COMPUTED_VALUE"""),6.1)</f>
        <v>6.1</v>
      </c>
    </row>
    <row r="337" ht="15.75" customHeight="1">
      <c r="A337" s="5" t="str">
        <f>IFERROR(__xludf.DUMMYFUNCTION("""COMPUTED_VALUE"""),"SCOPUS-000300")</f>
        <v>SCOPUS-000300</v>
      </c>
      <c r="B337" s="5" t="str">
        <f>IFERROR(__xludf.DUMMYFUNCTION("""COMPUTED_VALUE"""),"SCOPUS-000300-4")</f>
        <v>SCOPUS-000300-4</v>
      </c>
      <c r="C337" s="6" t="str">
        <f>IFERROR(__xludf.DUMMYFUNCTION("""COMPUTED_VALUE"""),"DINO")</f>
        <v>DINO</v>
      </c>
      <c r="D337" s="5" t="str">
        <f>IFERROR(__xludf.DUMMYFUNCTION("""COMPUTED_VALUE"""),"mAP@0.5 (4K)")</f>
        <v>mAP@0.5 (4K)</v>
      </c>
      <c r="E337" s="5" t="str">
        <f>IFERROR(__xludf.DUMMYFUNCTION("""COMPUTED_VALUE"""),"mAP@0.5")</f>
        <v>mAP@0.5</v>
      </c>
      <c r="F337" s="5">
        <f>IFERROR(__xludf.DUMMYFUNCTION("""COMPUTED_VALUE"""),73.5)</f>
        <v>73.5</v>
      </c>
      <c r="G337" s="5">
        <f>IFERROR(__xludf.DUMMYFUNCTION("""COMPUTED_VALUE"""),8.2)</f>
        <v>8.2</v>
      </c>
    </row>
    <row r="338" ht="15.75" customHeight="1">
      <c r="A338" s="5" t="str">
        <f>IFERROR(__xludf.DUMMYFUNCTION("""COMPUTED_VALUE"""),"SCOPUS-000300")</f>
        <v>SCOPUS-000300</v>
      </c>
      <c r="B338" s="5" t="str">
        <f>IFERROR(__xludf.DUMMYFUNCTION("""COMPUTED_VALUE"""),"SCOPUS-000300-5")</f>
        <v>SCOPUS-000300-5</v>
      </c>
      <c r="C338" s="6" t="str">
        <f>IFERROR(__xludf.DUMMYFUNCTION("""COMPUTED_VALUE"""),"Cascade R-CNN")</f>
        <v>Cascade R-CNN</v>
      </c>
      <c r="D338" s="5" t="str">
        <f>IFERROR(__xludf.DUMMYFUNCTION("""COMPUTED_VALUE"""),"mAP@0.5 (4K)")</f>
        <v>mAP@0.5 (4K)</v>
      </c>
      <c r="E338" s="5" t="str">
        <f>IFERROR(__xludf.DUMMYFUNCTION("""COMPUTED_VALUE"""),"mAP@0.5")</f>
        <v>mAP@0.5</v>
      </c>
      <c r="F338" s="5">
        <f>IFERROR(__xludf.DUMMYFUNCTION("""COMPUTED_VALUE"""),74.1)</f>
        <v>74.1</v>
      </c>
      <c r="G338" s="5">
        <f>IFERROR(__xludf.DUMMYFUNCTION("""COMPUTED_VALUE"""),8.8)</f>
        <v>8.8</v>
      </c>
    </row>
    <row r="339" ht="15.75" customHeight="1">
      <c r="A339" s="5" t="str">
        <f>IFERROR(__xludf.DUMMYFUNCTION("""COMPUTED_VALUE"""),"SCOPUS-000300")</f>
        <v>SCOPUS-000300</v>
      </c>
      <c r="B339" s="5" t="str">
        <f>IFERROR(__xludf.DUMMYFUNCTION("""COMPUTED_VALUE"""),"SCOPUS-000300-6")</f>
        <v>SCOPUS-000300-6</v>
      </c>
      <c r="C339" s="6" t="str">
        <f>IFERROR(__xludf.DUMMYFUNCTION("""COMPUTED_VALUE"""),"DINO-Swin/L")</f>
        <v>DINO-Swin/L</v>
      </c>
      <c r="D339" s="5" t="str">
        <f>IFERROR(__xludf.DUMMYFUNCTION("""COMPUTED_VALUE"""),"mAP@0.5 (4K)")</f>
        <v>mAP@0.5 (4K)</v>
      </c>
      <c r="E339" s="5" t="str">
        <f>IFERROR(__xludf.DUMMYFUNCTION("""COMPUTED_VALUE"""),"mAP@0.5")</f>
        <v>mAP@0.5</v>
      </c>
      <c r="F339" s="5">
        <f>IFERROR(__xludf.DUMMYFUNCTION("""COMPUTED_VALUE"""),76.0)</f>
        <v>76</v>
      </c>
      <c r="G339" s="5">
        <f>IFERROR(__xludf.DUMMYFUNCTION("""COMPUTED_VALUE"""),10.7)</f>
        <v>10.7</v>
      </c>
    </row>
    <row r="340" ht="15.75" customHeight="1">
      <c r="A340" s="5" t="str">
        <f>IFERROR(__xludf.DUMMYFUNCTION("""COMPUTED_VALUE"""),"SCOPUS-000099")</f>
        <v>SCOPUS-000099</v>
      </c>
      <c r="B340" s="5" t="str">
        <f>IFERROR(__xludf.DUMMYFUNCTION("""COMPUTED_VALUE"""),"SCOPUS-000099-1")</f>
        <v>SCOPUS-000099-1</v>
      </c>
      <c r="C340" s="6" t="str">
        <f>IFERROR(__xludf.DUMMYFUNCTION("""COMPUTED_VALUE"""),"YOLOv8")</f>
        <v>YOLOv8</v>
      </c>
      <c r="D340" s="5" t="str">
        <f>IFERROR(__xludf.DUMMYFUNCTION("""COMPUTED_VALUE"""),"mAP@0.5")</f>
        <v>mAP@0.5</v>
      </c>
      <c r="E340" s="5" t="str">
        <f>IFERROR(__xludf.DUMMYFUNCTION("""COMPUTED_VALUE"""),"mAP@0.5")</f>
        <v>mAP@0.5</v>
      </c>
      <c r="F340" s="5">
        <f>IFERROR(__xludf.DUMMYFUNCTION("""COMPUTED_VALUE"""),88.4)</f>
        <v>88.4</v>
      </c>
      <c r="G340" s="5">
        <f>IFERROR(__xludf.DUMMYFUNCTION("""COMPUTED_VALUE"""),1.2)</f>
        <v>1.2</v>
      </c>
    </row>
    <row r="341" ht="15.75" customHeight="1">
      <c r="A341" s="5" t="str">
        <f>IFERROR(__xludf.DUMMYFUNCTION("""COMPUTED_VALUE"""),"SCOPUS-000099")</f>
        <v>SCOPUS-000099</v>
      </c>
      <c r="B341" s="5" t="str">
        <f>IFERROR(__xludf.DUMMYFUNCTION("""COMPUTED_VALUE"""),"SCOPUS-000099-2")</f>
        <v>SCOPUS-000099-2</v>
      </c>
      <c r="C341" s="6" t="str">
        <f>IFERROR(__xludf.DUMMYFUNCTION("""COMPUTED_VALUE"""),"YOLOv7")</f>
        <v>YOLOv7</v>
      </c>
      <c r="D341" s="5" t="str">
        <f>IFERROR(__xludf.DUMMYFUNCTION("""COMPUTED_VALUE"""),"mAP@0.5")</f>
        <v>mAP@0.5</v>
      </c>
      <c r="E341" s="5" t="str">
        <f>IFERROR(__xludf.DUMMYFUNCTION("""COMPUTED_VALUE"""),"mAP@0.5")</f>
        <v>mAP@0.5</v>
      </c>
      <c r="F341" s="5">
        <f>IFERROR(__xludf.DUMMYFUNCTION("""COMPUTED_VALUE"""),89.1)</f>
        <v>89.1</v>
      </c>
      <c r="G341" s="5">
        <f>IFERROR(__xludf.DUMMYFUNCTION("""COMPUTED_VALUE"""),1.9)</f>
        <v>1.9</v>
      </c>
    </row>
    <row r="342" ht="15.75" customHeight="1">
      <c r="A342" s="5" t="str">
        <f>IFERROR(__xludf.DUMMYFUNCTION("""COMPUTED_VALUE"""),"SCOPUS-000099")</f>
        <v>SCOPUS-000099</v>
      </c>
      <c r="B342" s="5" t="str">
        <f>IFERROR(__xludf.DUMMYFUNCTION("""COMPUTED_VALUE"""),"SCOPUS-000099-3")</f>
        <v>SCOPUS-000099-3</v>
      </c>
      <c r="C342" s="6" t="str">
        <f>IFERROR(__xludf.DUMMYFUNCTION("""COMPUTED_VALUE"""),"MetaYOLOv8-Level")</f>
        <v>MetaYOLOv8-Level</v>
      </c>
      <c r="D342" s="5" t="str">
        <f>IFERROR(__xludf.DUMMYFUNCTION("""COMPUTED_VALUE"""),"mAP@0.5")</f>
        <v>mAP@0.5</v>
      </c>
      <c r="E342" s="5" t="str">
        <f>IFERROR(__xludf.DUMMYFUNCTION("""COMPUTED_VALUE"""),"mAP@0.5")</f>
        <v>mAP@0.5</v>
      </c>
      <c r="F342" s="5">
        <f>IFERROR(__xludf.DUMMYFUNCTION("""COMPUTED_VALUE"""),89.6)</f>
        <v>89.6</v>
      </c>
      <c r="G342" s="5">
        <f>IFERROR(__xludf.DUMMYFUNCTION("""COMPUTED_VALUE"""),2.4)</f>
        <v>2.4</v>
      </c>
    </row>
    <row r="343" ht="15.75" customHeight="1">
      <c r="A343" s="5" t="str">
        <f>IFERROR(__xludf.DUMMYFUNCTION("""COMPUTED_VALUE"""),"SCOPUS-000290")</f>
        <v>SCOPUS-000290</v>
      </c>
      <c r="B343" s="5" t="str">
        <f>IFERROR(__xludf.DUMMYFUNCTION("""COMPUTED_VALUE"""),"SCOPUS-000290-1")</f>
        <v>SCOPUS-000290-1</v>
      </c>
      <c r="C343" s="6" t="str">
        <f>IFERROR(__xludf.DUMMYFUNCTION("""COMPUTED_VALUE"""),"YOLOv5-MobileNetv3-SE")</f>
        <v>YOLOv5-MobileNetv3-SE</v>
      </c>
      <c r="D343" s="5" t="str">
        <f>IFERROR(__xludf.DUMMYFUNCTION("""COMPUTED_VALUE"""),"mAP@0.5")</f>
        <v>mAP@0.5</v>
      </c>
      <c r="E343" s="5" t="str">
        <f>IFERROR(__xludf.DUMMYFUNCTION("""COMPUTED_VALUE"""),"mAP@0.5")</f>
        <v>mAP@0.5</v>
      </c>
      <c r="F343" s="5">
        <f>IFERROR(__xludf.DUMMYFUNCTION("""COMPUTED_VALUE"""),86.9)</f>
        <v>86.9</v>
      </c>
      <c r="G343" s="5">
        <f>IFERROR(__xludf.DUMMYFUNCTION("""COMPUTED_VALUE"""),6.0)</f>
        <v>6</v>
      </c>
    </row>
    <row r="344" ht="15.75" customHeight="1">
      <c r="A344" s="5" t="str">
        <f>IFERROR(__xludf.DUMMYFUNCTION("""COMPUTED_VALUE"""),"SCOPUS-000290")</f>
        <v>SCOPUS-000290</v>
      </c>
      <c r="B344" s="5" t="str">
        <f>IFERROR(__xludf.DUMMYFUNCTION("""COMPUTED_VALUE"""),"SCOPUS-000290-2")</f>
        <v>SCOPUS-000290-2</v>
      </c>
      <c r="C344" s="6" t="str">
        <f>IFERROR(__xludf.DUMMYFUNCTION("""COMPUTED_VALUE"""),"YOLOv5s")</f>
        <v>YOLOv5s</v>
      </c>
      <c r="D344" s="5" t="str">
        <f>IFERROR(__xludf.DUMMYFUNCTION("""COMPUTED_VALUE"""),"mAP@0.5")</f>
        <v>mAP@0.5</v>
      </c>
      <c r="E344" s="5" t="str">
        <f>IFERROR(__xludf.DUMMYFUNCTION("""COMPUTED_VALUE"""),"mAP@0.5")</f>
        <v>mAP@0.5</v>
      </c>
      <c r="F344" s="5">
        <f>IFERROR(__xludf.DUMMYFUNCTION("""COMPUTED_VALUE"""),87.6)</f>
        <v>87.6</v>
      </c>
      <c r="G344" s="5">
        <f>IFERROR(__xludf.DUMMYFUNCTION("""COMPUTED_VALUE"""),6.7)</f>
        <v>6.7</v>
      </c>
    </row>
    <row r="345" ht="15.75" customHeight="1">
      <c r="A345" s="5" t="str">
        <f>IFERROR(__xludf.DUMMYFUNCTION("""COMPUTED_VALUE"""),"SCOPUS-000290")</f>
        <v>SCOPUS-000290</v>
      </c>
      <c r="B345" s="5" t="str">
        <f>IFERROR(__xludf.DUMMYFUNCTION("""COMPUTED_VALUE"""),"SCOPUS-000290-3")</f>
        <v>SCOPUS-000290-3</v>
      </c>
      <c r="C345" s="6" t="str">
        <f>IFERROR(__xludf.DUMMYFUNCTION("""COMPUTED_VALUE"""),"YOLOv3")</f>
        <v>YOLOv3</v>
      </c>
      <c r="D345" s="5" t="str">
        <f>IFERROR(__xludf.DUMMYFUNCTION("""COMPUTED_VALUE"""),"mAP@0.5")</f>
        <v>mAP@0.5</v>
      </c>
      <c r="E345" s="5" t="str">
        <f>IFERROR(__xludf.DUMMYFUNCTION("""COMPUTED_VALUE"""),"mAP@0.5")</f>
        <v>mAP@0.5</v>
      </c>
      <c r="F345" s="5">
        <f>IFERROR(__xludf.DUMMYFUNCTION("""COMPUTED_VALUE"""),87.8)</f>
        <v>87.8</v>
      </c>
      <c r="G345" s="5">
        <f>IFERROR(__xludf.DUMMYFUNCTION("""COMPUTED_VALUE"""),6.9)</f>
        <v>6.9</v>
      </c>
    </row>
    <row r="346" ht="15.75" customHeight="1">
      <c r="A346" s="5" t="str">
        <f>IFERROR(__xludf.DUMMYFUNCTION("""COMPUTED_VALUE"""),"SCOPUS-000290")</f>
        <v>SCOPUS-000290</v>
      </c>
      <c r="B346" s="5" t="str">
        <f>IFERROR(__xludf.DUMMYFUNCTION("""COMPUTED_VALUE"""),"SCOPUS-000290-4")</f>
        <v>SCOPUS-000290-4</v>
      </c>
      <c r="C346" s="6" t="str">
        <f>IFERROR(__xludf.DUMMYFUNCTION("""COMPUTED_VALUE"""),"YOLOv5x")</f>
        <v>YOLOv5x</v>
      </c>
      <c r="D346" s="5" t="str">
        <f>IFERROR(__xludf.DUMMYFUNCTION("""COMPUTED_VALUE"""),"mAP@0.5")</f>
        <v>mAP@0.5</v>
      </c>
      <c r="E346" s="5" t="str">
        <f>IFERROR(__xludf.DUMMYFUNCTION("""COMPUTED_VALUE"""),"mAP@0.5")</f>
        <v>mAP@0.5</v>
      </c>
      <c r="F346" s="5">
        <f>IFERROR(__xludf.DUMMYFUNCTION("""COMPUTED_VALUE"""),88.2)</f>
        <v>88.2</v>
      </c>
      <c r="G346" s="5">
        <f>IFERROR(__xludf.DUMMYFUNCTION("""COMPUTED_VALUE"""),7.3)</f>
        <v>7.3</v>
      </c>
    </row>
    <row r="347" ht="15.75" customHeight="1">
      <c r="A347" s="5" t="str">
        <f>IFERROR(__xludf.DUMMYFUNCTION("""COMPUTED_VALUE"""),"SCOPUS-000274")</f>
        <v>SCOPUS-000274</v>
      </c>
      <c r="B347" s="5" t="str">
        <f>IFERROR(__xludf.DUMMYFUNCTION("""COMPUTED_VALUE"""),"SCOPUS-000274-1")</f>
        <v>SCOPUS-000274-1</v>
      </c>
      <c r="C347" s="6" t="str">
        <f>IFERROR(__xludf.DUMMYFUNCTION("""COMPUTED_VALUE"""),"GoogleNet")</f>
        <v>GoogleNet</v>
      </c>
      <c r="D347" s="5" t="str">
        <f>IFERROR(__xludf.DUMMYFUNCTION("""COMPUTED_VALUE"""),"Accuracy")</f>
        <v>Accuracy</v>
      </c>
      <c r="E347" s="5" t="str">
        <f>IFERROR(__xludf.DUMMYFUNCTION("""COMPUTED_VALUE"""),"Accuracy")</f>
        <v>Accuracy</v>
      </c>
      <c r="F347" s="5">
        <f>IFERROR(__xludf.DUMMYFUNCTION("""COMPUTED_VALUE"""),83.33)</f>
        <v>83.33</v>
      </c>
      <c r="G347" s="5">
        <f>IFERROR(__xludf.DUMMYFUNCTION("""COMPUTED_VALUE"""),1.8)</f>
        <v>1.8</v>
      </c>
    </row>
    <row r="348" ht="15.75" customHeight="1">
      <c r="A348" s="5" t="str">
        <f>IFERROR(__xludf.DUMMYFUNCTION("""COMPUTED_VALUE"""),"SCOPUS-000274")</f>
        <v>SCOPUS-000274</v>
      </c>
      <c r="B348" s="5" t="str">
        <f>IFERROR(__xludf.DUMMYFUNCTION("""COMPUTED_VALUE"""),"SCOPUS-000274-2")</f>
        <v>SCOPUS-000274-2</v>
      </c>
      <c r="C348" s="6" t="str">
        <f>IFERROR(__xludf.DUMMYFUNCTION("""COMPUTED_VALUE"""),"VGG16")</f>
        <v>VGG16</v>
      </c>
      <c r="D348" s="5" t="str">
        <f>IFERROR(__xludf.DUMMYFUNCTION("""COMPUTED_VALUE"""),"Accuracy")</f>
        <v>Accuracy</v>
      </c>
      <c r="E348" s="5" t="str">
        <f>IFERROR(__xludf.DUMMYFUNCTION("""COMPUTED_VALUE"""),"Accuracy")</f>
        <v>Accuracy</v>
      </c>
      <c r="F348" s="5">
        <f>IFERROR(__xludf.DUMMYFUNCTION("""COMPUTED_VALUE"""),90.12)</f>
        <v>90.12</v>
      </c>
      <c r="G348" s="5">
        <f>IFERROR(__xludf.DUMMYFUNCTION("""COMPUTED_VALUE"""),8.6)</f>
        <v>8.6</v>
      </c>
    </row>
    <row r="349" ht="15.75" customHeight="1">
      <c r="A349" s="5" t="str">
        <f>IFERROR(__xludf.DUMMYFUNCTION("""COMPUTED_VALUE"""),"SCOPUS-000274")</f>
        <v>SCOPUS-000274</v>
      </c>
      <c r="B349" s="5" t="str">
        <f>IFERROR(__xludf.DUMMYFUNCTION("""COMPUTED_VALUE"""),"SCOPUS-000274-3")</f>
        <v>SCOPUS-000274-3</v>
      </c>
      <c r="C349" s="6" t="str">
        <f>IFERROR(__xludf.DUMMYFUNCTION("""COMPUTED_VALUE"""),"VGG19")</f>
        <v>VGG19</v>
      </c>
      <c r="D349" s="5" t="str">
        <f>IFERROR(__xludf.DUMMYFUNCTION("""COMPUTED_VALUE"""),"Accuracy")</f>
        <v>Accuracy</v>
      </c>
      <c r="E349" s="5" t="str">
        <f>IFERROR(__xludf.DUMMYFUNCTION("""COMPUTED_VALUE"""),"Accuracy")</f>
        <v>Accuracy</v>
      </c>
      <c r="F349" s="5">
        <f>IFERROR(__xludf.DUMMYFUNCTION("""COMPUTED_VALUE"""),92.45)</f>
        <v>92.45</v>
      </c>
      <c r="G349" s="5">
        <f>IFERROR(__xludf.DUMMYFUNCTION("""COMPUTED_VALUE"""),10.9)</f>
        <v>10.9</v>
      </c>
    </row>
    <row r="350" ht="15.75" customHeight="1">
      <c r="A350" s="5" t="str">
        <f>IFERROR(__xludf.DUMMYFUNCTION("""COMPUTED_VALUE"""),"SCOPUS-000274")</f>
        <v>SCOPUS-000274</v>
      </c>
      <c r="B350" s="5" t="str">
        <f>IFERROR(__xludf.DUMMYFUNCTION("""COMPUTED_VALUE"""),"SCOPUS-000274-4")</f>
        <v>SCOPUS-000274-4</v>
      </c>
      <c r="C350" s="6" t="str">
        <f>IFERROR(__xludf.DUMMYFUNCTION("""COMPUTED_VALUE"""),"ResNet18")</f>
        <v>ResNet18</v>
      </c>
      <c r="D350" s="5" t="str">
        <f>IFERROR(__xludf.DUMMYFUNCTION("""COMPUTED_VALUE"""),"Accuracy")</f>
        <v>Accuracy</v>
      </c>
      <c r="E350" s="5" t="str">
        <f>IFERROR(__xludf.DUMMYFUNCTION("""COMPUTED_VALUE"""),"Accuracy")</f>
        <v>Accuracy</v>
      </c>
      <c r="F350" s="5">
        <f>IFERROR(__xludf.DUMMYFUNCTION("""COMPUTED_VALUE"""),83.22)</f>
        <v>83.22</v>
      </c>
      <c r="G350" s="5">
        <f>IFERROR(__xludf.DUMMYFUNCTION("""COMPUTED_VALUE"""),1.7)</f>
        <v>1.7</v>
      </c>
    </row>
    <row r="351" ht="15.75" customHeight="1">
      <c r="A351" s="5" t="str">
        <f>IFERROR(__xludf.DUMMYFUNCTION("""COMPUTED_VALUE"""),"SCOPUS-000274")</f>
        <v>SCOPUS-000274</v>
      </c>
      <c r="B351" s="5" t="str">
        <f>IFERROR(__xludf.DUMMYFUNCTION("""COMPUTED_VALUE"""),"SCOPUS-000274-5")</f>
        <v>SCOPUS-000274-5</v>
      </c>
      <c r="C351" s="6" t="str">
        <f>IFERROR(__xludf.DUMMYFUNCTION("""COMPUTED_VALUE"""),"ResNet101")</f>
        <v>ResNet101</v>
      </c>
      <c r="D351" s="5" t="str">
        <f>IFERROR(__xludf.DUMMYFUNCTION("""COMPUTED_VALUE"""),"Accuracy")</f>
        <v>Accuracy</v>
      </c>
      <c r="E351" s="5" t="str">
        <f>IFERROR(__xludf.DUMMYFUNCTION("""COMPUTED_VALUE"""),"Accuracy")</f>
        <v>Accuracy</v>
      </c>
      <c r="F351" s="5">
        <f>IFERROR(__xludf.DUMMYFUNCTION("""COMPUTED_VALUE"""),97.82)</f>
        <v>97.82</v>
      </c>
      <c r="G351" s="5">
        <f>IFERROR(__xludf.DUMMYFUNCTION("""COMPUTED_VALUE"""),16.3)</f>
        <v>16.3</v>
      </c>
    </row>
    <row r="352" ht="15.75" customHeight="1">
      <c r="A352" s="5" t="str">
        <f>IFERROR(__xludf.DUMMYFUNCTION("""COMPUTED_VALUE"""),"SCOPUS-000274")</f>
        <v>SCOPUS-000274</v>
      </c>
      <c r="B352" s="5" t="str">
        <f>IFERROR(__xludf.DUMMYFUNCTION("""COMPUTED_VALUE"""),"SCOPUS-000274-6")</f>
        <v>SCOPUS-000274-6</v>
      </c>
      <c r="C352" s="6" t="str">
        <f>IFERROR(__xludf.DUMMYFUNCTION("""COMPUTED_VALUE"""),"Inception-v3")</f>
        <v>Inception-v3</v>
      </c>
      <c r="D352" s="5" t="str">
        <f>IFERROR(__xludf.DUMMYFUNCTION("""COMPUTED_VALUE"""),"Accuracy")</f>
        <v>Accuracy</v>
      </c>
      <c r="E352" s="5" t="str">
        <f>IFERROR(__xludf.DUMMYFUNCTION("""COMPUTED_VALUE"""),"Accuracy")</f>
        <v>Accuracy</v>
      </c>
      <c r="F352" s="5">
        <f>IFERROR(__xludf.DUMMYFUNCTION("""COMPUTED_VALUE"""),88.11)</f>
        <v>88.11</v>
      </c>
      <c r="G352" s="5">
        <f>IFERROR(__xludf.DUMMYFUNCTION("""COMPUTED_VALUE"""),6.6)</f>
        <v>6.6</v>
      </c>
    </row>
    <row r="353" ht="15.75" customHeight="1">
      <c r="A353" s="5" t="str">
        <f>IFERROR(__xludf.DUMMYFUNCTION("""COMPUTED_VALUE"""),"SCOPUS-000274")</f>
        <v>SCOPUS-000274</v>
      </c>
      <c r="B353" s="5" t="str">
        <f>IFERROR(__xludf.DUMMYFUNCTION("""COMPUTED_VALUE"""),"SCOPUS-000274-7")</f>
        <v>SCOPUS-000274-7</v>
      </c>
      <c r="C353" s="6" t="str">
        <f>IFERROR(__xludf.DUMMYFUNCTION("""COMPUTED_VALUE"""),"MobileNetV2")</f>
        <v>MobileNetV2</v>
      </c>
      <c r="D353" s="5" t="str">
        <f>IFERROR(__xludf.DUMMYFUNCTION("""COMPUTED_VALUE"""),"Accuracy")</f>
        <v>Accuracy</v>
      </c>
      <c r="E353" s="5" t="str">
        <f>IFERROR(__xludf.DUMMYFUNCTION("""COMPUTED_VALUE"""),"Accuracy")</f>
        <v>Accuracy</v>
      </c>
      <c r="F353" s="5">
        <f>IFERROR(__xludf.DUMMYFUNCTION("""COMPUTED_VALUE"""),85.13)</f>
        <v>85.13</v>
      </c>
      <c r="G353" s="5">
        <f>IFERROR(__xludf.DUMMYFUNCTION("""COMPUTED_VALUE"""),3.6)</f>
        <v>3.6</v>
      </c>
    </row>
    <row r="354" ht="15.75" customHeight="1">
      <c r="A354" s="5" t="str">
        <f>IFERROR(__xludf.DUMMYFUNCTION("""COMPUTED_VALUE"""),"SCOPUS-000274")</f>
        <v>SCOPUS-000274</v>
      </c>
      <c r="B354" s="5" t="str">
        <f>IFERROR(__xludf.DUMMYFUNCTION("""COMPUTED_VALUE"""),"SCOPUS-000274-8")</f>
        <v>SCOPUS-000274-8</v>
      </c>
      <c r="C354" s="6" t="str">
        <f>IFERROR(__xludf.DUMMYFUNCTION("""COMPUTED_VALUE"""),"Xception")</f>
        <v>Xception</v>
      </c>
      <c r="D354" s="5" t="str">
        <f>IFERROR(__xludf.DUMMYFUNCTION("""COMPUTED_VALUE"""),"Accuracy")</f>
        <v>Accuracy</v>
      </c>
      <c r="E354" s="5" t="str">
        <f>IFERROR(__xludf.DUMMYFUNCTION("""COMPUTED_VALUE"""),"Accuracy")</f>
        <v>Accuracy</v>
      </c>
      <c r="F354" s="5">
        <f>IFERROR(__xludf.DUMMYFUNCTION("""COMPUTED_VALUE"""),90.23)</f>
        <v>90.23</v>
      </c>
      <c r="G354" s="5">
        <f>IFERROR(__xludf.DUMMYFUNCTION("""COMPUTED_VALUE"""),8.7)</f>
        <v>8.7</v>
      </c>
    </row>
    <row r="355" ht="15.75" customHeight="1">
      <c r="A355" s="5" t="str">
        <f>IFERROR(__xludf.DUMMYFUNCTION("""COMPUTED_VALUE"""),"SCOPUS-000274")</f>
        <v>SCOPUS-000274</v>
      </c>
      <c r="B355" s="5" t="str">
        <f>IFERROR(__xludf.DUMMYFUNCTION("""COMPUTED_VALUE"""),"SCOPUS-000274-9")</f>
        <v>SCOPUS-000274-9</v>
      </c>
      <c r="C355" s="6" t="str">
        <f>IFERROR(__xludf.DUMMYFUNCTION("""COMPUTED_VALUE"""),"EfficientNet-B3")</f>
        <v>EfficientNet-B3</v>
      </c>
      <c r="D355" s="5" t="str">
        <f>IFERROR(__xludf.DUMMYFUNCTION("""COMPUTED_VALUE"""),"Accuracy")</f>
        <v>Accuracy</v>
      </c>
      <c r="E355" s="5" t="str">
        <f>IFERROR(__xludf.DUMMYFUNCTION("""COMPUTED_VALUE"""),"Accuracy")</f>
        <v>Accuracy</v>
      </c>
      <c r="F355" s="5">
        <f>IFERROR(__xludf.DUMMYFUNCTION("""COMPUTED_VALUE"""),88.83)</f>
        <v>88.83</v>
      </c>
      <c r="G355" s="5">
        <f>IFERROR(__xludf.DUMMYFUNCTION("""COMPUTED_VALUE"""),7.3)</f>
        <v>7.3</v>
      </c>
    </row>
    <row r="356" ht="15.75" customHeight="1">
      <c r="A356" s="5" t="str">
        <f>IFERROR(__xludf.DUMMYFUNCTION("""COMPUTED_VALUE"""),"SCOPUS-000274")</f>
        <v>SCOPUS-000274</v>
      </c>
      <c r="B356" s="5" t="str">
        <f>IFERROR(__xludf.DUMMYFUNCTION("""COMPUTED_VALUE"""),"SCOPUS-000274-10")</f>
        <v>SCOPUS-000274-10</v>
      </c>
      <c r="C356" s="6" t="str">
        <f>IFERROR(__xludf.DUMMYFUNCTION("""COMPUTED_VALUE"""),"TinyWeedNet")</f>
        <v>TinyWeedNet</v>
      </c>
      <c r="D356" s="5" t="str">
        <f>IFERROR(__xludf.DUMMYFUNCTION("""COMPUTED_VALUE"""),"Accuracy")</f>
        <v>Accuracy</v>
      </c>
      <c r="E356" s="5" t="str">
        <f>IFERROR(__xludf.DUMMYFUNCTION("""COMPUTED_VALUE"""),"Accuracy")</f>
        <v>Accuracy</v>
      </c>
      <c r="F356" s="5">
        <f>IFERROR(__xludf.DUMMYFUNCTION("""COMPUTED_VALUE"""),97.26)</f>
        <v>97.26</v>
      </c>
      <c r="G356" s="5">
        <f>IFERROR(__xludf.DUMMYFUNCTION("""COMPUTED_VALUE"""),15.7)</f>
        <v>15.7</v>
      </c>
    </row>
    <row r="357" ht="15.75" customHeight="1">
      <c r="A357" s="5" t="str">
        <f>IFERROR(__xludf.DUMMYFUNCTION("""COMPUTED_VALUE"""),"SCOPUS-000131")</f>
        <v>SCOPUS-000131</v>
      </c>
      <c r="B357" s="5" t="str">
        <f>IFERROR(__xludf.DUMMYFUNCTION("""COMPUTED_VALUE"""),"SCOPUS-000131-1")</f>
        <v>SCOPUS-000131-1</v>
      </c>
      <c r="C357" s="6" t="str">
        <f>IFERROR(__xludf.DUMMYFUNCTION("""COMPUTED_VALUE"""),"YOLOv5n")</f>
        <v>YOLOv5n</v>
      </c>
      <c r="D357" s="5" t="str">
        <f>IFERROR(__xludf.DUMMYFUNCTION("""COMPUTED_VALUE"""),"mAP@0.5")</f>
        <v>mAP@0.5</v>
      </c>
      <c r="E357" s="5" t="str">
        <f>IFERROR(__xludf.DUMMYFUNCTION("""COMPUTED_VALUE"""),"mAP@0.5")</f>
        <v>mAP@0.5</v>
      </c>
      <c r="F357" s="5">
        <f>IFERROR(__xludf.DUMMYFUNCTION("""COMPUTED_VALUE"""),90.2)</f>
        <v>90.2</v>
      </c>
      <c r="G357" s="5">
        <f>IFERROR(__xludf.DUMMYFUNCTION("""COMPUTED_VALUE"""),8.6)</f>
        <v>8.6</v>
      </c>
    </row>
    <row r="358" ht="15.75" customHeight="1">
      <c r="A358" s="5" t="str">
        <f>IFERROR(__xludf.DUMMYFUNCTION("""COMPUTED_VALUE"""),"SCOPUS-000131")</f>
        <v>SCOPUS-000131</v>
      </c>
      <c r="B358" s="5" t="str">
        <f>IFERROR(__xludf.DUMMYFUNCTION("""COMPUTED_VALUE"""),"SCOPUS-000131-2")</f>
        <v>SCOPUS-000131-2</v>
      </c>
      <c r="C358" s="6" t="str">
        <f>IFERROR(__xludf.DUMMYFUNCTION("""COMPUTED_VALUE"""),"YOLOv8n")</f>
        <v>YOLOv8n</v>
      </c>
      <c r="D358" s="5" t="str">
        <f>IFERROR(__xludf.DUMMYFUNCTION("""COMPUTED_VALUE"""),"mAP@0.5")</f>
        <v>mAP@0.5</v>
      </c>
      <c r="E358" s="5" t="str">
        <f>IFERROR(__xludf.DUMMYFUNCTION("""COMPUTED_VALUE"""),"mAP@0.5")</f>
        <v>mAP@0.5</v>
      </c>
      <c r="F358" s="5">
        <f>IFERROR(__xludf.DUMMYFUNCTION("""COMPUTED_VALUE"""),91.6)</f>
        <v>91.6</v>
      </c>
      <c r="G358" s="5">
        <f>IFERROR(__xludf.DUMMYFUNCTION("""COMPUTED_VALUE"""),10.0)</f>
        <v>10</v>
      </c>
    </row>
    <row r="359" ht="15.75" customHeight="1">
      <c r="A359" s="5" t="str">
        <f>IFERROR(__xludf.DUMMYFUNCTION("""COMPUTED_VALUE"""),"SCOPUS-000131")</f>
        <v>SCOPUS-000131</v>
      </c>
      <c r="B359" s="5" t="str">
        <f>IFERROR(__xludf.DUMMYFUNCTION("""COMPUTED_VALUE"""),"SCOPUS-000131-3")</f>
        <v>SCOPUS-000131-3</v>
      </c>
      <c r="C359" s="6" t="str">
        <f>IFERROR(__xludf.DUMMYFUNCTION("""COMPUTED_VALUE"""),"YOLOv7-Tiny")</f>
        <v>YOLOv7-Tiny</v>
      </c>
      <c r="D359" s="5" t="str">
        <f>IFERROR(__xludf.DUMMYFUNCTION("""COMPUTED_VALUE"""),"mAP@0.5")</f>
        <v>mAP@0.5</v>
      </c>
      <c r="E359" s="5" t="str">
        <f>IFERROR(__xludf.DUMMYFUNCTION("""COMPUTED_VALUE"""),"mAP@0.5")</f>
        <v>mAP@0.5</v>
      </c>
      <c r="F359" s="5">
        <f>IFERROR(__xludf.DUMMYFUNCTION("""COMPUTED_VALUE"""),92.6)</f>
        <v>92.6</v>
      </c>
      <c r="G359" s="5">
        <f>IFERROR(__xludf.DUMMYFUNCTION("""COMPUTED_VALUE"""),11.0)</f>
        <v>11</v>
      </c>
    </row>
    <row r="360" ht="15.75" customHeight="1">
      <c r="A360" s="5" t="str">
        <f>IFERROR(__xludf.DUMMYFUNCTION("""COMPUTED_VALUE"""),"SCOPUS-000131")</f>
        <v>SCOPUS-000131</v>
      </c>
      <c r="B360" s="5" t="str">
        <f>IFERROR(__xludf.DUMMYFUNCTION("""COMPUTED_VALUE"""),"SCOPUS-000131-4")</f>
        <v>SCOPUS-000131-4</v>
      </c>
      <c r="C360" s="6" t="str">
        <f>IFERROR(__xludf.DUMMYFUNCTION("""COMPUTED_VALUE"""),"YOLOv10n")</f>
        <v>YOLOv10n</v>
      </c>
      <c r="D360" s="5" t="str">
        <f>IFERROR(__xludf.DUMMYFUNCTION("""COMPUTED_VALUE"""),"mAP@0.5")</f>
        <v>mAP@0.5</v>
      </c>
      <c r="E360" s="5" t="str">
        <f>IFERROR(__xludf.DUMMYFUNCTION("""COMPUTED_VALUE"""),"mAP@0.5")</f>
        <v>mAP@0.5</v>
      </c>
      <c r="F360" s="5">
        <f>IFERROR(__xludf.DUMMYFUNCTION("""COMPUTED_VALUE"""),94.5)</f>
        <v>94.5</v>
      </c>
      <c r="G360" s="5">
        <f>IFERROR(__xludf.DUMMYFUNCTION("""COMPUTED_VALUE"""),12.9)</f>
        <v>12.9</v>
      </c>
    </row>
    <row r="361" ht="15.75" customHeight="1">
      <c r="A361" s="5" t="str">
        <f>IFERROR(__xludf.DUMMYFUNCTION("""COMPUTED_VALUE"""),"SCOPUS-000131")</f>
        <v>SCOPUS-000131</v>
      </c>
      <c r="B361" s="5" t="str">
        <f>IFERROR(__xludf.DUMMYFUNCTION("""COMPUTED_VALUE"""),"SCOPUS-000131-5")</f>
        <v>SCOPUS-000131-5</v>
      </c>
      <c r="C361" s="6" t="str">
        <f>IFERROR(__xludf.DUMMYFUNCTION("""COMPUTED_VALUE"""),"YOLOv8s")</f>
        <v>YOLOv8s</v>
      </c>
      <c r="D361" s="5" t="str">
        <f>IFERROR(__xludf.DUMMYFUNCTION("""COMPUTED_VALUE"""),"mAP@0.5")</f>
        <v>mAP@0.5</v>
      </c>
      <c r="E361" s="5" t="str">
        <f>IFERROR(__xludf.DUMMYFUNCTION("""COMPUTED_VALUE"""),"mAP@0.5")</f>
        <v>mAP@0.5</v>
      </c>
      <c r="F361" s="5">
        <f>IFERROR(__xludf.DUMMYFUNCTION("""COMPUTED_VALUE"""),94.8)</f>
        <v>94.8</v>
      </c>
      <c r="G361" s="5">
        <f>IFERROR(__xludf.DUMMYFUNCTION("""COMPUTED_VALUE"""),13.2)</f>
        <v>13.2</v>
      </c>
    </row>
    <row r="362" ht="15.75" customHeight="1">
      <c r="A362" s="5" t="str">
        <f>IFERROR(__xludf.DUMMYFUNCTION("""COMPUTED_VALUE"""),"SCOPUS-000131")</f>
        <v>SCOPUS-000131</v>
      </c>
      <c r="B362" s="5" t="str">
        <f>IFERROR(__xludf.DUMMYFUNCTION("""COMPUTED_VALUE"""),"SCOPUS-000131-6")</f>
        <v>SCOPUS-000131-6</v>
      </c>
      <c r="C362" s="6" t="str">
        <f>IFERROR(__xludf.DUMMYFUNCTION("""COMPUTED_VALUE"""),"YOLO11n")</f>
        <v>YOLO11n</v>
      </c>
      <c r="D362" s="5" t="str">
        <f>IFERROR(__xludf.DUMMYFUNCTION("""COMPUTED_VALUE"""),"mAP@0.5")</f>
        <v>mAP@0.5</v>
      </c>
      <c r="E362" s="5" t="str">
        <f>IFERROR(__xludf.DUMMYFUNCTION("""COMPUTED_VALUE"""),"mAP@0.5")</f>
        <v>mAP@0.5</v>
      </c>
      <c r="F362" s="5">
        <f>IFERROR(__xludf.DUMMYFUNCTION("""COMPUTED_VALUE"""),95.2)</f>
        <v>95.2</v>
      </c>
      <c r="G362" s="5">
        <f>IFERROR(__xludf.DUMMYFUNCTION("""COMPUTED_VALUE"""),13.6)</f>
        <v>13.6</v>
      </c>
    </row>
    <row r="363" ht="15.75" customHeight="1">
      <c r="A363" s="5" t="str">
        <f>IFERROR(__xludf.DUMMYFUNCTION("""COMPUTED_VALUE"""),"SCOPUS-000131")</f>
        <v>SCOPUS-000131</v>
      </c>
      <c r="B363" s="5" t="str">
        <f>IFERROR(__xludf.DUMMYFUNCTION("""COMPUTED_VALUE"""),"SCOPUS-000131-7")</f>
        <v>SCOPUS-000131-7</v>
      </c>
      <c r="C363" s="6" t="str">
        <f>IFERROR(__xludf.DUMMYFUNCTION("""COMPUTED_VALUE"""),"YOLOv8-MLD (20%+ distillation)")</f>
        <v>YOLOv8-MLD (20%+ distillation)</v>
      </c>
      <c r="D363" s="5" t="str">
        <f>IFERROR(__xludf.DUMMYFUNCTION("""COMPUTED_VALUE"""),"mAP@0.5")</f>
        <v>mAP@0.5</v>
      </c>
      <c r="E363" s="5" t="str">
        <f>IFERROR(__xludf.DUMMYFUNCTION("""COMPUTED_VALUE"""),"mAP@0.5")</f>
        <v>mAP@0.5</v>
      </c>
      <c r="F363" s="5">
        <f>IFERROR(__xludf.DUMMYFUNCTION("""COMPUTED_VALUE"""),96.0)</f>
        <v>96</v>
      </c>
      <c r="G363" s="5">
        <f>IFERROR(__xludf.DUMMYFUNCTION("""COMPUTED_VALUE"""),14.4)</f>
        <v>14.4</v>
      </c>
    </row>
    <row r="364" ht="15.75" customHeight="1">
      <c r="A364" s="5" t="str">
        <f>IFERROR(__xludf.DUMMYFUNCTION("""COMPUTED_VALUE"""),"SCOPUS-000131")</f>
        <v>SCOPUS-000131</v>
      </c>
      <c r="B364" s="5" t="str">
        <f>IFERROR(__xludf.DUMMYFUNCTION("""COMPUTED_VALUE"""),"SCOPUS-000131-8")</f>
        <v>SCOPUS-000131-8</v>
      </c>
      <c r="C364" s="6" t="str">
        <f>IFERROR(__xludf.DUMMYFUNCTION("""COMPUTED_VALUE"""),"YOLOv8-MLD (unpruned teacher)")</f>
        <v>YOLOv8-MLD (unpruned teacher)</v>
      </c>
      <c r="D364" s="5" t="str">
        <f>IFERROR(__xludf.DUMMYFUNCTION("""COMPUTED_VALUE"""),"mAP@0.5")</f>
        <v>mAP@0.5</v>
      </c>
      <c r="E364" s="5" t="str">
        <f>IFERROR(__xludf.DUMMYFUNCTION("""COMPUTED_VALUE"""),"mAP@0.5")</f>
        <v>mAP@0.5</v>
      </c>
      <c r="F364" s="5">
        <f>IFERROR(__xludf.DUMMYFUNCTION("""COMPUTED_VALUE"""),96.5)</f>
        <v>96.5</v>
      </c>
      <c r="G364" s="5">
        <f>IFERROR(__xludf.DUMMYFUNCTION("""COMPUTED_VALUE"""),14.9)</f>
        <v>14.9</v>
      </c>
    </row>
    <row r="365" ht="15.75" customHeight="1">
      <c r="A365" s="5" t="str">
        <f>IFERROR(__xludf.DUMMYFUNCTION("""COMPUTED_VALUE"""),"SCOPUS-000001")</f>
        <v>SCOPUS-000001</v>
      </c>
      <c r="B365" s="5" t="str">
        <f>IFERROR(__xludf.DUMMYFUNCTION("""COMPUTED_VALUE"""),"SCOPUS-000001-1")</f>
        <v>SCOPUS-000001-1</v>
      </c>
      <c r="C365" s="6" t="str">
        <f>IFERROR(__xludf.DUMMYFUNCTION("""COMPUTED_VALUE"""),"YOLOv9")</f>
        <v>YOLOv9</v>
      </c>
      <c r="D365" s="5" t="str">
        <f>IFERROR(__xludf.DUMMYFUNCTION("""COMPUTED_VALUE"""),"mAP@0.5")</f>
        <v>mAP@0.5</v>
      </c>
      <c r="E365" s="5" t="str">
        <f>IFERROR(__xludf.DUMMYFUNCTION("""COMPUTED_VALUE"""),"mAP@0.5")</f>
        <v>mAP@0.5</v>
      </c>
      <c r="F365" s="5">
        <f>IFERROR(__xludf.DUMMYFUNCTION("""COMPUTED_VALUE"""),93.5)</f>
        <v>93.5</v>
      </c>
      <c r="G365" s="15">
        <f>IFERROR(__xludf.DUMMYFUNCTION("""COMPUTED_VALUE"""),7.0)</f>
        <v>7</v>
      </c>
    </row>
    <row r="366" ht="15.75" customHeight="1">
      <c r="A366" s="5" t="str">
        <f>IFERROR(__xludf.DUMMYFUNCTION("""COMPUTED_VALUE"""),"SCOPUS-000001")</f>
        <v>SCOPUS-000001</v>
      </c>
      <c r="B366" s="5" t="str">
        <f>IFERROR(__xludf.DUMMYFUNCTION("""COMPUTED_VALUE"""),"SCOPUS-000001-2")</f>
        <v>SCOPUS-000001-2</v>
      </c>
      <c r="C366" s="6" t="str">
        <f>IFERROR(__xludf.DUMMYFUNCTION("""COMPUTED_VALUE"""),"YOLOv8")</f>
        <v>YOLOv8</v>
      </c>
      <c r="D366" s="5" t="str">
        <f>IFERROR(__xludf.DUMMYFUNCTION("""COMPUTED_VALUE"""),"mAP@0.5")</f>
        <v>mAP@0.5</v>
      </c>
      <c r="E366" s="5" t="str">
        <f>IFERROR(__xludf.DUMMYFUNCTION("""COMPUTED_VALUE"""),"mAP@0.5")</f>
        <v>mAP@0.5</v>
      </c>
      <c r="F366" s="5">
        <f>IFERROR(__xludf.DUMMYFUNCTION("""COMPUTED_VALUE"""),92.5)</f>
        <v>92.5</v>
      </c>
      <c r="G366" s="15">
        <f>IFERROR(__xludf.DUMMYFUNCTION("""COMPUTED_VALUE"""),6.0)</f>
        <v>6</v>
      </c>
    </row>
    <row r="367" ht="15.75" customHeight="1">
      <c r="A367" s="5" t="str">
        <f>IFERROR(__xludf.DUMMYFUNCTION("""COMPUTED_VALUE"""),"SCOPUS-000001")</f>
        <v>SCOPUS-000001</v>
      </c>
      <c r="B367" s="5" t="str">
        <f>IFERROR(__xludf.DUMMYFUNCTION("""COMPUTED_VALUE"""),"SCOPUS-000001-3")</f>
        <v>SCOPUS-000001-3</v>
      </c>
      <c r="C367" s="6" t="str">
        <f>IFERROR(__xludf.DUMMYFUNCTION("""COMPUTED_VALUE"""),"YOLOv11")</f>
        <v>YOLOv11</v>
      </c>
      <c r="D367" s="5" t="str">
        <f>IFERROR(__xludf.DUMMYFUNCTION("""COMPUTED_VALUE"""),"mAP@0.5")</f>
        <v>mAP@0.5</v>
      </c>
      <c r="E367" s="5" t="str">
        <f>IFERROR(__xludf.DUMMYFUNCTION("""COMPUTED_VALUE"""),"mAP@0.5")</f>
        <v>mAP@0.5</v>
      </c>
      <c r="F367" s="5">
        <f>IFERROR(__xludf.DUMMYFUNCTION("""COMPUTED_VALUE"""),92.1)</f>
        <v>92.1</v>
      </c>
      <c r="G367" s="15">
        <f>IFERROR(__xludf.DUMMYFUNCTION("""COMPUTED_VALUE"""),5.6)</f>
        <v>5.6</v>
      </c>
    </row>
    <row r="368" ht="15.75" customHeight="1">
      <c r="A368" s="5" t="str">
        <f>IFERROR(__xludf.DUMMYFUNCTION("""COMPUTED_VALUE"""),"SCOPUS-000012")</f>
        <v>SCOPUS-000012</v>
      </c>
      <c r="B368" s="5" t="str">
        <f>IFERROR(__xludf.DUMMYFUNCTION("""COMPUTED_VALUE"""),"SCOPUS-000012-1")</f>
        <v>SCOPUS-000012-1</v>
      </c>
      <c r="C368" s="6" t="str">
        <f>IFERROR(__xludf.DUMMYFUNCTION("""COMPUTED_VALUE"""),"EfficientNet (4-class ROI)")</f>
        <v>EfficientNet (4-class ROI)</v>
      </c>
      <c r="D368" s="5" t="str">
        <f>IFERROR(__xludf.DUMMYFUNCTION("""COMPUTED_VALUE"""),"Acc")</f>
        <v>Acc</v>
      </c>
      <c r="E368" s="5" t="str">
        <f>IFERROR(__xludf.DUMMYFUNCTION("""COMPUTED_VALUE"""),"Accuracy")</f>
        <v>Accuracy</v>
      </c>
      <c r="F368" s="5">
        <f>IFERROR(__xludf.DUMMYFUNCTION("""COMPUTED_VALUE"""),89.55)</f>
        <v>89.55</v>
      </c>
      <c r="G368" s="15">
        <f>IFERROR(__xludf.DUMMYFUNCTION("""COMPUTED_VALUE"""),3.0)</f>
        <v>3</v>
      </c>
    </row>
    <row r="369" ht="15.75" customHeight="1">
      <c r="A369" s="5" t="str">
        <f>IFERROR(__xludf.DUMMYFUNCTION("""COMPUTED_VALUE"""),"SCOPUS-000012")</f>
        <v>SCOPUS-000012</v>
      </c>
      <c r="B369" s="5" t="str">
        <f>IFERROR(__xludf.DUMMYFUNCTION("""COMPUTED_VALUE"""),"SCOPUS-000012-2")</f>
        <v>SCOPUS-000012-2</v>
      </c>
      <c r="C369" s="6" t="str">
        <f>IFERROR(__xludf.DUMMYFUNCTION("""COMPUTED_VALUE"""),"Xception (4-class ROI)")</f>
        <v>Xception (4-class ROI)</v>
      </c>
      <c r="D369" s="5" t="str">
        <f>IFERROR(__xludf.DUMMYFUNCTION("""COMPUTED_VALUE"""),"Acc")</f>
        <v>Acc</v>
      </c>
      <c r="E369" s="5" t="str">
        <f>IFERROR(__xludf.DUMMYFUNCTION("""COMPUTED_VALUE"""),"Accuracy")</f>
        <v>Accuracy</v>
      </c>
      <c r="F369" s="5">
        <f>IFERROR(__xludf.DUMMYFUNCTION("""COMPUTED_VALUE"""),86.57)</f>
        <v>86.57</v>
      </c>
      <c r="G369" s="15">
        <f>IFERROR(__xludf.DUMMYFUNCTION("""COMPUTED_VALUE"""),0.0)</f>
        <v>0</v>
      </c>
    </row>
    <row r="370" ht="15.75" customHeight="1">
      <c r="A370" s="5" t="str">
        <f>IFERROR(__xludf.DUMMYFUNCTION("""COMPUTED_VALUE"""),"SCOPUS-000027")</f>
        <v>SCOPUS-000027</v>
      </c>
      <c r="B370" s="5" t="str">
        <f>IFERROR(__xludf.DUMMYFUNCTION("""COMPUTED_VALUE"""),"SCOPUS-000027-1")</f>
        <v>SCOPUS-000027-1</v>
      </c>
      <c r="C370" s="6" t="str">
        <f>IFERROR(__xludf.DUMMYFUNCTION("""COMPUTED_VALUE"""),"Gemini Flash 2.5")</f>
        <v>Gemini Flash 2.5</v>
      </c>
      <c r="D370" s="5" t="str">
        <f>IFERROR(__xludf.DUMMYFUNCTION("""COMPUTED_VALUE"""),"WD acc")</f>
        <v>WD acc</v>
      </c>
      <c r="E370" s="5" t="str">
        <f>IFERROR(__xludf.DUMMYFUNCTION("""COMPUTED_VALUE"""),"Accuracy")</f>
        <v>Accuracy</v>
      </c>
      <c r="F370" s="5">
        <f>IFERROR(__xludf.DUMMYFUNCTION("""COMPUTED_VALUE"""),74.6)</f>
        <v>74.6</v>
      </c>
      <c r="G370" s="15">
        <f>IFERROR(__xludf.DUMMYFUNCTION("""COMPUTED_VALUE"""),29.7)</f>
        <v>29.7</v>
      </c>
    </row>
    <row r="371" ht="15.75" customHeight="1">
      <c r="A371" s="5" t="str">
        <f>IFERROR(__xludf.DUMMYFUNCTION("""COMPUTED_VALUE"""),"SCOPUS-000027")</f>
        <v>SCOPUS-000027</v>
      </c>
      <c r="B371" s="5" t="str">
        <f>IFERROR(__xludf.DUMMYFUNCTION("""COMPUTED_VALUE"""),"SCOPUS-000027-2")</f>
        <v>SCOPUS-000027-2</v>
      </c>
      <c r="C371" s="6" t="str">
        <f>IFERROR(__xludf.DUMMYFUNCTION("""COMPUTED_VALUE"""),"Gemini Flash Lite 2.5")</f>
        <v>Gemini Flash Lite 2.5</v>
      </c>
      <c r="D371" s="5" t="str">
        <f>IFERROR(__xludf.DUMMYFUNCTION("""COMPUTED_VALUE"""),"WD acc")</f>
        <v>WD acc</v>
      </c>
      <c r="E371" s="5" t="str">
        <f>IFERROR(__xludf.DUMMYFUNCTION("""COMPUTED_VALUE"""),"Accuracy")</f>
        <v>Accuracy</v>
      </c>
      <c r="F371" s="5">
        <f>IFERROR(__xludf.DUMMYFUNCTION("""COMPUTED_VALUE"""),68.25)</f>
        <v>68.25</v>
      </c>
      <c r="G371" s="15">
        <f>IFERROR(__xludf.DUMMYFUNCTION("""COMPUTED_VALUE"""),23.4)</f>
        <v>23.4</v>
      </c>
    </row>
    <row r="372" ht="15.75" customHeight="1">
      <c r="A372" s="5" t="str">
        <f>IFERROR(__xludf.DUMMYFUNCTION("""COMPUTED_VALUE"""),"SCOPUS-000047")</f>
        <v>SCOPUS-000047</v>
      </c>
      <c r="B372" s="5" t="str">
        <f>IFERROR(__xludf.DUMMYFUNCTION("""COMPUTED_VALUE"""),"SCOPUS-000047-1")</f>
        <v>SCOPUS-000047-1</v>
      </c>
      <c r="C372" s="6" t="str">
        <f>IFERROR(__xludf.DUMMYFUNCTION("""COMPUTED_VALUE"""),"SPH+MSCA")</f>
        <v>SPH+MSCA</v>
      </c>
      <c r="D372" s="5" t="str">
        <f>IFERROR(__xludf.DUMMYFUNCTION("""COMPUTED_VALUE"""),"mAP@50")</f>
        <v>mAP@50</v>
      </c>
      <c r="E372" s="5" t="str">
        <f>IFERROR(__xludf.DUMMYFUNCTION("""COMPUTED_VALUE"""),"mAP@0.5")</f>
        <v>mAP@0.5</v>
      </c>
      <c r="F372" s="5">
        <f>IFERROR(__xludf.DUMMYFUNCTION("""COMPUTED_VALUE"""),96.4)</f>
        <v>96.4</v>
      </c>
      <c r="G372" s="15">
        <f>IFERROR(__xludf.DUMMYFUNCTION("""COMPUTED_VALUE"""),2.7)</f>
        <v>2.7</v>
      </c>
    </row>
    <row r="373" ht="15.75" customHeight="1">
      <c r="A373" s="5" t="str">
        <f>IFERROR(__xludf.DUMMYFUNCTION("""COMPUTED_VALUE"""),"SCOPUS-000047")</f>
        <v>SCOPUS-000047</v>
      </c>
      <c r="B373" s="5" t="str">
        <f>IFERROR(__xludf.DUMMYFUNCTION("""COMPUTED_VALUE"""),"SCOPUS-000047-2")</f>
        <v>SCOPUS-000047-2</v>
      </c>
      <c r="C373" s="6" t="str">
        <f>IFERROR(__xludf.DUMMYFUNCTION("""COMPUTED_VALUE"""),"QseedNet (SPH+REP+MSCA)")</f>
        <v>QseedNet (SPH+REP+MSCA)</v>
      </c>
      <c r="D373" s="5" t="str">
        <f>IFERROR(__xludf.DUMMYFUNCTION("""COMPUTED_VALUE"""),"mAP@50")</f>
        <v>mAP@50</v>
      </c>
      <c r="E373" s="5" t="str">
        <f>IFERROR(__xludf.DUMMYFUNCTION("""COMPUTED_VALUE"""),"mAP@0.5")</f>
        <v>mAP@0.5</v>
      </c>
      <c r="F373" s="5">
        <f>IFERROR(__xludf.DUMMYFUNCTION("""COMPUTED_VALUE"""),95.1)</f>
        <v>95.1</v>
      </c>
      <c r="G373" s="15">
        <f>IFERROR(__xludf.DUMMYFUNCTION("""COMPUTED_VALUE"""),1.4)</f>
        <v>1.4</v>
      </c>
    </row>
    <row r="374" ht="15.75" customHeight="1">
      <c r="A374" s="5" t="str">
        <f>IFERROR(__xludf.DUMMYFUNCTION("""COMPUTED_VALUE"""),"SCOPUS-000047")</f>
        <v>SCOPUS-000047</v>
      </c>
      <c r="B374" s="5" t="str">
        <f>IFERROR(__xludf.DUMMYFUNCTION("""COMPUTED_VALUE"""),"SCOPUS-000047-3")</f>
        <v>SCOPUS-000047-3</v>
      </c>
      <c r="C374" s="6" t="str">
        <f>IFERROR(__xludf.DUMMYFUNCTION("""COMPUTED_VALUE"""),"SPH (YOLOv8n+P2−P5)")</f>
        <v>SPH (YOLOv8n+P2−P5)</v>
      </c>
      <c r="D374" s="5" t="str">
        <f>IFERROR(__xludf.DUMMYFUNCTION("""COMPUTED_VALUE"""),"mAP@50")</f>
        <v>mAP@50</v>
      </c>
      <c r="E374" s="5" t="str">
        <f>IFERROR(__xludf.DUMMYFUNCTION("""COMPUTED_VALUE"""),"mAP@0.5")</f>
        <v>mAP@0.5</v>
      </c>
      <c r="F374" s="5">
        <f>IFERROR(__xludf.DUMMYFUNCTION("""COMPUTED_VALUE"""),95.9)</f>
        <v>95.9</v>
      </c>
      <c r="G374" s="15">
        <f>IFERROR(__xludf.DUMMYFUNCTION("""COMPUTED_VALUE"""),2.2)</f>
        <v>2.2</v>
      </c>
    </row>
    <row r="375" ht="15.75" customHeight="1">
      <c r="A375" s="5" t="str">
        <f>IFERROR(__xludf.DUMMYFUNCTION("""COMPUTED_VALUE"""),"SCOPUS-000049")</f>
        <v>SCOPUS-000049</v>
      </c>
      <c r="B375" s="5" t="str">
        <f>IFERROR(__xludf.DUMMYFUNCTION("""COMPUTED_VALUE"""),"SCOPUS-000049-1")</f>
        <v>SCOPUS-000049-1</v>
      </c>
      <c r="C375" s="6" t="str">
        <f>IFERROR(__xludf.DUMMYFUNCTION("""COMPUTED_VALUE"""),"ViT-B/16 (class weighting + augmentation)")</f>
        <v>ViT-B/16 (class weighting + augmentation)</v>
      </c>
      <c r="D375" s="5" t="str">
        <f>IFERROR(__xludf.DUMMYFUNCTION("""COMPUTED_VALUE"""),"Accuracy")</f>
        <v>Accuracy</v>
      </c>
      <c r="E375" s="5" t="str">
        <f>IFERROR(__xludf.DUMMYFUNCTION("""COMPUTED_VALUE"""),"Accuracy")</f>
        <v>Accuracy</v>
      </c>
      <c r="F375" s="5">
        <f>IFERROR(__xludf.DUMMYFUNCTION("""COMPUTED_VALUE"""),96.9)</f>
        <v>96.9</v>
      </c>
      <c r="G375" s="15">
        <f>IFERROR(__xludf.DUMMYFUNCTION("""COMPUTED_VALUE"""),1.3)</f>
        <v>1.3</v>
      </c>
    </row>
    <row r="376" ht="15.75" customHeight="1">
      <c r="A376" s="5" t="str">
        <f>IFERROR(__xludf.DUMMYFUNCTION("""COMPUTED_VALUE"""),"SCOPUS-000049")</f>
        <v>SCOPUS-000049</v>
      </c>
      <c r="B376" s="5" t="str">
        <f>IFERROR(__xludf.DUMMYFUNCTION("""COMPUTED_VALUE"""),"SCOPUS-000049-2")</f>
        <v>SCOPUS-000049-2</v>
      </c>
      <c r="C376" s="6" t="str">
        <f>IFERROR(__xludf.DUMMYFUNCTION("""COMPUTED_VALUE"""),"ViT-B/16 (oversampling)")</f>
        <v>ViT-B/16 (oversampling)</v>
      </c>
      <c r="D376" s="5" t="str">
        <f>IFERROR(__xludf.DUMMYFUNCTION("""COMPUTED_VALUE"""),"Accuracy")</f>
        <v>Accuracy</v>
      </c>
      <c r="E376" s="5" t="str">
        <f>IFERROR(__xludf.DUMMYFUNCTION("""COMPUTED_VALUE"""),"Accuracy")</f>
        <v>Accuracy</v>
      </c>
      <c r="F376" s="5">
        <f>IFERROR(__xludf.DUMMYFUNCTION("""COMPUTED_VALUE"""),94.0)</f>
        <v>94</v>
      </c>
      <c r="G376" s="15">
        <f>IFERROR(__xludf.DUMMYFUNCTION("""COMPUTED_VALUE"""),-1.6)</f>
        <v>-1.6</v>
      </c>
    </row>
    <row r="377" ht="15.75" customHeight="1">
      <c r="A377" s="5" t="str">
        <f>IFERROR(__xludf.DUMMYFUNCTION("""COMPUTED_VALUE"""),"SCOPUS-000059")</f>
        <v>SCOPUS-000059</v>
      </c>
      <c r="B377" s="5" t="str">
        <f>IFERROR(__xludf.DUMMYFUNCTION("""COMPUTED_VALUE"""),"SCOPUS-000059-1")</f>
        <v>SCOPUS-000059-1</v>
      </c>
      <c r="C377" s="6" t="str">
        <f>IFERROR(__xludf.DUMMYFUNCTION("""COMPUTED_VALUE"""),"Fuzzy rank fusion (tanh+exp+softplus)")</f>
        <v>Fuzzy rank fusion (tanh+exp+softplus)</v>
      </c>
      <c r="D377" s="5" t="str">
        <f>IFERROR(__xludf.DUMMYFUNCTION("""COMPUTED_VALUE"""),"Accuracy")</f>
        <v>Accuracy</v>
      </c>
      <c r="E377" s="5" t="str">
        <f>IFERROR(__xludf.DUMMYFUNCTION("""COMPUTED_VALUE"""),"Accuracy")</f>
        <v>Accuracy</v>
      </c>
      <c r="F377" s="5">
        <f>IFERROR(__xludf.DUMMYFUNCTION("""COMPUTED_VALUE"""),99.1)</f>
        <v>99.1</v>
      </c>
      <c r="G377" s="15">
        <f>IFERROR(__xludf.DUMMYFUNCTION("""COMPUTED_VALUE"""),0.2)</f>
        <v>0.2</v>
      </c>
    </row>
    <row r="378" ht="15.75" customHeight="1">
      <c r="A378" s="5" t="str">
        <f>IFERROR(__xludf.DUMMYFUNCTION("""COMPUTED_VALUE"""),"SCOPUS-000059")</f>
        <v>SCOPUS-000059</v>
      </c>
      <c r="B378" s="5" t="str">
        <f>IFERROR(__xludf.DUMMYFUNCTION("""COMPUTED_VALUE"""),"SCOPUS-000059-2")</f>
        <v>SCOPUS-000059-2</v>
      </c>
      <c r="C378" s="6" t="str">
        <f>IFERROR(__xludf.DUMMYFUNCTION("""COMPUTED_VALUE"""),"Fusion Model 1 (exp+softplus)")</f>
        <v>Fusion Model 1 (exp+softplus)</v>
      </c>
      <c r="D378" s="5" t="str">
        <f>IFERROR(__xludf.DUMMYFUNCTION("""COMPUTED_VALUE"""),"Accuracy")</f>
        <v>Accuracy</v>
      </c>
      <c r="E378" s="5" t="str">
        <f>IFERROR(__xludf.DUMMYFUNCTION("""COMPUTED_VALUE"""),"Accuracy")</f>
        <v>Accuracy</v>
      </c>
      <c r="F378" s="5">
        <f>IFERROR(__xludf.DUMMYFUNCTION("""COMPUTED_VALUE"""),99.05)</f>
        <v>99.05</v>
      </c>
      <c r="G378" s="15">
        <f>IFERROR(__xludf.DUMMYFUNCTION("""COMPUTED_VALUE"""),0.1)</f>
        <v>0.1</v>
      </c>
    </row>
    <row r="379" ht="15.75" customHeight="1">
      <c r="A379" s="5" t="str">
        <f>IFERROR(__xludf.DUMMYFUNCTION("""COMPUTED_VALUE"""),"SCOPUS-000059")</f>
        <v>SCOPUS-000059</v>
      </c>
      <c r="B379" s="5" t="str">
        <f>IFERROR(__xludf.DUMMYFUNCTION("""COMPUTED_VALUE"""),"SCOPUS-000059-3")</f>
        <v>SCOPUS-000059-3</v>
      </c>
      <c r="C379" s="6" t="str">
        <f>IFERROR(__xludf.DUMMYFUNCTION("""COMPUTED_VALUE"""),"Fusion Model 2 (tanh+exp)")</f>
        <v>Fusion Model 2 (tanh+exp)</v>
      </c>
      <c r="D379" s="5" t="str">
        <f>IFERROR(__xludf.DUMMYFUNCTION("""COMPUTED_VALUE"""),"Accuracy")</f>
        <v>Accuracy</v>
      </c>
      <c r="E379" s="5" t="str">
        <f>IFERROR(__xludf.DUMMYFUNCTION("""COMPUTED_VALUE"""),"Accuracy")</f>
        <v>Accuracy</v>
      </c>
      <c r="F379" s="5">
        <f>IFERROR(__xludf.DUMMYFUNCTION("""COMPUTED_VALUE"""),99.02)</f>
        <v>99.02</v>
      </c>
      <c r="G379" s="15">
        <f>IFERROR(__xludf.DUMMYFUNCTION("""COMPUTED_VALUE"""),0.1)</f>
        <v>0.1</v>
      </c>
    </row>
    <row r="380" ht="15.75" customHeight="1">
      <c r="A380" s="5" t="str">
        <f>IFERROR(__xludf.DUMMYFUNCTION("""COMPUTED_VALUE"""),"SCOPUS-000067")</f>
        <v>SCOPUS-000067</v>
      </c>
      <c r="B380" s="5" t="str">
        <f>IFERROR(__xludf.DUMMYFUNCTION("""COMPUTED_VALUE"""),"SCOPUS-000067-1")</f>
        <v>SCOPUS-000067-1</v>
      </c>
      <c r="C380" s="6" t="str">
        <f>IFERROR(__xludf.DUMMYFUNCTION("""COMPUTED_VALUE"""),"MF-WFS-LDA")</f>
        <v>MF-WFS-LDA</v>
      </c>
      <c r="D380" s="5" t="str">
        <f>IFERROR(__xludf.DUMMYFUNCTION("""COMPUTED_VALUE"""),"Accuracy")</f>
        <v>Accuracy</v>
      </c>
      <c r="E380" s="5" t="str">
        <f>IFERROR(__xludf.DUMMYFUNCTION("""COMPUTED_VALUE"""),"Accuracy")</f>
        <v>Accuracy</v>
      </c>
      <c r="F380" s="5">
        <f>IFERROR(__xludf.DUMMYFUNCTION("""COMPUTED_VALUE"""),96.67)</f>
        <v>96.67</v>
      </c>
      <c r="G380" s="15">
        <f>IFERROR(__xludf.DUMMYFUNCTION("""COMPUTED_VALUE"""),2.0)</f>
        <v>2</v>
      </c>
    </row>
    <row r="381" ht="15.75" customHeight="1">
      <c r="A381" s="5" t="str">
        <f>IFERROR(__xludf.DUMMYFUNCTION("""COMPUTED_VALUE"""),"SCOPUS-000067")</f>
        <v>SCOPUS-000067</v>
      </c>
      <c r="B381" s="5" t="str">
        <f>IFERROR(__xludf.DUMMYFUNCTION("""COMPUTED_VALUE"""),"SCOPUS-000067-2")</f>
        <v>SCOPUS-000067-2</v>
      </c>
      <c r="C381" s="6" t="str">
        <f>IFERROR(__xludf.DUMMYFUNCTION("""COMPUTED_VALUE"""),"MWA-WFS-LDA")</f>
        <v>MWA-WFS-LDA</v>
      </c>
      <c r="D381" s="5" t="str">
        <f>IFERROR(__xludf.DUMMYFUNCTION("""COMPUTED_VALUE"""),"Accuracy")</f>
        <v>Accuracy</v>
      </c>
      <c r="E381" s="5" t="str">
        <f>IFERROR(__xludf.DUMMYFUNCTION("""COMPUTED_VALUE"""),"Accuracy")</f>
        <v>Accuracy</v>
      </c>
      <c r="F381" s="5">
        <f>IFERROR(__xludf.DUMMYFUNCTION("""COMPUTED_VALUE"""),96.0)</f>
        <v>96</v>
      </c>
      <c r="G381" s="15">
        <f>IFERROR(__xludf.DUMMYFUNCTION("""COMPUTED_VALUE"""),1.3)</f>
        <v>1.3</v>
      </c>
    </row>
    <row r="382" ht="15.75" customHeight="1">
      <c r="A382" s="5" t="str">
        <f>IFERROR(__xludf.DUMMYFUNCTION("""COMPUTED_VALUE"""),"SCOPUS-000067")</f>
        <v>SCOPUS-000067</v>
      </c>
      <c r="B382" s="5" t="str">
        <f>IFERROR(__xludf.DUMMYFUNCTION("""COMPUTED_VALUE"""),"SCOPUS-000067-3")</f>
        <v>SCOPUS-000067-3</v>
      </c>
      <c r="C382" s="6" t="str">
        <f>IFERROR(__xludf.DUMMYFUNCTION("""COMPUTED_VALUE"""),"SGS-WFS-LDA")</f>
        <v>SGS-WFS-LDA</v>
      </c>
      <c r="D382" s="5" t="str">
        <f>IFERROR(__xludf.DUMMYFUNCTION("""COMPUTED_VALUE"""),"Accuracy")</f>
        <v>Accuracy</v>
      </c>
      <c r="E382" s="5" t="str">
        <f>IFERROR(__xludf.DUMMYFUNCTION("""COMPUTED_VALUE"""),"Accuracy")</f>
        <v>Accuracy</v>
      </c>
      <c r="F382" s="5">
        <f>IFERROR(__xludf.DUMMYFUNCTION("""COMPUTED_VALUE"""),96.0)</f>
        <v>96</v>
      </c>
      <c r="G382" s="15">
        <f>IFERROR(__xludf.DUMMYFUNCTION("""COMPUTED_VALUE"""),1.3)</f>
        <v>1.3</v>
      </c>
    </row>
    <row r="383" ht="15.75" customHeight="1">
      <c r="A383" s="5" t="str">
        <f>IFERROR(__xludf.DUMMYFUNCTION("""COMPUTED_VALUE"""),"SCOPUS-000076")</f>
        <v>SCOPUS-000076</v>
      </c>
      <c r="B383" s="5" t="str">
        <f>IFERROR(__xludf.DUMMYFUNCTION("""COMPUTED_VALUE"""),"SCOPUS-000076-1")</f>
        <v>SCOPUS-000076-1</v>
      </c>
      <c r="C383" s="6" t="str">
        <f>IFERROR(__xludf.DUMMYFUNCTION("""COMPUTED_VALUE"""),"Mamba-Weed (SDI+LAE)")</f>
        <v>Mamba-Weed (SDI+LAE)</v>
      </c>
      <c r="D383" s="5" t="str">
        <f>IFERROR(__xludf.DUMMYFUNCTION("""COMPUTED_VALUE"""),"mAP@50")</f>
        <v>mAP@50</v>
      </c>
      <c r="E383" s="5" t="str">
        <f>IFERROR(__xludf.DUMMYFUNCTION("""COMPUTED_VALUE"""),"mAP@0.5")</f>
        <v>mAP@0.5</v>
      </c>
      <c r="F383" s="5">
        <f>IFERROR(__xludf.DUMMYFUNCTION("""COMPUTED_VALUE"""),93.8)</f>
        <v>93.8</v>
      </c>
      <c r="G383" s="15">
        <f>IFERROR(__xludf.DUMMYFUNCTION("""COMPUTED_VALUE"""),1.1)</f>
        <v>1.1</v>
      </c>
    </row>
    <row r="384" ht="15.75" customHeight="1">
      <c r="A384" s="5" t="str">
        <f>IFERROR(__xludf.DUMMYFUNCTION("""COMPUTED_VALUE"""),"SCOPUS-000076")</f>
        <v>SCOPUS-000076</v>
      </c>
      <c r="B384" s="5" t="str">
        <f>IFERROR(__xludf.DUMMYFUNCTION("""COMPUTED_VALUE"""),"SCOPUS-000076-2")</f>
        <v>SCOPUS-000076-2</v>
      </c>
      <c r="C384" s="6" t="str">
        <f>IFERROR(__xludf.DUMMYFUNCTION("""COMPUTED_VALUE"""),"Mamba-Origin + LAE")</f>
        <v>Mamba-Origin + LAE</v>
      </c>
      <c r="D384" s="5" t="str">
        <f>IFERROR(__xludf.DUMMYFUNCTION("""COMPUTED_VALUE"""),"mAP@50")</f>
        <v>mAP@50</v>
      </c>
      <c r="E384" s="5" t="str">
        <f>IFERROR(__xludf.DUMMYFUNCTION("""COMPUTED_VALUE"""),"mAP@0.5")</f>
        <v>mAP@0.5</v>
      </c>
      <c r="F384" s="5">
        <f>IFERROR(__xludf.DUMMYFUNCTION("""COMPUTED_VALUE"""),93.6)</f>
        <v>93.6</v>
      </c>
      <c r="G384" s="15">
        <f>IFERROR(__xludf.DUMMYFUNCTION("""COMPUTED_VALUE"""),0.9)</f>
        <v>0.9</v>
      </c>
    </row>
    <row r="385" ht="15.75" customHeight="1">
      <c r="A385" s="5" t="str">
        <f>IFERROR(__xludf.DUMMYFUNCTION("""COMPUTED_VALUE"""),"SCOPUS-000076")</f>
        <v>SCOPUS-000076</v>
      </c>
      <c r="B385" s="5" t="str">
        <f>IFERROR(__xludf.DUMMYFUNCTION("""COMPUTED_VALUE"""),"SCOPUS-000076-3")</f>
        <v>SCOPUS-000076-3</v>
      </c>
      <c r="C385" s="6" t="str">
        <f>IFERROR(__xludf.DUMMYFUNCTION("""COMPUTED_VALUE"""),"YOLOv12n")</f>
        <v>YOLOv12n</v>
      </c>
      <c r="D385" s="5" t="str">
        <f>IFERROR(__xludf.DUMMYFUNCTION("""COMPUTED_VALUE"""),"mAP@50")</f>
        <v>mAP@50</v>
      </c>
      <c r="E385" s="5" t="str">
        <f>IFERROR(__xludf.DUMMYFUNCTION("""COMPUTED_VALUE"""),"mAP@0.5")</f>
        <v>mAP@0.5</v>
      </c>
      <c r="F385" s="5">
        <f>IFERROR(__xludf.DUMMYFUNCTION("""COMPUTED_VALUE"""),93.2)</f>
        <v>93.2</v>
      </c>
      <c r="G385" s="15">
        <f>IFERROR(__xludf.DUMMYFUNCTION("""COMPUTED_VALUE"""),0.5)</f>
        <v>0.5</v>
      </c>
    </row>
    <row r="386" ht="15.75" customHeight="1">
      <c r="A386" s="5" t="str">
        <f>IFERROR(__xludf.DUMMYFUNCTION("""COMPUTED_VALUE"""),"SCOPUS-000087")</f>
        <v>SCOPUS-000087</v>
      </c>
      <c r="B386" s="5" t="str">
        <f>IFERROR(__xludf.DUMMYFUNCTION("""COMPUTED_VALUE"""),"SCOPUS-000087-1")</f>
        <v>SCOPUS-000087-1</v>
      </c>
      <c r="C386" s="6" t="str">
        <f>IFERROR(__xludf.DUMMYFUNCTION("""COMPUTED_VALUE"""),"MobileNetV2 (TL + augmentation)")</f>
        <v>MobileNetV2 (TL + augmentation)</v>
      </c>
      <c r="D386" s="5" t="str">
        <f>IFERROR(__xludf.DUMMYFUNCTION("""COMPUTED_VALUE"""),"Accuracy")</f>
        <v>Accuracy</v>
      </c>
      <c r="E386" s="5" t="str">
        <f>IFERROR(__xludf.DUMMYFUNCTION("""COMPUTED_VALUE"""),"Accuracy")</f>
        <v>Accuracy</v>
      </c>
      <c r="F386" s="5">
        <f>IFERROR(__xludf.DUMMYFUNCTION("""COMPUTED_VALUE"""),96.6)</f>
        <v>96.6</v>
      </c>
      <c r="G386" s="15">
        <f>IFERROR(__xludf.DUMMYFUNCTION("""COMPUTED_VALUE"""),1.6)</f>
        <v>1.6</v>
      </c>
    </row>
    <row r="387" ht="15.75" customHeight="1">
      <c r="A387" s="5" t="str">
        <f>IFERROR(__xludf.DUMMYFUNCTION("""COMPUTED_VALUE"""),"SCOPUS-000087")</f>
        <v>SCOPUS-000087</v>
      </c>
      <c r="B387" s="5" t="str">
        <f>IFERROR(__xludf.DUMMYFUNCTION("""COMPUTED_VALUE"""),"SCOPUS-000087-2")</f>
        <v>SCOPUS-000087-2</v>
      </c>
      <c r="C387" s="6" t="str">
        <f>IFERROR(__xludf.DUMMYFUNCTION("""COMPUTED_VALUE"""),"VGG16 (TL + augmentation)")</f>
        <v>VGG16 (TL + augmentation)</v>
      </c>
      <c r="D387" s="5" t="str">
        <f>IFERROR(__xludf.DUMMYFUNCTION("""COMPUTED_VALUE"""),"Accuracy")</f>
        <v>Accuracy</v>
      </c>
      <c r="E387" s="5" t="str">
        <f>IFERROR(__xludf.DUMMYFUNCTION("""COMPUTED_VALUE"""),"Accuracy")</f>
        <v>Accuracy</v>
      </c>
      <c r="F387" s="5">
        <f>IFERROR(__xludf.DUMMYFUNCTION("""COMPUTED_VALUE"""),88.0)</f>
        <v>88</v>
      </c>
      <c r="G387" s="15">
        <f>IFERROR(__xludf.DUMMYFUNCTION("""COMPUTED_VALUE"""),-7.0)</f>
        <v>-7</v>
      </c>
    </row>
    <row r="388" ht="15.75" customHeight="1">
      <c r="A388" s="5" t="str">
        <f>IFERROR(__xludf.DUMMYFUNCTION("""COMPUTED_VALUE"""),"SCOPUS-000089")</f>
        <v>SCOPUS-000089</v>
      </c>
      <c r="B388" s="5" t="str">
        <f>IFERROR(__xludf.DUMMYFUNCTION("""COMPUTED_VALUE"""),"SCOPUS-000089-1")</f>
        <v>SCOPUS-000089-1</v>
      </c>
      <c r="C388" s="6" t="str">
        <f>IFERROR(__xludf.DUMMYFUNCTION("""COMPUTED_VALUE"""),"Stacking (LogReg meta; RF+SVM+XGBoost+LightGBM)")</f>
        <v>Stacking (LogReg meta; RF+SVM+XGBoost+LightGBM)</v>
      </c>
      <c r="D388" s="5" t="str">
        <f>IFERROR(__xludf.DUMMYFUNCTION("""COMPUTED_VALUE"""),"Accuracy")</f>
        <v>Accuracy</v>
      </c>
      <c r="E388" s="5" t="str">
        <f>IFERROR(__xludf.DUMMYFUNCTION("""COMPUTED_VALUE"""),"Accuracy")</f>
        <v>Accuracy</v>
      </c>
      <c r="F388" s="5">
        <f>IFERROR(__xludf.DUMMYFUNCTION("""COMPUTED_VALUE"""),95.6)</f>
        <v>95.6</v>
      </c>
      <c r="G388" s="15">
        <f>IFERROR(__xludf.DUMMYFUNCTION("""COMPUTED_VALUE"""),0.8)</f>
        <v>0.8</v>
      </c>
    </row>
    <row r="389" ht="15.75" customHeight="1">
      <c r="A389" s="5" t="str">
        <f>IFERROR(__xludf.DUMMYFUNCTION("""COMPUTED_VALUE"""),"SCOPUS-000089")</f>
        <v>SCOPUS-000089</v>
      </c>
      <c r="B389" s="5" t="str">
        <f>IFERROR(__xludf.DUMMYFUNCTION("""COMPUTED_VALUE"""),"SCOPUS-000089-2")</f>
        <v>SCOPUS-000089-2</v>
      </c>
      <c r="C389" s="6" t="str">
        <f>IFERROR(__xludf.DUMMYFUNCTION("""COMPUTED_VALUE"""),"SVM (RBF)")</f>
        <v>SVM (RBF)</v>
      </c>
      <c r="D389" s="5" t="str">
        <f>IFERROR(__xludf.DUMMYFUNCTION("""COMPUTED_VALUE"""),"Accuracy")</f>
        <v>Accuracy</v>
      </c>
      <c r="E389" s="5" t="str">
        <f>IFERROR(__xludf.DUMMYFUNCTION("""COMPUTED_VALUE"""),"Accuracy")</f>
        <v>Accuracy</v>
      </c>
      <c r="F389" s="5">
        <f>IFERROR(__xludf.DUMMYFUNCTION("""COMPUTED_VALUE"""),92.7)</f>
        <v>92.7</v>
      </c>
      <c r="G389" s="15">
        <f>IFERROR(__xludf.DUMMYFUNCTION("""COMPUTED_VALUE"""),-2.1)</f>
        <v>-2.1</v>
      </c>
    </row>
    <row r="390" ht="15.75" customHeight="1">
      <c r="A390" s="5" t="str">
        <f>IFERROR(__xludf.DUMMYFUNCTION("""COMPUTED_VALUE"""),"SCOPUS-000140")</f>
        <v>SCOPUS-000140</v>
      </c>
      <c r="B390" s="5" t="str">
        <f>IFERROR(__xludf.DUMMYFUNCTION("""COMPUTED_VALUE"""),"SCOPUS-000140-1")</f>
        <v>SCOPUS-000140-1</v>
      </c>
      <c r="C390" s="6" t="str">
        <f>IFERROR(__xludf.DUMMYFUNCTION("""COMPUTED_VALUE"""),"Residual U-Net-ResNet101")</f>
        <v>Residual U-Net-ResNet101</v>
      </c>
      <c r="D390" s="5" t="str">
        <f>IFERROR(__xludf.DUMMYFUNCTION("""COMPUTED_VALUE"""),"mIoU")</f>
        <v>mIoU</v>
      </c>
      <c r="E390" s="5" t="str">
        <f>IFERROR(__xludf.DUMMYFUNCTION("""COMPUTED_VALUE"""),"mIoU")</f>
        <v>mIoU</v>
      </c>
      <c r="F390" s="5">
        <f>IFERROR(__xludf.DUMMYFUNCTION("""COMPUTED_VALUE"""),87.12)</f>
        <v>87.12</v>
      </c>
      <c r="G390" s="15">
        <f>IFERROR(__xludf.DUMMYFUNCTION("""COMPUTED_VALUE"""),32.3)</f>
        <v>32.3</v>
      </c>
    </row>
    <row r="391" ht="15.75" customHeight="1">
      <c r="A391" s="5" t="str">
        <f>IFERROR(__xludf.DUMMYFUNCTION("""COMPUTED_VALUE"""),"SCOPUS-000140")</f>
        <v>SCOPUS-000140</v>
      </c>
      <c r="B391" s="5" t="str">
        <f>IFERROR(__xludf.DUMMYFUNCTION("""COMPUTED_VALUE"""),"SCOPUS-000140-2")</f>
        <v>SCOPUS-000140-2</v>
      </c>
      <c r="C391" s="6" t="str">
        <f>IFERROR(__xludf.DUMMYFUNCTION("""COMPUTED_VALUE"""),"Residual U-Net-ResNet50")</f>
        <v>Residual U-Net-ResNet50</v>
      </c>
      <c r="D391" s="5" t="str">
        <f>IFERROR(__xludf.DUMMYFUNCTION("""COMPUTED_VALUE"""),"mIoU")</f>
        <v>mIoU</v>
      </c>
      <c r="E391" s="5" t="str">
        <f>IFERROR(__xludf.DUMMYFUNCTION("""COMPUTED_VALUE"""),"mIoU")</f>
        <v>mIoU</v>
      </c>
      <c r="F391" s="5">
        <f>IFERROR(__xludf.DUMMYFUNCTION("""COMPUTED_VALUE"""),84.1)</f>
        <v>84.1</v>
      </c>
      <c r="G391" s="15">
        <f>IFERROR(__xludf.DUMMYFUNCTION("""COMPUTED_VALUE"""),29.3)</f>
        <v>29.3</v>
      </c>
    </row>
    <row r="392" ht="15.75" customHeight="1">
      <c r="A392" s="5" t="str">
        <f>IFERROR(__xludf.DUMMYFUNCTION("""COMPUTED_VALUE"""),"SCOPUS-000140")</f>
        <v>SCOPUS-000140</v>
      </c>
      <c r="B392" s="5" t="str">
        <f>IFERROR(__xludf.DUMMYFUNCTION("""COMPUTED_VALUE"""),"SCOPUS-000140-3")</f>
        <v>SCOPUS-000140-3</v>
      </c>
      <c r="C392" s="6" t="str">
        <f>IFERROR(__xludf.DUMMYFUNCTION("""COMPUTED_VALUE"""),"Mask R-CNN-ASPP-ResNet50")</f>
        <v>Mask R-CNN-ASPP-ResNet50</v>
      </c>
      <c r="D392" s="5" t="str">
        <f>IFERROR(__xludf.DUMMYFUNCTION("""COMPUTED_VALUE"""),"mIoU")</f>
        <v>mIoU</v>
      </c>
      <c r="E392" s="5" t="str">
        <f>IFERROR(__xludf.DUMMYFUNCTION("""COMPUTED_VALUE"""),"mIoU")</f>
        <v>mIoU</v>
      </c>
      <c r="F392" s="5">
        <f>IFERROR(__xludf.DUMMYFUNCTION("""COMPUTED_VALUE"""),65.3)</f>
        <v>65.3</v>
      </c>
      <c r="G392" s="15">
        <f>IFERROR(__xludf.DUMMYFUNCTION("""COMPUTED_VALUE"""),10.5)</f>
        <v>10.5</v>
      </c>
    </row>
    <row r="393" ht="15.75" customHeight="1">
      <c r="A393" s="5" t="str">
        <f>IFERROR(__xludf.DUMMYFUNCTION("""COMPUTED_VALUE"""),"SCOPUS-000148")</f>
        <v>SCOPUS-000148</v>
      </c>
      <c r="B393" s="5" t="str">
        <f>IFERROR(__xludf.DUMMYFUNCTION("""COMPUTED_VALUE"""),"SCOPUS-000148-1")</f>
        <v>SCOPUS-000148-1</v>
      </c>
      <c r="C393" s="6" t="str">
        <f>IFERROR(__xludf.DUMMYFUNCTION("""COMPUTED_VALUE"""),"CW-YOLO (HFF+EMRF+SSCD)")</f>
        <v>CW-YOLO (HFF+EMRF+SSCD)</v>
      </c>
      <c r="D393" s="5" t="str">
        <f>IFERROR(__xludf.DUMMYFUNCTION("""COMPUTED_VALUE"""),"mAP@0.5")</f>
        <v>mAP@0.5</v>
      </c>
      <c r="E393" s="5" t="str">
        <f>IFERROR(__xludf.DUMMYFUNCTION("""COMPUTED_VALUE"""),"mAP@0.5")</f>
        <v>mAP@0.5</v>
      </c>
      <c r="F393" s="5">
        <f>IFERROR(__xludf.DUMMYFUNCTION("""COMPUTED_VALUE"""),92.47)</f>
        <v>92.47</v>
      </c>
      <c r="G393" s="15">
        <f>IFERROR(__xludf.DUMMYFUNCTION("""COMPUTED_VALUE"""),1.1)</f>
        <v>1.1</v>
      </c>
    </row>
    <row r="394" ht="15.75" customHeight="1">
      <c r="A394" s="5" t="str">
        <f>IFERROR(__xludf.DUMMYFUNCTION("""COMPUTED_VALUE"""),"SCOPUS-000148")</f>
        <v>SCOPUS-000148</v>
      </c>
      <c r="B394" s="5" t="str">
        <f>IFERROR(__xludf.DUMMYFUNCTION("""COMPUTED_VALUE"""),"SCOPUS-000148-2")</f>
        <v>SCOPUS-000148-2</v>
      </c>
      <c r="C394" s="6" t="str">
        <f>IFERROR(__xludf.DUMMYFUNCTION("""COMPUTED_VALUE"""),"YOLOv8n+HFF+EMRF")</f>
        <v>YOLOv8n+HFF+EMRF</v>
      </c>
      <c r="D394" s="5" t="str">
        <f>IFERROR(__xludf.DUMMYFUNCTION("""COMPUTED_VALUE"""),"mAP@0.5")</f>
        <v>mAP@0.5</v>
      </c>
      <c r="E394" s="5" t="str">
        <f>IFERROR(__xludf.DUMMYFUNCTION("""COMPUTED_VALUE"""),"mAP@0.5")</f>
        <v>mAP@0.5</v>
      </c>
      <c r="F394" s="5">
        <f>IFERROR(__xludf.DUMMYFUNCTION("""COMPUTED_VALUE"""),92.42)</f>
        <v>92.42</v>
      </c>
      <c r="G394" s="15">
        <f>IFERROR(__xludf.DUMMYFUNCTION("""COMPUTED_VALUE"""),1.1)</f>
        <v>1.1</v>
      </c>
    </row>
    <row r="395" ht="15.75" customHeight="1">
      <c r="A395" s="5" t="str">
        <f>IFERROR(__xludf.DUMMYFUNCTION("""COMPUTED_VALUE"""),"SCOPUS-000148")</f>
        <v>SCOPUS-000148</v>
      </c>
      <c r="B395" s="5" t="str">
        <f>IFERROR(__xludf.DUMMYFUNCTION("""COMPUTED_VALUE"""),"SCOPUS-000148-3")</f>
        <v>SCOPUS-000148-3</v>
      </c>
      <c r="C395" s="6" t="str">
        <f>IFERROR(__xludf.DUMMYFUNCTION("""COMPUTED_VALUE"""),"YOLOv8n+EMRF")</f>
        <v>YOLOv8n+EMRF</v>
      </c>
      <c r="D395" s="5" t="str">
        <f>IFERROR(__xludf.DUMMYFUNCTION("""COMPUTED_VALUE"""),"mAP@0.5")</f>
        <v>mAP@0.5</v>
      </c>
      <c r="E395" s="5" t="str">
        <f>IFERROR(__xludf.DUMMYFUNCTION("""COMPUTED_VALUE"""),"mAP@0.5")</f>
        <v>mAP@0.5</v>
      </c>
      <c r="F395" s="5">
        <f>IFERROR(__xludf.DUMMYFUNCTION("""COMPUTED_VALUE"""),92.16)</f>
        <v>92.16</v>
      </c>
      <c r="G395" s="15">
        <f>IFERROR(__xludf.DUMMYFUNCTION("""COMPUTED_VALUE"""),0.8)</f>
        <v>0.8</v>
      </c>
    </row>
    <row r="396" ht="15.75" customHeight="1">
      <c r="A396" s="5" t="str">
        <f>IFERROR(__xludf.DUMMYFUNCTION("""COMPUTED_VALUE"""),"SCOPUS-000148")</f>
        <v>SCOPUS-000148</v>
      </c>
      <c r="B396" s="5" t="str">
        <f>IFERROR(__xludf.DUMMYFUNCTION("""COMPUTED_VALUE"""),"SCOPUS-000148-4")</f>
        <v>SCOPUS-000148-4</v>
      </c>
      <c r="C396" s="6" t="str">
        <f>IFERROR(__xludf.DUMMYFUNCTION("""COMPUTED_VALUE"""),"YOLOv8n+HFF+RFE+SSCD")</f>
        <v>YOLOv8n+HFF+RFE+SSCD</v>
      </c>
      <c r="D396" s="5" t="str">
        <f>IFERROR(__xludf.DUMMYFUNCTION("""COMPUTED_VALUE"""),"mAP@0.5")</f>
        <v>mAP@0.5</v>
      </c>
      <c r="E396" s="5" t="str">
        <f>IFERROR(__xludf.DUMMYFUNCTION("""COMPUTED_VALUE"""),"mAP@0.5")</f>
        <v>mAP@0.5</v>
      </c>
      <c r="F396" s="5">
        <f>IFERROR(__xludf.DUMMYFUNCTION("""COMPUTED_VALUE"""),92.03)</f>
        <v>92.03</v>
      </c>
      <c r="G396" s="15">
        <f>IFERROR(__xludf.DUMMYFUNCTION("""COMPUTED_VALUE"""),0.7)</f>
        <v>0.7</v>
      </c>
    </row>
    <row r="397" ht="15.75" customHeight="1">
      <c r="A397" s="5" t="str">
        <f>IFERROR(__xludf.DUMMYFUNCTION("""COMPUTED_VALUE"""),"SCOPUS-000156")</f>
        <v>SCOPUS-000156</v>
      </c>
      <c r="B397" s="5" t="str">
        <f>IFERROR(__xludf.DUMMYFUNCTION("""COMPUTED_VALUE"""),"SCOPUS-000156-1")</f>
        <v>SCOPUS-000156-1</v>
      </c>
      <c r="C397" s="6" t="str">
        <f>IFERROR(__xludf.DUMMYFUNCTION("""COMPUTED_VALUE"""),"YOLOv8m RDB")</f>
        <v>YOLOv8m RDB</v>
      </c>
      <c r="D397" s="5" t="str">
        <f>IFERROR(__xludf.DUMMYFUNCTION("""COMPUTED_VALUE"""),"mAP50")</f>
        <v>mAP50</v>
      </c>
      <c r="E397" s="5" t="str">
        <f>IFERROR(__xludf.DUMMYFUNCTION("""COMPUTED_VALUE"""),"mAP@0.5")</f>
        <v>mAP@0.5</v>
      </c>
      <c r="F397" s="5">
        <f>IFERROR(__xludf.DUMMYFUNCTION("""COMPUTED_VALUE"""),63.4)</f>
        <v>63.4</v>
      </c>
      <c r="G397" s="15">
        <f>IFERROR(__xludf.DUMMYFUNCTION("""COMPUTED_VALUE"""),2.1)</f>
        <v>2.1</v>
      </c>
    </row>
    <row r="398" ht="15.75" customHeight="1">
      <c r="A398" s="5" t="str">
        <f>IFERROR(__xludf.DUMMYFUNCTION("""COMPUTED_VALUE"""),"SCOPUS-000156")</f>
        <v>SCOPUS-000156</v>
      </c>
      <c r="B398" s="5" t="str">
        <f>IFERROR(__xludf.DUMMYFUNCTION("""COMPUTED_VALUE"""),"SCOPUS-000156-2")</f>
        <v>SCOPUS-000156-2</v>
      </c>
      <c r="C398" s="6" t="str">
        <f>IFERROR(__xludf.DUMMYFUNCTION("""COMPUTED_VALUE"""),"YOLOv8s RDB")</f>
        <v>YOLOv8s RDB</v>
      </c>
      <c r="D398" s="5" t="str">
        <f>IFERROR(__xludf.DUMMYFUNCTION("""COMPUTED_VALUE"""),"mAP50")</f>
        <v>mAP50</v>
      </c>
      <c r="E398" s="5" t="str">
        <f>IFERROR(__xludf.DUMMYFUNCTION("""COMPUTED_VALUE"""),"mAP@0.5")</f>
        <v>mAP@0.5</v>
      </c>
      <c r="F398" s="5">
        <f>IFERROR(__xludf.DUMMYFUNCTION("""COMPUTED_VALUE"""),62.1)</f>
        <v>62.1</v>
      </c>
      <c r="G398" s="15">
        <f>IFERROR(__xludf.DUMMYFUNCTION("""COMPUTED_VALUE"""),0.8)</f>
        <v>0.8</v>
      </c>
    </row>
    <row r="399" ht="15.75" customHeight="1">
      <c r="A399" s="5" t="str">
        <f>IFERROR(__xludf.DUMMYFUNCTION("""COMPUTED_VALUE"""),"SCOPUS-000156")</f>
        <v>SCOPUS-000156</v>
      </c>
      <c r="B399" s="5" t="str">
        <f>IFERROR(__xludf.DUMMYFUNCTION("""COMPUTED_VALUE"""),"SCOPUS-000156-3")</f>
        <v>SCOPUS-000156-3</v>
      </c>
      <c r="C399" s="6" t="str">
        <f>IFERROR(__xludf.DUMMYFUNCTION("""COMPUTED_VALUE"""),"YOLOv8s RGD")</f>
        <v>YOLOv8s RGD</v>
      </c>
      <c r="D399" s="5" t="str">
        <f>IFERROR(__xludf.DUMMYFUNCTION("""COMPUTED_VALUE"""),"mAP50")</f>
        <v>mAP50</v>
      </c>
      <c r="E399" s="5" t="str">
        <f>IFERROR(__xludf.DUMMYFUNCTION("""COMPUTED_VALUE"""),"mAP@0.5")</f>
        <v>mAP@0.5</v>
      </c>
      <c r="F399" s="5">
        <f>IFERROR(__xludf.DUMMYFUNCTION("""COMPUTED_VALUE"""),59.6)</f>
        <v>59.6</v>
      </c>
      <c r="G399" s="15">
        <f>IFERROR(__xludf.DUMMYFUNCTION("""COMPUTED_VALUE"""),-1.7)</f>
        <v>-1.7</v>
      </c>
    </row>
    <row r="400" ht="15.75" customHeight="1">
      <c r="A400" s="5" t="str">
        <f>IFERROR(__xludf.DUMMYFUNCTION("""COMPUTED_VALUE"""),"SCOPUS-000156")</f>
        <v>SCOPUS-000156</v>
      </c>
      <c r="B400" s="5" t="str">
        <f>IFERROR(__xludf.DUMMYFUNCTION("""COMPUTED_VALUE"""),"SCOPUS-000156-4")</f>
        <v>SCOPUS-000156-4</v>
      </c>
      <c r="C400" s="6" t="str">
        <f>IFERROR(__xludf.DUMMYFUNCTION("""COMPUTED_VALUE"""),"YOLOv8s DGB")</f>
        <v>YOLOv8s DGB</v>
      </c>
      <c r="D400" s="5" t="str">
        <f>IFERROR(__xludf.DUMMYFUNCTION("""COMPUTED_VALUE"""),"mAP50")</f>
        <v>mAP50</v>
      </c>
      <c r="E400" s="5" t="str">
        <f>IFERROR(__xludf.DUMMYFUNCTION("""COMPUTED_VALUE"""),"mAP@0.5")</f>
        <v>mAP@0.5</v>
      </c>
      <c r="F400" s="5">
        <f>IFERROR(__xludf.DUMMYFUNCTION("""COMPUTED_VALUE"""),59.2)</f>
        <v>59.2</v>
      </c>
      <c r="G400" s="15">
        <f>IFERROR(__xludf.DUMMYFUNCTION("""COMPUTED_VALUE"""),-2.1)</f>
        <v>-2.1</v>
      </c>
    </row>
    <row r="401" ht="15.75" customHeight="1">
      <c r="A401" s="5" t="str">
        <f>IFERROR(__xludf.DUMMYFUNCTION("""COMPUTED_VALUE"""),"SCOPUS-000166")</f>
        <v>SCOPUS-000166</v>
      </c>
      <c r="B401" s="5" t="str">
        <f>IFERROR(__xludf.DUMMYFUNCTION("""COMPUTED_VALUE"""),"SCOPUS-000166-1")</f>
        <v>SCOPUS-000166-1</v>
      </c>
      <c r="C401" s="6" t="str">
        <f>IFERROR(__xludf.DUMMYFUNCTION("""COMPUTED_VALUE"""),"RMS-DETR")</f>
        <v>RMS-DETR</v>
      </c>
      <c r="D401" s="5" t="str">
        <f>IFERROR(__xludf.DUMMYFUNCTION("""COMPUTED_VALUE"""),"mAP50")</f>
        <v>mAP50</v>
      </c>
      <c r="E401" s="5" t="str">
        <f>IFERROR(__xludf.DUMMYFUNCTION("""COMPUTED_VALUE"""),"mAP@0.5")</f>
        <v>mAP@0.5</v>
      </c>
      <c r="F401" s="5">
        <f>IFERROR(__xludf.DUMMYFUNCTION("""COMPUTED_VALUE"""),79.2)</f>
        <v>79.2</v>
      </c>
      <c r="G401" s="15">
        <f>IFERROR(__xludf.DUMMYFUNCTION("""COMPUTED_VALUE"""),2.8)</f>
        <v>2.8</v>
      </c>
    </row>
    <row r="402" ht="15.75" customHeight="1">
      <c r="A402" s="5" t="str">
        <f>IFERROR(__xludf.DUMMYFUNCTION("""COMPUTED_VALUE"""),"SCOPUS-000166")</f>
        <v>SCOPUS-000166</v>
      </c>
      <c r="B402" s="5" t="str">
        <f>IFERROR(__xludf.DUMMYFUNCTION("""COMPUTED_VALUE"""),"SCOPUS-000166-2")</f>
        <v>SCOPUS-000166-2</v>
      </c>
      <c r="C402" s="6" t="str">
        <f>IFERROR(__xludf.DUMMYFUNCTION("""COMPUTED_VALUE"""),"DETR-CGA + CNN")</f>
        <v>DETR-CGA + CNN</v>
      </c>
      <c r="D402" s="5" t="str">
        <f>IFERROR(__xludf.DUMMYFUNCTION("""COMPUTED_VALUE"""),"mAP50")</f>
        <v>mAP50</v>
      </c>
      <c r="E402" s="5" t="str">
        <f>IFERROR(__xludf.DUMMYFUNCTION("""COMPUTED_VALUE"""),"mAP@0.5")</f>
        <v>mAP@0.5</v>
      </c>
      <c r="F402" s="5">
        <f>IFERROR(__xludf.DUMMYFUNCTION("""COMPUTED_VALUE"""),78.4)</f>
        <v>78.4</v>
      </c>
      <c r="G402" s="15">
        <f>IFERROR(__xludf.DUMMYFUNCTION("""COMPUTED_VALUE"""),2.0)</f>
        <v>2</v>
      </c>
    </row>
    <row r="403" ht="15.75" customHeight="1">
      <c r="A403" s="5" t="str">
        <f>IFERROR(__xludf.DUMMYFUNCTION("""COMPUTED_VALUE"""),"SCOPUS-000166")</f>
        <v>SCOPUS-000166</v>
      </c>
      <c r="B403" s="5" t="str">
        <f>IFERROR(__xludf.DUMMYFUNCTION("""COMPUTED_VALUE"""),"SCOPUS-000166-3")</f>
        <v>SCOPUS-000166-3</v>
      </c>
      <c r="C403" s="6" t="str">
        <f>IFERROR(__xludf.DUMMYFUNCTION("""COMPUTED_VALUE"""),"DETR-CGA")</f>
        <v>DETR-CGA</v>
      </c>
      <c r="D403" s="5" t="str">
        <f>IFERROR(__xludf.DUMMYFUNCTION("""COMPUTED_VALUE"""),"mAP50")</f>
        <v>mAP50</v>
      </c>
      <c r="E403" s="5" t="str">
        <f>IFERROR(__xludf.DUMMYFUNCTION("""COMPUTED_VALUE"""),"mAP@0.5")</f>
        <v>mAP@0.5</v>
      </c>
      <c r="F403" s="5">
        <f>IFERROR(__xludf.DUMMYFUNCTION("""COMPUTED_VALUE"""),77.2)</f>
        <v>77.2</v>
      </c>
      <c r="G403" s="15">
        <f>IFERROR(__xludf.DUMMYFUNCTION("""COMPUTED_VALUE"""),0.8)</f>
        <v>0.8</v>
      </c>
    </row>
    <row r="404" ht="15.75" customHeight="1">
      <c r="A404" s="5" t="str">
        <f>IFERROR(__xludf.DUMMYFUNCTION("""COMPUTED_VALUE"""),"SCOPUS-000184")</f>
        <v>SCOPUS-000184</v>
      </c>
      <c r="B404" s="5" t="str">
        <f>IFERROR(__xludf.DUMMYFUNCTION("""COMPUTED_VALUE"""),"SCOPUS-000184-1")</f>
        <v>SCOPUS-000184-1</v>
      </c>
      <c r="C404" s="6" t="str">
        <f>IFERROR(__xludf.DUMMYFUNCTION("""COMPUTED_VALUE"""),"YOLOv11x")</f>
        <v>YOLOv11x</v>
      </c>
      <c r="D404" s="5" t="str">
        <f>IFERROR(__xludf.DUMMYFUNCTION("""COMPUTED_VALUE"""),"mAP")</f>
        <v>mAP</v>
      </c>
      <c r="E404" s="5" t="str">
        <f>IFERROR(__xludf.DUMMYFUNCTION("""COMPUTED_VALUE"""),"mAP@0.5")</f>
        <v>mAP@0.5</v>
      </c>
      <c r="F404" s="5">
        <f>IFERROR(__xludf.DUMMYFUNCTION("""COMPUTED_VALUE"""),97.5)</f>
        <v>97.5</v>
      </c>
      <c r="G404" s="15">
        <f>IFERROR(__xludf.DUMMYFUNCTION("""COMPUTED_VALUE"""),5.6)</f>
        <v>5.6</v>
      </c>
    </row>
    <row r="405" ht="15.75" customHeight="1">
      <c r="A405" s="5" t="str">
        <f>IFERROR(__xludf.DUMMYFUNCTION("""COMPUTED_VALUE"""),"SCOPUS-000184")</f>
        <v>SCOPUS-000184</v>
      </c>
      <c r="B405" s="5" t="str">
        <f>IFERROR(__xludf.DUMMYFUNCTION("""COMPUTED_VALUE"""),"SCOPUS-000184-2")</f>
        <v>SCOPUS-000184-2</v>
      </c>
      <c r="C405" s="6" t="str">
        <f>IFERROR(__xludf.DUMMYFUNCTION("""COMPUTED_VALUE"""),"RT-DETR-X")</f>
        <v>RT-DETR-X</v>
      </c>
      <c r="D405" s="5" t="str">
        <f>IFERROR(__xludf.DUMMYFUNCTION("""COMPUTED_VALUE"""),"mAP")</f>
        <v>mAP</v>
      </c>
      <c r="E405" s="5" t="str">
        <f>IFERROR(__xludf.DUMMYFUNCTION("""COMPUTED_VALUE"""),"mAP@0.5")</f>
        <v>mAP@0.5</v>
      </c>
      <c r="F405" s="5">
        <f>IFERROR(__xludf.DUMMYFUNCTION("""COMPUTED_VALUE"""),97.2)</f>
        <v>97.2</v>
      </c>
      <c r="G405" s="15">
        <f>IFERROR(__xludf.DUMMYFUNCTION("""COMPUTED_VALUE"""),5.3)</f>
        <v>5.3</v>
      </c>
    </row>
    <row r="406" ht="15.75" customHeight="1">
      <c r="A406" s="5" t="str">
        <f>IFERROR(__xludf.DUMMYFUNCTION("""COMPUTED_VALUE"""),"SCOPUS-000184")</f>
        <v>SCOPUS-000184</v>
      </c>
      <c r="B406" s="5" t="str">
        <f>IFERROR(__xludf.DUMMYFUNCTION("""COMPUTED_VALUE"""),"SCOPUS-000184-3")</f>
        <v>SCOPUS-000184-3</v>
      </c>
      <c r="C406" s="6" t="str">
        <f>IFERROR(__xludf.DUMMYFUNCTION("""COMPUTED_VALUE"""),"YOLOv11m")</f>
        <v>YOLOv11m</v>
      </c>
      <c r="D406" s="5" t="str">
        <f>IFERROR(__xludf.DUMMYFUNCTION("""COMPUTED_VALUE"""),"mAP")</f>
        <v>mAP</v>
      </c>
      <c r="E406" s="5" t="str">
        <f>IFERROR(__xludf.DUMMYFUNCTION("""COMPUTED_VALUE"""),"mAP@0.5")</f>
        <v>mAP@0.5</v>
      </c>
      <c r="F406" s="5">
        <f>IFERROR(__xludf.DUMMYFUNCTION("""COMPUTED_VALUE"""),94.4)</f>
        <v>94.4</v>
      </c>
      <c r="G406" s="15">
        <f>IFERROR(__xludf.DUMMYFUNCTION("""COMPUTED_VALUE"""),2.5)</f>
        <v>2.5</v>
      </c>
    </row>
    <row r="407" ht="15.75" customHeight="1">
      <c r="A407" s="5" t="str">
        <f>IFERROR(__xludf.DUMMYFUNCTION("""COMPUTED_VALUE"""),"SCOPUS-000192")</f>
        <v>SCOPUS-000192</v>
      </c>
      <c r="B407" s="5" t="str">
        <f>IFERROR(__xludf.DUMMYFUNCTION("""COMPUTED_VALUE"""),"SCOPUS-000192-1")</f>
        <v>SCOPUS-000192-1</v>
      </c>
      <c r="C407" s="6" t="str">
        <f>IFERROR(__xludf.DUMMYFUNCTION("""COMPUTED_VALUE"""),"YOLOv9-e")</f>
        <v>YOLOv9-e</v>
      </c>
      <c r="D407" s="5" t="str">
        <f>IFERROR(__xludf.DUMMYFUNCTION("""COMPUTED_VALUE"""),"MaskmAP@0.5(%)")</f>
        <v>MaskmAP@0.5(%)</v>
      </c>
      <c r="E407" s="5" t="str">
        <f>IFERROR(__xludf.DUMMYFUNCTION("""COMPUTED_VALUE"""),"mAP@0.5")</f>
        <v>mAP@0.5</v>
      </c>
      <c r="F407" s="5">
        <f>IFERROR(__xludf.DUMMYFUNCTION("""COMPUTED_VALUE"""),74.4)</f>
        <v>74.4</v>
      </c>
      <c r="G407" s="15">
        <f>IFERROR(__xludf.DUMMYFUNCTION("""COMPUTED_VALUE"""),11.7)</f>
        <v>11.7</v>
      </c>
    </row>
    <row r="408" ht="15.75" customHeight="1">
      <c r="A408" s="5" t="str">
        <f>IFERROR(__xludf.DUMMYFUNCTION("""COMPUTED_VALUE"""),"SCOPUS-000192")</f>
        <v>SCOPUS-000192</v>
      </c>
      <c r="B408" s="5" t="str">
        <f>IFERROR(__xludf.DUMMYFUNCTION("""COMPUTED_VALUE"""),"SCOPUS-000192-2")</f>
        <v>SCOPUS-000192-2</v>
      </c>
      <c r="C408" s="6" t="str">
        <f>IFERROR(__xludf.DUMMYFUNCTION("""COMPUTED_VALUE"""),"YOLO11-s")</f>
        <v>YOLO11-s</v>
      </c>
      <c r="D408" s="5" t="str">
        <f>IFERROR(__xludf.DUMMYFUNCTION("""COMPUTED_VALUE"""),"MaskmAP@0.5(%)")</f>
        <v>MaskmAP@0.5(%)</v>
      </c>
      <c r="E408" s="5" t="str">
        <f>IFERROR(__xludf.DUMMYFUNCTION("""COMPUTED_VALUE"""),"mAP@0.5")</f>
        <v>mAP@0.5</v>
      </c>
      <c r="F408" s="5">
        <f>IFERROR(__xludf.DUMMYFUNCTION("""COMPUTED_VALUE"""),73.8)</f>
        <v>73.8</v>
      </c>
      <c r="G408" s="15">
        <f>IFERROR(__xludf.DUMMYFUNCTION("""COMPUTED_VALUE"""),11.1)</f>
        <v>11.1</v>
      </c>
    </row>
    <row r="409" ht="15.75" customHeight="1">
      <c r="A409" s="5" t="str">
        <f>IFERROR(__xludf.DUMMYFUNCTION("""COMPUTED_VALUE"""),"SCOPUS-000192")</f>
        <v>SCOPUS-000192</v>
      </c>
      <c r="B409" s="5" t="str">
        <f>IFERROR(__xludf.DUMMYFUNCTION("""COMPUTED_VALUE"""),"SCOPUS-000192-3")</f>
        <v>SCOPUS-000192-3</v>
      </c>
      <c r="C409" s="6" t="str">
        <f>IFERROR(__xludf.DUMMYFUNCTION("""COMPUTED_VALUE"""),"YOLOv8-s")</f>
        <v>YOLOv8-s</v>
      </c>
      <c r="D409" s="5" t="str">
        <f>IFERROR(__xludf.DUMMYFUNCTION("""COMPUTED_VALUE"""),"MaskmAP@0.5(%)")</f>
        <v>MaskmAP@0.5(%)</v>
      </c>
      <c r="E409" s="5" t="str">
        <f>IFERROR(__xludf.DUMMYFUNCTION("""COMPUTED_VALUE"""),"mAP@0.5")</f>
        <v>mAP@0.5</v>
      </c>
      <c r="F409" s="5">
        <f>IFERROR(__xludf.DUMMYFUNCTION("""COMPUTED_VALUE"""),72.8)</f>
        <v>72.8</v>
      </c>
      <c r="G409" s="15">
        <f>IFERROR(__xludf.DUMMYFUNCTION("""COMPUTED_VALUE"""),10.1)</f>
        <v>10.1</v>
      </c>
    </row>
    <row r="410" ht="15.75" customHeight="1">
      <c r="A410" s="5" t="str">
        <f>IFERROR(__xludf.DUMMYFUNCTION("""COMPUTED_VALUE"""),"SCOPUS-000221")</f>
        <v>SCOPUS-000221</v>
      </c>
      <c r="B410" s="5" t="str">
        <f>IFERROR(__xludf.DUMMYFUNCTION("""COMPUTED_VALUE"""),"SCOPUS-000221-1")</f>
        <v>SCOPUS-000221-1</v>
      </c>
      <c r="C410" s="6" t="str">
        <f>IFERROR(__xludf.DUMMYFUNCTION("""COMPUTED_VALUE"""),"EfficientNet V2 (with augmentation)")</f>
        <v>EfficientNet V2 (with augmentation)</v>
      </c>
      <c r="D410" s="5" t="str">
        <f>IFERROR(__xludf.DUMMYFUNCTION("""COMPUTED_VALUE"""),"Acc.")</f>
        <v>Acc.</v>
      </c>
      <c r="E410" s="5" t="str">
        <f>IFERROR(__xludf.DUMMYFUNCTION("""COMPUTED_VALUE"""),"Accuracy")</f>
        <v>Accuracy</v>
      </c>
      <c r="F410" s="5">
        <f>IFERROR(__xludf.DUMMYFUNCTION("""COMPUTED_VALUE"""),97.03)</f>
        <v>97.03</v>
      </c>
      <c r="G410" s="15">
        <f>IFERROR(__xludf.DUMMYFUNCTION("""COMPUTED_VALUE"""),1.0)</f>
        <v>1</v>
      </c>
    </row>
    <row r="411" ht="15.75" customHeight="1">
      <c r="A411" s="5" t="str">
        <f>IFERROR(__xludf.DUMMYFUNCTION("""COMPUTED_VALUE"""),"SCOPUS-000224")</f>
        <v>SCOPUS-000224</v>
      </c>
      <c r="B411" s="5" t="str">
        <f>IFERROR(__xludf.DUMMYFUNCTION("""COMPUTED_VALUE"""),"SCOPUS-000224-1")</f>
        <v>SCOPUS-000224-1</v>
      </c>
      <c r="C411" s="6" t="str">
        <f>IFERROR(__xludf.DUMMYFUNCTION("""COMPUTED_VALUE"""),"YOLO-ACE (CAM+SKAttention M=4+decoupled head)")</f>
        <v>YOLO-ACE (CAM+SKAttention M=4+decoupled head)</v>
      </c>
      <c r="D411" s="5" t="str">
        <f>IFERROR(__xludf.DUMMYFUNCTION("""COMPUTED_VALUE"""),"mAP@0.5")</f>
        <v>mAP@0.5</v>
      </c>
      <c r="E411" s="5" t="str">
        <f>IFERROR(__xludf.DUMMYFUNCTION("""COMPUTED_VALUE"""),"mAP@0.5")</f>
        <v>mAP@0.5</v>
      </c>
      <c r="F411" s="5">
        <f>IFERROR(__xludf.DUMMYFUNCTION("""COMPUTED_VALUE"""),95.3)</f>
        <v>95.3</v>
      </c>
      <c r="G411" s="15">
        <f>IFERROR(__xludf.DUMMYFUNCTION("""COMPUTED_VALUE"""),1.3)</f>
        <v>1.3</v>
      </c>
    </row>
    <row r="412" ht="15.75" customHeight="1">
      <c r="A412" s="5" t="str">
        <f>IFERROR(__xludf.DUMMYFUNCTION("""COMPUTED_VALUE"""),"SCOPUS-000224")</f>
        <v>SCOPUS-000224</v>
      </c>
      <c r="B412" s="5" t="str">
        <f>IFERROR(__xludf.DUMMYFUNCTION("""COMPUTED_VALUE"""),"SCOPUS-000224-2")</f>
        <v>SCOPUS-000224-2</v>
      </c>
      <c r="C412" s="6" t="str">
        <f>IFERROR(__xludf.DUMMYFUNCTION("""COMPUTED_VALUE"""),"YOLO-ACEs (SKAttention M=2)")</f>
        <v>YOLO-ACEs (SKAttention M=2)</v>
      </c>
      <c r="D412" s="5" t="str">
        <f>IFERROR(__xludf.DUMMYFUNCTION("""COMPUTED_VALUE"""),"mAP@0.5")</f>
        <v>mAP@0.5</v>
      </c>
      <c r="E412" s="5" t="str">
        <f>IFERROR(__xludf.DUMMYFUNCTION("""COMPUTED_VALUE"""),"mAP@0.5")</f>
        <v>mAP@0.5</v>
      </c>
      <c r="F412" s="5">
        <f>IFERROR(__xludf.DUMMYFUNCTION("""COMPUTED_VALUE"""),95.0)</f>
        <v>95</v>
      </c>
      <c r="G412" s="15">
        <f>IFERROR(__xludf.DUMMYFUNCTION("""COMPUTED_VALUE"""),1.0)</f>
        <v>1</v>
      </c>
    </row>
    <row r="413" ht="15.75" customHeight="1">
      <c r="A413" s="5" t="str">
        <f>IFERROR(__xludf.DUMMYFUNCTION("""COMPUTED_VALUE"""),"SCOPUS-000227")</f>
        <v>SCOPUS-000227</v>
      </c>
      <c r="B413" s="5" t="str">
        <f>IFERROR(__xludf.DUMMYFUNCTION("""COMPUTED_VALUE"""),"SCOPUS-000227-1")</f>
        <v>SCOPUS-000227-1</v>
      </c>
      <c r="C413" s="6" t="str">
        <f>IFERROR(__xludf.DUMMYFUNCTION("""COMPUTED_VALUE"""),"YOLOv8+I3Net (cross-season 2022→2021)")</f>
        <v>YOLOv8+I3Net (cross-season 2022→2021)</v>
      </c>
      <c r="D413" s="5" t="str">
        <f>IFERROR(__xludf.DUMMYFUNCTION("""COMPUTED_VALUE"""),"mAP@50")</f>
        <v>mAP@50</v>
      </c>
      <c r="E413" s="5" t="str">
        <f>IFERROR(__xludf.DUMMYFUNCTION("""COMPUTED_VALUE"""),"mAP@0.5")</f>
        <v>mAP@0.5</v>
      </c>
      <c r="F413" s="5">
        <f>IFERROR(__xludf.DUMMYFUNCTION("""COMPUTED_VALUE"""),84.8)</f>
        <v>84.8</v>
      </c>
      <c r="G413" s="15">
        <f>IFERROR(__xludf.DUMMYFUNCTION("""COMPUTED_VALUE"""),3.3)</f>
        <v>3.3</v>
      </c>
    </row>
    <row r="414" ht="15.75" customHeight="1">
      <c r="A414" s="5" t="str">
        <f>IFERROR(__xludf.DUMMYFUNCTION("""COMPUTED_VALUE"""),"SCOPUS-000227")</f>
        <v>SCOPUS-000227</v>
      </c>
      <c r="B414" s="5" t="str">
        <f>IFERROR(__xludf.DUMMYFUNCTION("""COMPUTED_VALUE"""),"SCOPUS-000227-2")</f>
        <v>SCOPUS-000227-2</v>
      </c>
      <c r="C414" s="6" t="str">
        <f>IFERROR(__xludf.DUMMYFUNCTION("""COMPUTED_VALUE"""),"YOLOX+I3Net (cross-season 2022→2021)")</f>
        <v>YOLOX+I3Net (cross-season 2022→2021)</v>
      </c>
      <c r="D414" s="5" t="str">
        <f>IFERROR(__xludf.DUMMYFUNCTION("""COMPUTED_VALUE"""),"mAP@50")</f>
        <v>mAP@50</v>
      </c>
      <c r="E414" s="5" t="str">
        <f>IFERROR(__xludf.DUMMYFUNCTION("""COMPUTED_VALUE"""),"mAP@0.5")</f>
        <v>mAP@0.5</v>
      </c>
      <c r="F414" s="5">
        <f>IFERROR(__xludf.DUMMYFUNCTION("""COMPUTED_VALUE"""),84.3)</f>
        <v>84.3</v>
      </c>
      <c r="G414" s="15">
        <f>IFERROR(__xludf.DUMMYFUNCTION("""COMPUTED_VALUE"""),2.8)</f>
        <v>2.8</v>
      </c>
    </row>
    <row r="415" ht="15.75" customHeight="1">
      <c r="A415" s="5" t="str">
        <f>IFERROR(__xludf.DUMMYFUNCTION("""COMPUTED_VALUE"""),"SCOPUS-000238")</f>
        <v>SCOPUS-000238</v>
      </c>
      <c r="B415" s="5" t="str">
        <f>IFERROR(__xludf.DUMMYFUNCTION("""COMPUTED_VALUE"""),"SCOPUS-000238-1")</f>
        <v>SCOPUS-000238-1</v>
      </c>
      <c r="C415" s="6" t="str">
        <f>IFERROR(__xludf.DUMMYFUNCTION("""COMPUTED_VALUE"""),"YOLOv9 (spatiotemporal)")</f>
        <v>YOLOv9 (spatiotemporal)</v>
      </c>
      <c r="D415" s="5" t="str">
        <f>IFERROR(__xludf.DUMMYFUNCTION("""COMPUTED_VALUE"""),"mAP@0.5")</f>
        <v>mAP@0.5</v>
      </c>
      <c r="E415" s="5" t="str">
        <f>IFERROR(__xludf.DUMMYFUNCTION("""COMPUTED_VALUE"""),"mAP@0.5")</f>
        <v>mAP@0.5</v>
      </c>
      <c r="F415" s="5">
        <f>IFERROR(__xludf.DUMMYFUNCTION("""COMPUTED_VALUE"""),91.0)</f>
        <v>91</v>
      </c>
      <c r="G415" s="15">
        <f>IFERROR(__xludf.DUMMYFUNCTION("""COMPUTED_VALUE"""),18.0)</f>
        <v>18</v>
      </c>
    </row>
    <row r="416" ht="15.75" customHeight="1">
      <c r="A416" s="5" t="str">
        <f>IFERROR(__xludf.DUMMYFUNCTION("""COMPUTED_VALUE"""),"SCOPUS-000238")</f>
        <v>SCOPUS-000238</v>
      </c>
      <c r="B416" s="5" t="str">
        <f>IFERROR(__xludf.DUMMYFUNCTION("""COMPUTED_VALUE"""),"SCOPUS-000238-2")</f>
        <v>SCOPUS-000238-2</v>
      </c>
      <c r="C416" s="6" t="str">
        <f>IFERROR(__xludf.DUMMYFUNCTION("""COMPUTED_VALUE"""),"YOLOv8 (spatiotemporal)")</f>
        <v>YOLOv8 (spatiotemporal)</v>
      </c>
      <c r="D416" s="5" t="str">
        <f>IFERROR(__xludf.DUMMYFUNCTION("""COMPUTED_VALUE"""),"mAP@0.5")</f>
        <v>mAP@0.5</v>
      </c>
      <c r="E416" s="5" t="str">
        <f>IFERROR(__xludf.DUMMYFUNCTION("""COMPUTED_VALUE"""),"mAP@0.5")</f>
        <v>mAP@0.5</v>
      </c>
      <c r="F416" s="5">
        <f>IFERROR(__xludf.DUMMYFUNCTION("""COMPUTED_VALUE"""),91.0)</f>
        <v>91</v>
      </c>
      <c r="G416" s="15">
        <f>IFERROR(__xludf.DUMMYFUNCTION("""COMPUTED_VALUE"""),18.0)</f>
        <v>18</v>
      </c>
    </row>
    <row r="417" ht="15.75" customHeight="1">
      <c r="A417" s="5" t="str">
        <f>IFERROR(__xludf.DUMMYFUNCTION("""COMPUTED_VALUE"""),"SCOPUS-000238")</f>
        <v>SCOPUS-000238</v>
      </c>
      <c r="B417" s="5" t="str">
        <f>IFERROR(__xludf.DUMMYFUNCTION("""COMPUTED_VALUE"""),"SCOPUS-000238-3")</f>
        <v>SCOPUS-000238-3</v>
      </c>
      <c r="C417" s="6" t="str">
        <f>IFERROR(__xludf.DUMMYFUNCTION("""COMPUTED_VALUE"""),"YOLOv10 (spatiotemporal)")</f>
        <v>YOLOv10 (spatiotemporal)</v>
      </c>
      <c r="D417" s="5" t="str">
        <f>IFERROR(__xludf.DUMMYFUNCTION("""COMPUTED_VALUE"""),"mAP@0.5")</f>
        <v>mAP@0.5</v>
      </c>
      <c r="E417" s="5" t="str">
        <f>IFERROR(__xludf.DUMMYFUNCTION("""COMPUTED_VALUE"""),"mAP@0.5")</f>
        <v>mAP@0.5</v>
      </c>
      <c r="F417" s="5">
        <f>IFERROR(__xludf.DUMMYFUNCTION("""COMPUTED_VALUE"""),91.0)</f>
        <v>91</v>
      </c>
      <c r="G417" s="15">
        <f>IFERROR(__xludf.DUMMYFUNCTION("""COMPUTED_VALUE"""),18.0)</f>
        <v>18</v>
      </c>
    </row>
    <row r="418" ht="15.75" customHeight="1">
      <c r="A418" s="5" t="str">
        <f>IFERROR(__xludf.DUMMYFUNCTION("""COMPUTED_VALUE"""),"SCOPUS-000238")</f>
        <v>SCOPUS-000238</v>
      </c>
      <c r="B418" s="5" t="str">
        <f>IFERROR(__xludf.DUMMYFUNCTION("""COMPUTED_VALUE"""),"SCOPUS-000238-4")</f>
        <v>SCOPUS-000238-4</v>
      </c>
      <c r="C418" s="6" t="str">
        <f>IFERROR(__xludf.DUMMYFUNCTION("""COMPUTED_VALUE"""),"YOLOv8 (spatial, 2022 other fields)")</f>
        <v>YOLOv8 (spatial, 2022 other fields)</v>
      </c>
      <c r="D418" s="5" t="str">
        <f>IFERROR(__xludf.DUMMYFUNCTION("""COMPUTED_VALUE"""),"mAP@0.5")</f>
        <v>mAP@0.5</v>
      </c>
      <c r="E418" s="5" t="str">
        <f>IFERROR(__xludf.DUMMYFUNCTION("""COMPUTED_VALUE"""),"mAP@0.5")</f>
        <v>mAP@0.5</v>
      </c>
      <c r="F418" s="5">
        <f>IFERROR(__xludf.DUMMYFUNCTION("""COMPUTED_VALUE"""),89.0)</f>
        <v>89</v>
      </c>
      <c r="G418" s="15">
        <f>IFERROR(__xludf.DUMMYFUNCTION("""COMPUTED_VALUE"""),16.0)</f>
        <v>16</v>
      </c>
    </row>
    <row r="419" ht="15.75" customHeight="1">
      <c r="A419" s="5" t="str">
        <f>IFERROR(__xludf.DUMMYFUNCTION("""COMPUTED_VALUE"""),"SCOPUS-000251")</f>
        <v>SCOPUS-000251</v>
      </c>
      <c r="B419" s="5" t="str">
        <f>IFERROR(__xludf.DUMMYFUNCTION("""COMPUTED_VALUE"""),"SCOPUS-000251-1")</f>
        <v>SCOPUS-000251-1</v>
      </c>
      <c r="C419" s="6" t="str">
        <f>IFERROR(__xludf.DUMMYFUNCTION("""COMPUTED_VALUE"""),"YOLOv10l RGB+NIR")</f>
        <v>YOLOv10l RGB+NIR</v>
      </c>
      <c r="D419" s="5" t="str">
        <f>IFERROR(__xludf.DUMMYFUNCTION("""COMPUTED_VALUE"""),"mAP@0.5")</f>
        <v>mAP@0.5</v>
      </c>
      <c r="E419" s="5" t="str">
        <f>IFERROR(__xludf.DUMMYFUNCTION("""COMPUTED_VALUE"""),"mAP@0.5")</f>
        <v>mAP@0.5</v>
      </c>
      <c r="F419" s="5">
        <f>IFERROR(__xludf.DUMMYFUNCTION("""COMPUTED_VALUE"""),94.9)</f>
        <v>94.9</v>
      </c>
      <c r="G419" s="15">
        <f>IFERROR(__xludf.DUMMYFUNCTION("""COMPUTED_VALUE"""),0.4)</f>
        <v>0.4</v>
      </c>
    </row>
    <row r="420" ht="15.75" customHeight="1">
      <c r="A420" s="5" t="str">
        <f>IFERROR(__xludf.DUMMYFUNCTION("""COMPUTED_VALUE"""),"SCOPUS-000251")</f>
        <v>SCOPUS-000251</v>
      </c>
      <c r="B420" s="5" t="str">
        <f>IFERROR(__xludf.DUMMYFUNCTION("""COMPUTED_VALUE"""),"SCOPUS-000251-2")</f>
        <v>SCOPUS-000251-2</v>
      </c>
      <c r="C420" s="6" t="str">
        <f>IFERROR(__xludf.DUMMYFUNCTION("""COMPUTED_VALUE"""),"YOLOv9l RGB+NIR")</f>
        <v>YOLOv9l RGB+NIR</v>
      </c>
      <c r="D420" s="5" t="str">
        <f>IFERROR(__xludf.DUMMYFUNCTION("""COMPUTED_VALUE"""),"mAP@0.5")</f>
        <v>mAP@0.5</v>
      </c>
      <c r="E420" s="5" t="str">
        <f>IFERROR(__xludf.DUMMYFUNCTION("""COMPUTED_VALUE"""),"mAP@0.5")</f>
        <v>mAP@0.5</v>
      </c>
      <c r="F420" s="5">
        <f>IFERROR(__xludf.DUMMYFUNCTION("""COMPUTED_VALUE"""),93.5)</f>
        <v>93.5</v>
      </c>
      <c r="G420" s="15">
        <f>IFERROR(__xludf.DUMMYFUNCTION("""COMPUTED_VALUE"""),-1.0)</f>
        <v>-1</v>
      </c>
    </row>
    <row r="421" ht="15.75" customHeight="1">
      <c r="A421" s="5" t="str">
        <f>IFERROR(__xludf.DUMMYFUNCTION("""COMPUTED_VALUE"""),"SCOPUS-000251")</f>
        <v>SCOPUS-000251</v>
      </c>
      <c r="B421" s="5" t="str">
        <f>IFERROR(__xludf.DUMMYFUNCTION("""COMPUTED_VALUE"""),"SCOPUS-000251-3")</f>
        <v>SCOPUS-000251-3</v>
      </c>
      <c r="C421" s="6" t="str">
        <f>IFERROR(__xludf.DUMMYFUNCTION("""COMPUTED_VALUE"""),"YOLOv8l RGB+NIR")</f>
        <v>YOLOv8l RGB+NIR</v>
      </c>
      <c r="D421" s="5" t="str">
        <f>IFERROR(__xludf.DUMMYFUNCTION("""COMPUTED_VALUE"""),"mAP@0.5")</f>
        <v>mAP@0.5</v>
      </c>
      <c r="E421" s="5" t="str">
        <f>IFERROR(__xludf.DUMMYFUNCTION("""COMPUTED_VALUE"""),"mAP@0.5")</f>
        <v>mAP@0.5</v>
      </c>
      <c r="F421" s="5">
        <f>IFERROR(__xludf.DUMMYFUNCTION("""COMPUTED_VALUE"""),93.3)</f>
        <v>93.3</v>
      </c>
      <c r="G421" s="15">
        <f>IFERROR(__xludf.DUMMYFUNCTION("""COMPUTED_VALUE"""),-1.2)</f>
        <v>-1.2</v>
      </c>
    </row>
    <row r="422" ht="15.75" customHeight="1">
      <c r="A422" s="5" t="str">
        <f>IFERROR(__xludf.DUMMYFUNCTION("""COMPUTED_VALUE"""),"SCOPUS-000257")</f>
        <v>SCOPUS-000257</v>
      </c>
      <c r="B422" s="5" t="str">
        <f>IFERROR(__xludf.DUMMYFUNCTION("""COMPUTED_VALUE"""),"SCOPUS-000257-1")</f>
        <v>SCOPUS-000257-1</v>
      </c>
      <c r="C422" s="6" t="str">
        <f>IFERROR(__xludf.DUMMYFUNCTION("""COMPUTED_VALUE"""),"YOLO v11n + ADown + IDWC")</f>
        <v>YOLO v11n + ADown + IDWC</v>
      </c>
      <c r="D422" s="5" t="str">
        <f>IFERROR(__xludf.DUMMYFUNCTION("""COMPUTED_VALUE"""),"mAP50")</f>
        <v>mAP50</v>
      </c>
      <c r="E422" s="5" t="str">
        <f>IFERROR(__xludf.DUMMYFUNCTION("""COMPUTED_VALUE"""),"mAP@0.5")</f>
        <v>mAP@0.5</v>
      </c>
      <c r="F422" s="5">
        <f>IFERROR(__xludf.DUMMYFUNCTION("""COMPUTED_VALUE"""),84.1)</f>
        <v>84.1</v>
      </c>
      <c r="G422" s="15">
        <f>IFERROR(__xludf.DUMMYFUNCTION("""COMPUTED_VALUE"""),0.8)</f>
        <v>0.8</v>
      </c>
    </row>
    <row r="423" ht="15.75" customHeight="1">
      <c r="A423" s="5" t="str">
        <f>IFERROR(__xludf.DUMMYFUNCTION("""COMPUTED_VALUE"""),"SCOPUS-000257")</f>
        <v>SCOPUS-000257</v>
      </c>
      <c r="B423" s="5" t="str">
        <f>IFERROR(__xludf.DUMMYFUNCTION("""COMPUTED_VALUE"""),"SCOPUS-000257-2")</f>
        <v>SCOPUS-000257-2</v>
      </c>
      <c r="C423" s="6" t="str">
        <f>IFERROR(__xludf.DUMMYFUNCTION("""COMPUTED_VALUE"""),"AGRI-YOLO")</f>
        <v>AGRI-YOLO</v>
      </c>
      <c r="D423" s="5" t="str">
        <f>IFERROR(__xludf.DUMMYFUNCTION("""COMPUTED_VALUE"""),"mAP50")</f>
        <v>mAP50</v>
      </c>
      <c r="E423" s="5" t="str">
        <f>IFERROR(__xludf.DUMMYFUNCTION("""COMPUTED_VALUE"""),"mAP@0.5")</f>
        <v>mAP@0.5</v>
      </c>
      <c r="F423" s="5">
        <f>IFERROR(__xludf.DUMMYFUNCTION("""COMPUTED_VALUE"""),82.8)</f>
        <v>82.8</v>
      </c>
      <c r="G423" s="15">
        <f>IFERROR(__xludf.DUMMYFUNCTION("""COMPUTED_VALUE"""),-0.5)</f>
        <v>-0.5</v>
      </c>
    </row>
    <row r="424" ht="15.75" customHeight="1">
      <c r="A424" s="5" t="str">
        <f>IFERROR(__xludf.DUMMYFUNCTION("""COMPUTED_VALUE"""),"SCOPUS-000257")</f>
        <v>SCOPUS-000257</v>
      </c>
      <c r="B424" s="5" t="str">
        <f>IFERROR(__xludf.DUMMYFUNCTION("""COMPUTED_VALUE"""),"SCOPUS-000257-3")</f>
        <v>SCOPUS-000257-3</v>
      </c>
      <c r="C424" s="6" t="str">
        <f>IFERROR(__xludf.DUMMYFUNCTION("""COMPUTED_VALUE"""),"YOLO v11n + ADown + LADH")</f>
        <v>YOLO v11n + ADown + LADH</v>
      </c>
      <c r="D424" s="5" t="str">
        <f>IFERROR(__xludf.DUMMYFUNCTION("""COMPUTED_VALUE"""),"mAP50")</f>
        <v>mAP50</v>
      </c>
      <c r="E424" s="5" t="str">
        <f>IFERROR(__xludf.DUMMYFUNCTION("""COMPUTED_VALUE"""),"mAP@0.5")</f>
        <v>mAP@0.5</v>
      </c>
      <c r="F424" s="5">
        <f>IFERROR(__xludf.DUMMYFUNCTION("""COMPUTED_VALUE"""),83.5)</f>
        <v>83.5</v>
      </c>
      <c r="G424" s="15">
        <f>IFERROR(__xludf.DUMMYFUNCTION("""COMPUTED_VALUE"""),0.2)</f>
        <v>0.2</v>
      </c>
    </row>
    <row r="425" ht="15.75" customHeight="1">
      <c r="A425" s="5" t="str">
        <f>IFERROR(__xludf.DUMMYFUNCTION("""COMPUTED_VALUE"""),"SCOPUS-000258")</f>
        <v>SCOPUS-000258</v>
      </c>
      <c r="B425" s="5" t="str">
        <f>IFERROR(__xludf.DUMMYFUNCTION("""COMPUTED_VALUE"""),"SCOPUS-000258-1")</f>
        <v>SCOPUS-000258-1</v>
      </c>
      <c r="C425" s="6" t="str">
        <f>IFERROR(__xludf.DUMMYFUNCTION("""COMPUTED_VALUE"""),"YOLOv9-e")</f>
        <v>YOLOv9-e</v>
      </c>
      <c r="D425" s="5" t="str">
        <f>IFERROR(__xludf.DUMMYFUNCTION("""COMPUTED_VALUE"""),"mAP@50")</f>
        <v>mAP@50</v>
      </c>
      <c r="E425" s="5" t="str">
        <f>IFERROR(__xludf.DUMMYFUNCTION("""COMPUTED_VALUE"""),"mAP@0.5")</f>
        <v>mAP@0.5</v>
      </c>
      <c r="F425" s="5">
        <f>IFERROR(__xludf.DUMMYFUNCTION("""COMPUTED_VALUE"""),91.3)</f>
        <v>91.3</v>
      </c>
      <c r="G425" s="15">
        <f>IFERROR(__xludf.DUMMYFUNCTION("""COMPUTED_VALUE"""),0.7)</f>
        <v>0.7</v>
      </c>
    </row>
    <row r="426" ht="15.75" customHeight="1">
      <c r="A426" s="5" t="str">
        <f>IFERROR(__xludf.DUMMYFUNCTION("""COMPUTED_VALUE"""),"SCOPUS-000258")</f>
        <v>SCOPUS-000258</v>
      </c>
      <c r="B426" s="5" t="str">
        <f>IFERROR(__xludf.DUMMYFUNCTION("""COMPUTED_VALUE"""),"SCOPUS-000258-2")</f>
        <v>SCOPUS-000258-2</v>
      </c>
      <c r="C426" s="6" t="str">
        <f>IFERROR(__xludf.DUMMYFUNCTION("""COMPUTED_VALUE"""),"YOLOv9-c")</f>
        <v>YOLOv9-c</v>
      </c>
      <c r="D426" s="5" t="str">
        <f>IFERROR(__xludf.DUMMYFUNCTION("""COMPUTED_VALUE"""),"mAP@50")</f>
        <v>mAP@50</v>
      </c>
      <c r="E426" s="5" t="str">
        <f>IFERROR(__xludf.DUMMYFUNCTION("""COMPUTED_VALUE"""),"mAP@0.5")</f>
        <v>mAP@0.5</v>
      </c>
      <c r="F426" s="5">
        <f>IFERROR(__xludf.DUMMYFUNCTION("""COMPUTED_VALUE"""),91.1)</f>
        <v>91.1</v>
      </c>
      <c r="G426" s="15">
        <f>IFERROR(__xludf.DUMMYFUNCTION("""COMPUTED_VALUE"""),0.5)</f>
        <v>0.5</v>
      </c>
    </row>
    <row r="427" ht="15.75" customHeight="1">
      <c r="A427" s="5" t="str">
        <f>IFERROR(__xludf.DUMMYFUNCTION("""COMPUTED_VALUE"""),"SCOPUS-000258")</f>
        <v>SCOPUS-000258</v>
      </c>
      <c r="B427" s="5" t="str">
        <f>IFERROR(__xludf.DUMMYFUNCTION("""COMPUTED_VALUE"""),"SCOPUS-000258-3")</f>
        <v>SCOPUS-000258-3</v>
      </c>
      <c r="C427" s="6" t="str">
        <f>IFERROR(__xludf.DUMMYFUNCTION("""COMPUTED_VALUE"""),"YOLOv10s")</f>
        <v>YOLOv10s</v>
      </c>
      <c r="D427" s="5" t="str">
        <f>IFERROR(__xludf.DUMMYFUNCTION("""COMPUTED_VALUE"""),"mAP@50")</f>
        <v>mAP@50</v>
      </c>
      <c r="E427" s="5" t="str">
        <f>IFERROR(__xludf.DUMMYFUNCTION("""COMPUTED_VALUE"""),"mAP@0.5")</f>
        <v>mAP@0.5</v>
      </c>
      <c r="F427" s="5">
        <f>IFERROR(__xludf.DUMMYFUNCTION("""COMPUTED_VALUE"""),86.6)</f>
        <v>86.6</v>
      </c>
      <c r="G427" s="15">
        <f>IFERROR(__xludf.DUMMYFUNCTION("""COMPUTED_VALUE"""),-4.0)</f>
        <v>-4</v>
      </c>
    </row>
    <row r="428" ht="15.75" customHeight="1">
      <c r="A428" s="5" t="str">
        <f>IFERROR(__xludf.DUMMYFUNCTION("""COMPUTED_VALUE"""),"SCOPUS-000262")</f>
        <v>SCOPUS-000262</v>
      </c>
      <c r="B428" s="5" t="str">
        <f>IFERROR(__xludf.DUMMYFUNCTION("""COMPUTED_VALUE"""),"SCOPUS-000262-1")</f>
        <v>SCOPUS-000262-1</v>
      </c>
      <c r="C428" s="6" t="str">
        <f>IFERROR(__xludf.DUMMYFUNCTION("""COMPUTED_VALUE"""),"Faster R-CNN")</f>
        <v>Faster R-CNN</v>
      </c>
      <c r="D428" s="5" t="str">
        <f>IFERROR(__xludf.DUMMYFUNCTION("""COMPUTED_VALUE"""),"mAP@0.5")</f>
        <v>mAP@0.5</v>
      </c>
      <c r="E428" s="5" t="str">
        <f>IFERROR(__xludf.DUMMYFUNCTION("""COMPUTED_VALUE"""),"mAP@0.5")</f>
        <v>mAP@0.5</v>
      </c>
      <c r="F428" s="5">
        <f>IFERROR(__xludf.DUMMYFUNCTION("""COMPUTED_VALUE"""),93.28)</f>
        <v>93.28</v>
      </c>
      <c r="G428" s="15">
        <f>IFERROR(__xludf.DUMMYFUNCTION("""COMPUTED_VALUE"""),11.8)</f>
        <v>11.8</v>
      </c>
    </row>
    <row r="429" ht="15.75" customHeight="1">
      <c r="A429" s="5" t="str">
        <f>IFERROR(__xludf.DUMMYFUNCTION("""COMPUTED_VALUE"""),"SCOPUS-000281")</f>
        <v>SCOPUS-000281</v>
      </c>
      <c r="B429" s="5" t="str">
        <f>IFERROR(__xludf.DUMMYFUNCTION("""COMPUTED_VALUE"""),"SCOPUS-000281-1")</f>
        <v>SCOPUS-000281-1</v>
      </c>
      <c r="C429" s="6" t="str">
        <f>IFERROR(__xludf.DUMMYFUNCTION("""COMPUTED_VALUE"""),"Ensemble (UNet+SegFormer mit_b5 + DPT+DINOv2 vit_1/vit_b + ChangeMamba+VMamba base)")</f>
        <v>Ensemble (UNet+SegFormer mit_b5 + DPT+DINOv2 vit_1/vit_b + ChangeMamba+VMamba base)</v>
      </c>
      <c r="D429" s="5" t="str">
        <f>IFERROR(__xludf.DUMMYFUNCTION("""COMPUTED_VALUE"""),"mIoU")</f>
        <v>mIoU</v>
      </c>
      <c r="E429" s="5" t="str">
        <f>IFERROR(__xludf.DUMMYFUNCTION("""COMPUTED_VALUE"""),"mIoU")</f>
        <v>mIoU</v>
      </c>
      <c r="F429" s="5">
        <f>IFERROR(__xludf.DUMMYFUNCTION("""COMPUTED_VALUE"""),90.75)</f>
        <v>90.75</v>
      </c>
      <c r="G429" s="15">
        <f>IFERROR(__xludf.DUMMYFUNCTION("""COMPUTED_VALUE"""),2.8)</f>
        <v>2.8</v>
      </c>
    </row>
    <row r="430" ht="15.75" customHeight="1">
      <c r="A430" s="5" t="str">
        <f>IFERROR(__xludf.DUMMYFUNCTION("""COMPUTED_VALUE"""),"SCOPUS-000281")</f>
        <v>SCOPUS-000281</v>
      </c>
      <c r="B430" s="5" t="str">
        <f>IFERROR(__xludf.DUMMYFUNCTION("""COMPUTED_VALUE"""),"SCOPUS-000281-2")</f>
        <v>SCOPUS-000281-2</v>
      </c>
      <c r="C430" s="6" t="str">
        <f>IFERROR(__xludf.DUMMYFUNCTION("""COMPUTED_VALUE"""),"DPT + DINOv2 (vit_b)")</f>
        <v>DPT + DINOv2 (vit_b)</v>
      </c>
      <c r="D430" s="5" t="str">
        <f>IFERROR(__xludf.DUMMYFUNCTION("""COMPUTED_VALUE"""),"mIoU")</f>
        <v>mIoU</v>
      </c>
      <c r="E430" s="5" t="str">
        <f>IFERROR(__xludf.DUMMYFUNCTION("""COMPUTED_VALUE"""),"mIoU")</f>
        <v>mIoU</v>
      </c>
      <c r="F430" s="5">
        <f>IFERROR(__xludf.DUMMYFUNCTION("""COMPUTED_VALUE"""),90.18)</f>
        <v>90.18</v>
      </c>
      <c r="G430" s="15">
        <f>IFERROR(__xludf.DUMMYFUNCTION("""COMPUTED_VALUE"""),2.2)</f>
        <v>2.2</v>
      </c>
    </row>
    <row r="431" ht="15.75" customHeight="1">
      <c r="A431" s="5" t="str">
        <f>IFERROR(__xludf.DUMMYFUNCTION("""COMPUTED_VALUE"""),"SCOPUS-000281")</f>
        <v>SCOPUS-000281</v>
      </c>
      <c r="B431" s="5" t="str">
        <f>IFERROR(__xludf.DUMMYFUNCTION("""COMPUTED_VALUE"""),"SCOPUS-000281-3")</f>
        <v>SCOPUS-000281-3</v>
      </c>
      <c r="C431" s="6" t="str">
        <f>IFERROR(__xludf.DUMMYFUNCTION("""COMPUTED_VALUE"""),"DPT + DINOv2 (vit_1)")</f>
        <v>DPT + DINOv2 (vit_1)</v>
      </c>
      <c r="D431" s="5" t="str">
        <f>IFERROR(__xludf.DUMMYFUNCTION("""COMPUTED_VALUE"""),"mIoU")</f>
        <v>mIoU</v>
      </c>
      <c r="E431" s="5" t="str">
        <f>IFERROR(__xludf.DUMMYFUNCTION("""COMPUTED_VALUE"""),"mIoU")</f>
        <v>mIoU</v>
      </c>
      <c r="F431" s="5">
        <f>IFERROR(__xludf.DUMMYFUNCTION("""COMPUTED_VALUE"""),90.04)</f>
        <v>90.04</v>
      </c>
      <c r="G431" s="15">
        <f>IFERROR(__xludf.DUMMYFUNCTION("""COMPUTED_VALUE"""),2.1)</f>
        <v>2.1</v>
      </c>
    </row>
    <row r="432" ht="15.75" customHeight="1">
      <c r="A432" s="5" t="str">
        <f>IFERROR(__xludf.DUMMYFUNCTION("""COMPUTED_VALUE"""),"SCOPUS-000288")</f>
        <v>SCOPUS-000288</v>
      </c>
      <c r="B432" s="5" t="str">
        <f>IFERROR(__xludf.DUMMYFUNCTION("""COMPUTED_VALUE"""),"SCOPUS-000288-1")</f>
        <v>SCOPUS-000288-1</v>
      </c>
      <c r="C432" s="6" t="str">
        <f>IFERROR(__xludf.DUMMYFUNCTION("""COMPUTED_VALUE"""),"AWRC-DLMLO (RA-UNet + ShuffleNetV2 + LOA + CQN)")</f>
        <v>AWRC-DLMLO (RA-UNet + ShuffleNetV2 + LOA + CQN)</v>
      </c>
      <c r="D432" s="5" t="str">
        <f>IFERROR(__xludf.DUMMYFUNCTION("""COMPUTED_VALUE"""),"Accuy")</f>
        <v>Accuy</v>
      </c>
      <c r="E432" s="5" t="str">
        <f>IFERROR(__xludf.DUMMYFUNCTION("""COMPUTED_VALUE"""),"Accuracy")</f>
        <v>Accuracy</v>
      </c>
      <c r="F432" s="5">
        <f>IFERROR(__xludf.DUMMYFUNCTION("""COMPUTED_VALUE"""),99.11)</f>
        <v>99.11</v>
      </c>
      <c r="G432" s="15">
        <f>IFERROR(__xludf.DUMMYFUNCTION("""COMPUTED_VALUE"""),0.2)</f>
        <v>0.2</v>
      </c>
    </row>
    <row r="433" ht="15.75" customHeight="1">
      <c r="A433" s="5" t="str">
        <f>IFERROR(__xludf.DUMMYFUNCTION("""COMPUTED_VALUE"""),"SCOPUS-000289")</f>
        <v>SCOPUS-000289</v>
      </c>
      <c r="B433" s="5" t="str">
        <f>IFERROR(__xludf.DUMMYFUNCTION("""COMPUTED_VALUE"""),"SCOPUS-000289-1")</f>
        <v>SCOPUS-000289-1</v>
      </c>
      <c r="C433" s="6" t="str">
        <f>IFERROR(__xludf.DUMMYFUNCTION("""COMPUTED_VALUE"""),"YOLOv9c")</f>
        <v>YOLOv9c</v>
      </c>
      <c r="D433" s="5" t="str">
        <f>IFERROR(__xludf.DUMMYFUNCTION("""COMPUTED_VALUE"""),"mAP50")</f>
        <v>mAP50</v>
      </c>
      <c r="E433" s="5" t="str">
        <f>IFERROR(__xludf.DUMMYFUNCTION("""COMPUTED_VALUE"""),"mAP@0.5")</f>
        <v>mAP@0.5</v>
      </c>
      <c r="F433" s="5">
        <f>IFERROR(__xludf.DUMMYFUNCTION("""COMPUTED_VALUE"""),83.9)</f>
        <v>83.9</v>
      </c>
      <c r="G433" s="15">
        <f>IFERROR(__xludf.DUMMYFUNCTION("""COMPUTED_VALUE"""),3.3)</f>
        <v>3.3</v>
      </c>
    </row>
    <row r="434" ht="15.75" customHeight="1">
      <c r="A434" s="5" t="str">
        <f>IFERROR(__xludf.DUMMYFUNCTION("""COMPUTED_VALUE"""),"SCOPUS-000289")</f>
        <v>SCOPUS-000289</v>
      </c>
      <c r="B434" s="5" t="str">
        <f>IFERROR(__xludf.DUMMYFUNCTION("""COMPUTED_VALUE"""),"SCOPUS-000289-2")</f>
        <v>SCOPUS-000289-2</v>
      </c>
      <c r="C434" s="6" t="str">
        <f>IFERROR(__xludf.DUMMYFUNCTION("""COMPUTED_VALUE"""),"YOLOv9_cw5 (lightweight custom)")</f>
        <v>YOLOv9_cw5 (lightweight custom)</v>
      </c>
      <c r="D434" s="5" t="str">
        <f>IFERROR(__xludf.DUMMYFUNCTION("""COMPUTED_VALUE"""),"mAP50")</f>
        <v>mAP50</v>
      </c>
      <c r="E434" s="5" t="str">
        <f>IFERROR(__xludf.DUMMYFUNCTION("""COMPUTED_VALUE"""),"mAP@0.5")</f>
        <v>mAP@0.5</v>
      </c>
      <c r="F434" s="5">
        <f>IFERROR(__xludf.DUMMYFUNCTION("""COMPUTED_VALUE"""),82.1)</f>
        <v>82.1</v>
      </c>
      <c r="G434" s="15">
        <f>IFERROR(__xludf.DUMMYFUNCTION("""COMPUTED_VALUE"""),1.5)</f>
        <v>1.5</v>
      </c>
    </row>
    <row r="435" ht="15.75" customHeight="1">
      <c r="A435" s="5" t="str">
        <f>IFERROR(__xludf.DUMMYFUNCTION("""COMPUTED_VALUE"""),"SCOPUS-000306")</f>
        <v>SCOPUS-000306</v>
      </c>
      <c r="B435" s="5" t="str">
        <f>IFERROR(__xludf.DUMMYFUNCTION("""COMPUTED_VALUE"""),"SCOPUS-000306-1")</f>
        <v>SCOPUS-000306-1</v>
      </c>
      <c r="C435" s="6" t="str">
        <f>IFERROR(__xludf.DUMMYFUNCTION("""COMPUTED_VALUE"""),"YOLOv8 (Real-ESRGAN SR)")</f>
        <v>YOLOv8 (Real-ESRGAN SR)</v>
      </c>
      <c r="D435" s="5" t="str">
        <f>IFERROR(__xludf.DUMMYFUNCTION("""COMPUTED_VALUE"""),"MIOU")</f>
        <v>MIOU</v>
      </c>
      <c r="E435" s="5" t="str">
        <f>IFERROR(__xludf.DUMMYFUNCTION("""COMPUTED_VALUE"""),"mIoU")</f>
        <v>mIoU</v>
      </c>
      <c r="F435" s="5">
        <f>IFERROR(__xludf.DUMMYFUNCTION("""COMPUTED_VALUE"""),51.16)</f>
        <v>51.16</v>
      </c>
      <c r="G435" s="15">
        <f>IFERROR(__xludf.DUMMYFUNCTION("""COMPUTED_VALUE"""),-0.3)</f>
        <v>-0.3</v>
      </c>
    </row>
    <row r="436" ht="15.75" customHeight="1">
      <c r="A436" s="5" t="str">
        <f>IFERROR(__xludf.DUMMYFUNCTION("""COMPUTED_VALUE"""),"SCOPUS-000306")</f>
        <v>SCOPUS-000306</v>
      </c>
      <c r="B436" s="5" t="str">
        <f>IFERROR(__xludf.DUMMYFUNCTION("""COMPUTED_VALUE"""),"SCOPUS-000306-2")</f>
        <v>SCOPUS-000306-2</v>
      </c>
      <c r="C436" s="6" t="str">
        <f>IFERROR(__xludf.DUMMYFUNCTION("""COMPUTED_VALUE"""),"YOLOv8 (SR + multiple weed classes)")</f>
        <v>YOLOv8 (SR + multiple weed classes)</v>
      </c>
      <c r="D436" s="5" t="str">
        <f>IFERROR(__xludf.DUMMYFUNCTION("""COMPUTED_VALUE"""),"MIOU")</f>
        <v>MIOU</v>
      </c>
      <c r="E436" s="5" t="str">
        <f>IFERROR(__xludf.DUMMYFUNCTION("""COMPUTED_VALUE"""),"mIoU")</f>
        <v>mIoU</v>
      </c>
      <c r="F436" s="5">
        <f>IFERROR(__xludf.DUMMYFUNCTION("""COMPUTED_VALUE"""),50.89)</f>
        <v>50.89</v>
      </c>
      <c r="G436" s="15">
        <f>IFERROR(__xludf.DUMMYFUNCTION("""COMPUTED_VALUE"""),-0.6)</f>
        <v>-0.6</v>
      </c>
    </row>
    <row r="437" ht="15.75" customHeight="1">
      <c r="A437" s="5" t="str">
        <f>IFERROR(__xludf.DUMMYFUNCTION("""COMPUTED_VALUE"""),"SCOPUS-000319")</f>
        <v>SCOPUS-000319</v>
      </c>
      <c r="B437" s="5" t="str">
        <f>IFERROR(__xludf.DUMMYFUNCTION("""COMPUTED_VALUE"""),"SCOPUS-000319-1")</f>
        <v>SCOPUS-000319-1</v>
      </c>
      <c r="C437" s="6" t="str">
        <f>IFERROR(__xludf.DUMMYFUNCTION("""COMPUTED_VALUE"""),"InceptionV3 (ImageNet + custom head)")</f>
        <v>InceptionV3 (ImageNet + custom head)</v>
      </c>
      <c r="D437" s="5" t="str">
        <f>IFERROR(__xludf.DUMMYFUNCTION("""COMPUTED_VALUE"""),"Accuracy")</f>
        <v>Accuracy</v>
      </c>
      <c r="E437" s="5" t="str">
        <f>IFERROR(__xludf.DUMMYFUNCTION("""COMPUTED_VALUE"""),"Accuracy")</f>
        <v>Accuracy</v>
      </c>
      <c r="F437" s="5">
        <f>IFERROR(__xludf.DUMMYFUNCTION("""COMPUTED_VALUE"""),97.83)</f>
        <v>97.83</v>
      </c>
      <c r="G437" s="15">
        <f>IFERROR(__xludf.DUMMYFUNCTION("""COMPUTED_VALUE"""),6.2)</f>
        <v>6.2</v>
      </c>
    </row>
    <row r="438" ht="15.75" customHeight="1">
      <c r="A438" s="5" t="str">
        <f>IFERROR(__xludf.DUMMYFUNCTION("""COMPUTED_VALUE"""),"SCOPUS-000344")</f>
        <v>SCOPUS-000344</v>
      </c>
      <c r="B438" s="5" t="str">
        <f>IFERROR(__xludf.DUMMYFUNCTION("""COMPUTED_VALUE"""),"SCOPUS-000344-1")</f>
        <v>SCOPUS-000344-1</v>
      </c>
      <c r="C438" s="6" t="str">
        <f>IFERROR(__xludf.DUMMYFUNCTION("""COMPUTED_VALUE"""),"proposed model based HSV (R-CNN+VGG16)")</f>
        <v>proposed model based HSV (R-CNN+VGG16)</v>
      </c>
      <c r="D438" s="5" t="str">
        <f>IFERROR(__xludf.DUMMYFUNCTION("""COMPUTED_VALUE"""),"Accuracy")</f>
        <v>Accuracy</v>
      </c>
      <c r="E438" s="5" t="str">
        <f>IFERROR(__xludf.DUMMYFUNCTION("""COMPUTED_VALUE"""),"Accuracy")</f>
        <v>Accuracy</v>
      </c>
      <c r="F438" s="5">
        <f>IFERROR(__xludf.DUMMYFUNCTION("""COMPUTED_VALUE"""),98.3)</f>
        <v>98.3</v>
      </c>
      <c r="G438" s="15">
        <f>IFERROR(__xludf.DUMMYFUNCTION("""COMPUTED_VALUE"""),12.1)</f>
        <v>12.1</v>
      </c>
    </row>
    <row r="439" ht="15.75" customHeight="1">
      <c r="A439" s="5" t="str">
        <f>IFERROR(__xludf.DUMMYFUNCTION("""COMPUTED_VALUE"""),"SCOPUS-000364")</f>
        <v>SCOPUS-000364</v>
      </c>
      <c r="B439" s="5" t="str">
        <f>IFERROR(__xludf.DUMMYFUNCTION("""COMPUTED_VALUE"""),"SCOPUS-000364-1")</f>
        <v>SCOPUS-000364-1</v>
      </c>
      <c r="C439" s="6" t="str">
        <f>IFERROR(__xludf.DUMMYFUNCTION("""COMPUTED_VALUE"""),"RetinaNet R101-FPN (8x augmentation)")</f>
        <v>RetinaNet R101-FPN (8x augmentation)</v>
      </c>
      <c r="D439" s="5" t="str">
        <f>IFERROR(__xludf.DUMMYFUNCTION("""COMPUTED_VALUE"""),"mAP@0.5")</f>
        <v>mAP@0.5</v>
      </c>
      <c r="E439" s="5" t="str">
        <f>IFERROR(__xludf.DUMMYFUNCTION("""COMPUTED_VALUE"""),"mAP@0.5")</f>
        <v>mAP@0.5</v>
      </c>
      <c r="F439" s="5">
        <f>IFERROR(__xludf.DUMMYFUNCTION("""COMPUTED_VALUE"""),81.13)</f>
        <v>81.13</v>
      </c>
      <c r="G439" s="15">
        <f>IFERROR(__xludf.DUMMYFUNCTION("""COMPUTED_VALUE"""),4.2)</f>
        <v>4.2</v>
      </c>
    </row>
    <row r="440" ht="15.75" customHeight="1">
      <c r="A440" s="5" t="str">
        <f>IFERROR(__xludf.DUMMYFUNCTION("""COMPUTED_VALUE"""),"SCOPUS-000364")</f>
        <v>SCOPUS-000364</v>
      </c>
      <c r="B440" s="5" t="str">
        <f>IFERROR(__xludf.DUMMYFUNCTION("""COMPUTED_VALUE"""),"SCOPUS-000364-2")</f>
        <v>SCOPUS-000364-2</v>
      </c>
      <c r="C440" s="6" t="str">
        <f>IFERROR(__xludf.DUMMYFUNCTION("""COMPUTED_VALUE"""),"RetinaNet R101-FPN (no augmentation)")</f>
        <v>RetinaNet R101-FPN (no augmentation)</v>
      </c>
      <c r="D440" s="5" t="str">
        <f>IFERROR(__xludf.DUMMYFUNCTION("""COMPUTED_VALUE"""),"mAP@0.5")</f>
        <v>mAP@0.5</v>
      </c>
      <c r="E440" s="5" t="str">
        <f>IFERROR(__xludf.DUMMYFUNCTION("""COMPUTED_VALUE"""),"mAP@0.5")</f>
        <v>mAP@0.5</v>
      </c>
      <c r="F440" s="5">
        <f>IFERROR(__xludf.DUMMYFUNCTION("""COMPUTED_VALUE"""),79.98)</f>
        <v>79.98</v>
      </c>
      <c r="G440" s="15">
        <f>IFERROR(__xludf.DUMMYFUNCTION("""COMPUTED_VALUE"""),3.1)</f>
        <v>3.1</v>
      </c>
    </row>
    <row r="441" ht="15.75" customHeight="1">
      <c r="A441" s="5" t="str">
        <f>IFERROR(__xludf.DUMMYFUNCTION("""COMPUTED_VALUE"""),"SCOPUS-000372")</f>
        <v>SCOPUS-000372</v>
      </c>
      <c r="B441" s="5" t="str">
        <f>IFERROR(__xludf.DUMMYFUNCTION("""COMPUTED_VALUE"""),"SCOPUS-000372-1")</f>
        <v>SCOPUS-000372-1</v>
      </c>
      <c r="C441" s="6" t="str">
        <f>IFERROR(__xludf.DUMMYFUNCTION("""COMPUTED_VALUE"""),"HierbaNetV1 (two-block)")</f>
        <v>HierbaNetV1 (two-block)</v>
      </c>
      <c r="D441" s="5" t="str">
        <f>IFERROR(__xludf.DUMMYFUNCTION("""COMPUTED_VALUE"""),"Accuracy")</f>
        <v>Accuracy</v>
      </c>
      <c r="E441" s="5" t="str">
        <f>IFERROR(__xludf.DUMMYFUNCTION("""COMPUTED_VALUE"""),"Accuracy")</f>
        <v>Accuracy</v>
      </c>
      <c r="F441" s="5">
        <f>IFERROR(__xludf.DUMMYFUNCTION("""COMPUTED_VALUE"""),98.61)</f>
        <v>98.61</v>
      </c>
      <c r="G441" s="15">
        <f>IFERROR(__xludf.DUMMYFUNCTION("""COMPUTED_VALUE"""),0.7)</f>
        <v>0.7</v>
      </c>
    </row>
    <row r="442" ht="15.75" customHeight="1">
      <c r="A442" s="5" t="str">
        <f>IFERROR(__xludf.DUMMYFUNCTION("""COMPUTED_VALUE"""),"SCOPUS-000379")</f>
        <v>SCOPUS-000379</v>
      </c>
      <c r="B442" s="5" t="str">
        <f>IFERROR(__xludf.DUMMYFUNCTION("""COMPUTED_VALUE"""),"SCOPUS-000379-1")</f>
        <v>SCOPUS-000379-1</v>
      </c>
      <c r="C442" s="6" t="str">
        <f>IFERROR(__xludf.DUMMYFUNCTION("""COMPUTED_VALUE"""),"VGG16 (ImageNet transfer)")</f>
        <v>VGG16 (ImageNet transfer)</v>
      </c>
      <c r="D442" s="5" t="str">
        <f>IFERROR(__xludf.DUMMYFUNCTION("""COMPUTED_VALUE"""),"Accuracy (%)")</f>
        <v>Accuracy (%)</v>
      </c>
      <c r="E442" s="5" t="str">
        <f>IFERROR(__xludf.DUMMYFUNCTION("""COMPUTED_VALUE"""),"Accuracy")</f>
        <v>Accuracy</v>
      </c>
      <c r="F442" s="5">
        <f>IFERROR(__xludf.DUMMYFUNCTION("""COMPUTED_VALUE"""),97.83)</f>
        <v>97.83</v>
      </c>
      <c r="G442" s="15">
        <f>IFERROR(__xludf.DUMMYFUNCTION("""COMPUTED_VALUE"""),0.4)</f>
        <v>0.4</v>
      </c>
    </row>
    <row r="443" ht="15.75" customHeight="1">
      <c r="A443" s="5" t="str">
        <f>IFERROR(__xludf.DUMMYFUNCTION("""COMPUTED_VALUE"""),"SCOPUS-000379")</f>
        <v>SCOPUS-000379</v>
      </c>
      <c r="B443" s="5" t="str">
        <f>IFERROR(__xludf.DUMMYFUNCTION("""COMPUTED_VALUE"""),"SCOPUS-000379-2")</f>
        <v>SCOPUS-000379-2</v>
      </c>
      <c r="C443" s="6" t="str">
        <f>IFERROR(__xludf.DUMMYFUNCTION("""COMPUTED_VALUE"""),"Xception (ImageNet transfer)")</f>
        <v>Xception (ImageNet transfer)</v>
      </c>
      <c r="D443" s="5" t="str">
        <f>IFERROR(__xludf.DUMMYFUNCTION("""COMPUTED_VALUE"""),"Accuracy (%)")</f>
        <v>Accuracy (%)</v>
      </c>
      <c r="E443" s="5" t="str">
        <f>IFERROR(__xludf.DUMMYFUNCTION("""COMPUTED_VALUE"""),"Accuracy")</f>
        <v>Accuracy</v>
      </c>
      <c r="F443" s="5">
        <f>IFERROR(__xludf.DUMMYFUNCTION("""COMPUTED_VALUE"""),97.24)</f>
        <v>97.24</v>
      </c>
      <c r="G443" s="15">
        <f>IFERROR(__xludf.DUMMYFUNCTION("""COMPUTED_VALUE"""),-0.2)</f>
        <v>-0.2</v>
      </c>
    </row>
    <row r="444" ht="15.75" customHeight="1">
      <c r="A444" s="5" t="str">
        <f>IFERROR(__xludf.DUMMYFUNCTION("""COMPUTED_VALUE"""),"SCOPUS-000383")</f>
        <v>SCOPUS-000383</v>
      </c>
      <c r="B444" s="5" t="str">
        <f>IFERROR(__xludf.DUMMYFUNCTION("""COMPUTED_VALUE"""),"SCOPUS-000383-1")</f>
        <v>SCOPUS-000383-1</v>
      </c>
      <c r="C444" s="6" t="str">
        <f>IFERROR(__xludf.DUMMYFUNCTION("""COMPUTED_VALUE"""),"YOLOv3 Training Image Set 4+ (10 m, 40k iter, angle/random aug)")</f>
        <v>YOLOv3 Training Image Set 4+ (10 m, 40k iter, angle/random aug)</v>
      </c>
      <c r="D444" s="5" t="str">
        <f>IFERROR(__xludf.DUMMYFUNCTION("""COMPUTED_VALUE"""),"mAP @ T = 0.5")</f>
        <v>mAP @ T = 0.5</v>
      </c>
      <c r="E444" s="5" t="str">
        <f>IFERROR(__xludf.DUMMYFUNCTION("""COMPUTED_VALUE"""),"mAP@0.5")</f>
        <v>mAP@0.5</v>
      </c>
      <c r="F444" s="5">
        <f>IFERROR(__xludf.DUMMYFUNCTION("""COMPUTED_VALUE"""),54.25)</f>
        <v>54.25</v>
      </c>
      <c r="G444" s="15">
        <f>IFERROR(__xludf.DUMMYFUNCTION("""COMPUTED_VALUE"""),9.5)</f>
        <v>9.5</v>
      </c>
    </row>
    <row r="445" ht="15.75" customHeight="1">
      <c r="A445" s="5" t="str">
        <f>IFERROR(__xludf.DUMMYFUNCTION("""COMPUTED_VALUE"""),"SCOPUS-000402")</f>
        <v>SCOPUS-000402</v>
      </c>
      <c r="B445" s="5" t="str">
        <f>IFERROR(__xludf.DUMMYFUNCTION("""COMPUTED_VALUE"""),"SCOPUS-000402-1")</f>
        <v>SCOPUS-000402-1</v>
      </c>
      <c r="C445" s="6" t="str">
        <f>IFERROR(__xludf.DUMMYFUNCTION("""COMPUTED_VALUE"""),"YOLOv7 (all augmentation)")</f>
        <v>YOLOv7 (all augmentation)</v>
      </c>
      <c r="D445" s="5" t="str">
        <f>IFERROR(__xludf.DUMMYFUNCTION("""COMPUTED_VALUE"""),"mAP")</f>
        <v>mAP</v>
      </c>
      <c r="E445" s="5" t="str">
        <f>IFERROR(__xludf.DUMMYFUNCTION("""COMPUTED_VALUE"""),"mAP@0.5")</f>
        <v>mAP@0.5</v>
      </c>
      <c r="F445" s="5">
        <f>IFERROR(__xludf.DUMMYFUNCTION("""COMPUTED_VALUE"""),89.93)</f>
        <v>89.93</v>
      </c>
      <c r="G445" s="15">
        <f>IFERROR(__xludf.DUMMYFUNCTION("""COMPUTED_VALUE"""),11.2)</f>
        <v>11.2</v>
      </c>
    </row>
    <row r="446" ht="15.75" customHeight="1">
      <c r="A446" s="5" t="str">
        <f>IFERROR(__xludf.DUMMYFUNCTION("""COMPUTED_VALUE"""),"SCOPUS-000402")</f>
        <v>SCOPUS-000402</v>
      </c>
      <c r="B446" s="5" t="str">
        <f>IFERROR(__xludf.DUMMYFUNCTION("""COMPUTED_VALUE"""),"SCOPUS-000402-2")</f>
        <v>SCOPUS-000402-2</v>
      </c>
      <c r="C446" s="6" t="str">
        <f>IFERROR(__xludf.DUMMYFUNCTION("""COMPUTED_VALUE"""),"YOLOv7 (no augmentation)")</f>
        <v>YOLOv7 (no augmentation)</v>
      </c>
      <c r="D446" s="5" t="str">
        <f>IFERROR(__xludf.DUMMYFUNCTION("""COMPUTED_VALUE"""),"mAP")</f>
        <v>mAP</v>
      </c>
      <c r="E446" s="5" t="str">
        <f>IFERROR(__xludf.DUMMYFUNCTION("""COMPUTED_VALUE"""),"mAP@0.5")</f>
        <v>mAP@0.5</v>
      </c>
      <c r="F446" s="5">
        <f>IFERROR(__xludf.DUMMYFUNCTION("""COMPUTED_VALUE"""),88.5)</f>
        <v>88.5</v>
      </c>
      <c r="G446" s="15">
        <f>IFERROR(__xludf.DUMMYFUNCTION("""COMPUTED_VALUE"""),9.8)</f>
        <v>9.8</v>
      </c>
    </row>
    <row r="447" ht="15.75" customHeight="1">
      <c r="A447" s="5" t="str">
        <f>IFERROR(__xludf.DUMMYFUNCTION("""COMPUTED_VALUE"""),"SCOPUS-000402")</f>
        <v>SCOPUS-000402</v>
      </c>
      <c r="B447" s="5" t="str">
        <f>IFERROR(__xludf.DUMMYFUNCTION("""COMPUTED_VALUE"""),"SCOPUS-000402-3")</f>
        <v>SCOPUS-000402-3</v>
      </c>
      <c r="C447" s="6" t="str">
        <f>IFERROR(__xludf.DUMMYFUNCTION("""COMPUTED_VALUE"""),"YOLOv8x (all augmentation)")</f>
        <v>YOLOv8x (all augmentation)</v>
      </c>
      <c r="D447" s="5" t="str">
        <f>IFERROR(__xludf.DUMMYFUNCTION("""COMPUTED_VALUE"""),"mAP")</f>
        <v>mAP</v>
      </c>
      <c r="E447" s="5" t="str">
        <f>IFERROR(__xludf.DUMMYFUNCTION("""COMPUTED_VALUE"""),"mAP@0.5")</f>
        <v>mAP@0.5</v>
      </c>
      <c r="F447" s="5">
        <f>IFERROR(__xludf.DUMMYFUNCTION("""COMPUTED_VALUE"""),89.39)</f>
        <v>89.39</v>
      </c>
      <c r="G447" s="15">
        <f>IFERROR(__xludf.DUMMYFUNCTION("""COMPUTED_VALUE"""),10.7)</f>
        <v>10.7</v>
      </c>
    </row>
    <row r="448" ht="15.75" customHeight="1">
      <c r="A448" s="5" t="str">
        <f>IFERROR(__xludf.DUMMYFUNCTION("""COMPUTED_VALUE"""),"SCOPUS-000415")</f>
        <v>SCOPUS-000415</v>
      </c>
      <c r="B448" s="5" t="str">
        <f>IFERROR(__xludf.DUMMYFUNCTION("""COMPUTED_VALUE"""),"SCOPUS-000415-1")</f>
        <v>SCOPUS-000415-1</v>
      </c>
      <c r="C448" s="6" t="str">
        <f>IFERROR(__xludf.DUMMYFUNCTION("""COMPUTED_VALUE"""),"Deeplab-v3 ResNet50 (trained with noise sigmaN=160, tested on baseline)")</f>
        <v>Deeplab-v3 ResNet50 (trained with noise sigmaN=160, tested on baseline)</v>
      </c>
      <c r="D448" s="5" t="str">
        <f>IFERROR(__xludf.DUMMYFUNCTION("""COMPUTED_VALUE"""),"mIoU (%)")</f>
        <v>mIoU (%)</v>
      </c>
      <c r="E448" s="5" t="str">
        <f>IFERROR(__xludf.DUMMYFUNCTION("""COMPUTED_VALUE"""),"mIoU")</f>
        <v>mIoU</v>
      </c>
      <c r="F448" s="5">
        <f>IFERROR(__xludf.DUMMYFUNCTION("""COMPUTED_VALUE"""),69.6)</f>
        <v>69.6</v>
      </c>
      <c r="G448" s="15">
        <f>IFERROR(__xludf.DUMMYFUNCTION("""COMPUTED_VALUE"""),1.0)</f>
        <v>1</v>
      </c>
    </row>
    <row r="449" ht="15.75" customHeight="1">
      <c r="A449" s="5" t="str">
        <f>IFERROR(__xludf.DUMMYFUNCTION("""COMPUTED_VALUE"""),"SCOPUS-000415")</f>
        <v>SCOPUS-000415</v>
      </c>
      <c r="B449" s="5" t="str">
        <f>IFERROR(__xludf.DUMMYFUNCTION("""COMPUTED_VALUE"""),"SCOPUS-000415-2")</f>
        <v>SCOPUS-000415-2</v>
      </c>
      <c r="C449" s="6" t="str">
        <f>IFERROR(__xludf.DUMMYFUNCTION("""COMPUTED_VALUE"""),"Deeplab-v3 ResNet50 (trained with noise sigmaN=80, tested on baseline)")</f>
        <v>Deeplab-v3 ResNet50 (trained with noise sigmaN=80, tested on baseline)</v>
      </c>
      <c r="D449" s="5" t="str">
        <f>IFERROR(__xludf.DUMMYFUNCTION("""COMPUTED_VALUE"""),"mIoU (%)")</f>
        <v>mIoU (%)</v>
      </c>
      <c r="E449" s="5" t="str">
        <f>IFERROR(__xludf.DUMMYFUNCTION("""COMPUTED_VALUE"""),"mIoU")</f>
        <v>mIoU</v>
      </c>
      <c r="F449" s="5">
        <f>IFERROR(__xludf.DUMMYFUNCTION("""COMPUTED_VALUE"""),69.3)</f>
        <v>69.3</v>
      </c>
      <c r="G449" s="15">
        <f>IFERROR(__xludf.DUMMYFUNCTION("""COMPUTED_VALUE"""),0.7)</f>
        <v>0.7</v>
      </c>
    </row>
    <row r="450" ht="15.75" customHeight="1">
      <c r="A450" s="5" t="str">
        <f>IFERROR(__xludf.DUMMYFUNCTION("""COMPUTED_VALUE"""),"SCOPUS-000421")</f>
        <v>SCOPUS-000421</v>
      </c>
      <c r="B450" s="5" t="str">
        <f>IFERROR(__xludf.DUMMYFUNCTION("""COMPUTED_VALUE"""),"SCOPUS-000421-1")</f>
        <v>SCOPUS-000421-1</v>
      </c>
      <c r="C450" s="6" t="str">
        <f>IFERROR(__xludf.DUMMYFUNCTION("""COMPUTED_VALUE"""),"YOLOv5m")</f>
        <v>YOLOv5m</v>
      </c>
      <c r="D450" s="5" t="str">
        <f>IFERROR(__xludf.DUMMYFUNCTION("""COMPUTED_VALUE"""),"AP")</f>
        <v>AP</v>
      </c>
      <c r="E450" s="5" t="str">
        <f>IFERROR(__xludf.DUMMYFUNCTION("""COMPUTED_VALUE"""),"mAP@0.5")</f>
        <v>mAP@0.5</v>
      </c>
      <c r="F450" s="5">
        <f>IFERROR(__xludf.DUMMYFUNCTION("""COMPUTED_VALUE"""),41.1)</f>
        <v>41.1</v>
      </c>
      <c r="G450" s="15">
        <f>IFERROR(__xludf.DUMMYFUNCTION("""COMPUTED_VALUE"""),5.9)</f>
        <v>5.9</v>
      </c>
    </row>
    <row r="451" ht="15.75" customHeight="1">
      <c r="A451" s="5" t="str">
        <f>IFERROR(__xludf.DUMMYFUNCTION("""COMPUTED_VALUE"""),"SCOPUS-000429")</f>
        <v>SCOPUS-000429</v>
      </c>
      <c r="B451" s="5" t="str">
        <f>IFERROR(__xludf.DUMMYFUNCTION("""COMPUTED_VALUE"""),"SCOPUS-000429-1")</f>
        <v>SCOPUS-000429-1</v>
      </c>
      <c r="C451" s="6" t="str">
        <f>IFERROR(__xludf.DUMMYFUNCTION("""COMPUTED_VALUE"""),"YOLOv5")</f>
        <v>YOLOv5</v>
      </c>
      <c r="D451" s="5" t="str">
        <f>IFERROR(__xludf.DUMMYFUNCTION("""COMPUTED_VALUE"""),"Mean average precision")</f>
        <v>Mean average precision</v>
      </c>
      <c r="E451" s="5" t="str">
        <f>IFERROR(__xludf.DUMMYFUNCTION("""COMPUTED_VALUE"""),"mAP@0.5")</f>
        <v>mAP@0.5</v>
      </c>
      <c r="F451" s="5">
        <f>IFERROR(__xludf.DUMMYFUNCTION("""COMPUTED_VALUE"""),92.4)</f>
        <v>92.4</v>
      </c>
      <c r="G451" s="15">
        <f>IFERROR(__xludf.DUMMYFUNCTION("""COMPUTED_VALUE"""),0.6)</f>
        <v>0.6</v>
      </c>
    </row>
    <row r="452" ht="15.75" customHeight="1">
      <c r="A452" s="5" t="str">
        <f>IFERROR(__xludf.DUMMYFUNCTION("""COMPUTED_VALUE"""),"SCOPUS-000429")</f>
        <v>SCOPUS-000429</v>
      </c>
      <c r="B452" s="5" t="str">
        <f>IFERROR(__xludf.DUMMYFUNCTION("""COMPUTED_VALUE"""),"SCOPUS-000429-2")</f>
        <v>SCOPUS-000429-2</v>
      </c>
      <c r="C452" s="6" t="str">
        <f>IFERROR(__xludf.DUMMYFUNCTION("""COMPUTED_VALUE"""),"Faster R-CNN")</f>
        <v>Faster R-CNN</v>
      </c>
      <c r="D452" s="5" t="str">
        <f>IFERROR(__xludf.DUMMYFUNCTION("""COMPUTED_VALUE"""),"Mean average precision")</f>
        <v>Mean average precision</v>
      </c>
      <c r="E452" s="5" t="str">
        <f>IFERROR(__xludf.DUMMYFUNCTION("""COMPUTED_VALUE"""),"mAP@0.5")</f>
        <v>mAP@0.5</v>
      </c>
      <c r="F452" s="5">
        <f>IFERROR(__xludf.DUMMYFUNCTION("""COMPUTED_VALUE"""),92.15)</f>
        <v>92.15</v>
      </c>
      <c r="G452" s="15">
        <f>IFERROR(__xludf.DUMMYFUNCTION("""COMPUTED_VALUE"""),0.4)</f>
        <v>0.4</v>
      </c>
    </row>
    <row r="453" ht="15.75" customHeight="1">
      <c r="A453" s="5" t="str">
        <f>IFERROR(__xludf.DUMMYFUNCTION("""COMPUTED_VALUE"""),"SCOPUS-000441")</f>
        <v>SCOPUS-000441</v>
      </c>
      <c r="B453" s="5" t="str">
        <f>IFERROR(__xludf.DUMMYFUNCTION("""COMPUTED_VALUE"""),"SCOPUS-000441-1")</f>
        <v>SCOPUS-000441-1</v>
      </c>
      <c r="C453" s="6" t="str">
        <f>IFERROR(__xludf.DUMMYFUNCTION("""COMPUTED_VALUE"""),"DenseInception+ASPP+CnSAU (proposed)")</f>
        <v>DenseInception+ASPP+CnSAU (proposed)</v>
      </c>
      <c r="D453" s="5" t="str">
        <f>IFERROR(__xludf.DUMMYFUNCTION("""COMPUTED_VALUE"""),"mIoU")</f>
        <v>mIoU</v>
      </c>
      <c r="E453" s="5" t="str">
        <f>IFERROR(__xludf.DUMMYFUNCTION("""COMPUTED_VALUE"""),"mIoU")</f>
        <v>mIoU</v>
      </c>
      <c r="F453" s="5">
        <f>IFERROR(__xludf.DUMMYFUNCTION("""COMPUTED_VALUE"""),81.0)</f>
        <v>81</v>
      </c>
      <c r="G453" s="15">
        <f>IFERROR(__xludf.DUMMYFUNCTION("""COMPUTED_VALUE"""),10.0)</f>
        <v>10</v>
      </c>
    </row>
    <row r="454" ht="15.75" customHeight="1">
      <c r="A454" s="5" t="str">
        <f>IFERROR(__xludf.DUMMYFUNCTION("""COMPUTED_VALUE"""),"SCOPUS-000441")</f>
        <v>SCOPUS-000441</v>
      </c>
      <c r="B454" s="5" t="str">
        <f>IFERROR(__xludf.DUMMYFUNCTION("""COMPUTED_VALUE"""),"SCOPUS-000441-2")</f>
        <v>SCOPUS-000441-2</v>
      </c>
      <c r="C454" s="6" t="str">
        <f>IFERROR(__xludf.DUMMYFUNCTION("""COMPUTED_VALUE"""),"DenseInception+ASPP+channel (max)+spatial attention")</f>
        <v>DenseInception+ASPP+channel (max)+spatial attention</v>
      </c>
      <c r="D454" s="5" t="str">
        <f>IFERROR(__xludf.DUMMYFUNCTION("""COMPUTED_VALUE"""),"mIoU")</f>
        <v>mIoU</v>
      </c>
      <c r="E454" s="5" t="str">
        <f>IFERROR(__xludf.DUMMYFUNCTION("""COMPUTED_VALUE"""),"mIoU")</f>
        <v>mIoU</v>
      </c>
      <c r="F454" s="5">
        <f>IFERROR(__xludf.DUMMYFUNCTION("""COMPUTED_VALUE"""),80.0)</f>
        <v>80</v>
      </c>
      <c r="G454" s="15">
        <f>IFERROR(__xludf.DUMMYFUNCTION("""COMPUTED_VALUE"""),9.0)</f>
        <v>9</v>
      </c>
    </row>
    <row r="455" ht="15.75" customHeight="1">
      <c r="A455" s="5" t="str">
        <f>IFERROR(__xludf.DUMMYFUNCTION("""COMPUTED_VALUE"""),"SCOPUS-000441")</f>
        <v>SCOPUS-000441</v>
      </c>
      <c r="B455" s="5" t="str">
        <f>IFERROR(__xludf.DUMMYFUNCTION("""COMPUTED_VALUE"""),"SCOPUS-000441-3")</f>
        <v>SCOPUS-000441-3</v>
      </c>
      <c r="C455" s="6" t="str">
        <f>IFERROR(__xludf.DUMMYFUNCTION("""COMPUTED_VALUE"""),"DenseInception+ASPP (dilation 1,2,3,4)")</f>
        <v>DenseInception+ASPP (dilation 1,2,3,4)</v>
      </c>
      <c r="D455" s="5" t="str">
        <f>IFERROR(__xludf.DUMMYFUNCTION("""COMPUTED_VALUE"""),"mIoU")</f>
        <v>mIoU</v>
      </c>
      <c r="E455" s="5" t="str">
        <f>IFERROR(__xludf.DUMMYFUNCTION("""COMPUTED_VALUE"""),"mIoU")</f>
        <v>mIoU</v>
      </c>
      <c r="F455" s="5">
        <f>IFERROR(__xludf.DUMMYFUNCTION("""COMPUTED_VALUE"""),77.0)</f>
        <v>77</v>
      </c>
      <c r="G455" s="15">
        <f>IFERROR(__xludf.DUMMYFUNCTION("""COMPUTED_VALUE"""),6.0)</f>
        <v>6</v>
      </c>
    </row>
    <row r="456" ht="15.75" customHeight="1">
      <c r="A456" s="5" t="str">
        <f>IFERROR(__xludf.DUMMYFUNCTION("""COMPUTED_VALUE"""),"SCOPUS-000454")</f>
        <v>SCOPUS-000454</v>
      </c>
      <c r="B456" s="5" t="str">
        <f>IFERROR(__xludf.DUMMYFUNCTION("""COMPUTED_VALUE"""),"SCOPUS-000454-1")</f>
        <v>SCOPUS-000454-1</v>
      </c>
      <c r="C456" s="6" t="str">
        <f>IFERROR(__xludf.DUMMYFUNCTION("""COMPUTED_VALUE"""),"ResNet50 (real + ADM-G synthetic)")</f>
        <v>ResNet50 (real + ADM-G synthetic)</v>
      </c>
      <c r="D456" s="5" t="str">
        <f>IFERROR(__xludf.DUMMYFUNCTION("""COMPUTED_VALUE"""),"Top-1 acc.")</f>
        <v>Top-1 acc.</v>
      </c>
      <c r="E456" s="5" t="str">
        <f>IFERROR(__xludf.DUMMYFUNCTION("""COMPUTED_VALUE"""),"Accuracy")</f>
        <v>Accuracy</v>
      </c>
      <c r="F456" s="5">
        <f>IFERROR(__xludf.DUMMYFUNCTION("""COMPUTED_VALUE"""),99.37)</f>
        <v>99.37</v>
      </c>
      <c r="G456" s="15">
        <f>IFERROR(__xludf.DUMMYFUNCTION("""COMPUTED_VALUE"""),0.9)</f>
        <v>0.9</v>
      </c>
    </row>
    <row r="457" ht="15.75" customHeight="1">
      <c r="A457" s="5" t="str">
        <f>IFERROR(__xludf.DUMMYFUNCTION("""COMPUTED_VALUE"""),"SCOPUS-000454")</f>
        <v>SCOPUS-000454</v>
      </c>
      <c r="B457" s="5" t="str">
        <f>IFERROR(__xludf.DUMMYFUNCTION("""COMPUTED_VALUE"""),"SCOPUS-000454-2")</f>
        <v>SCOPUS-000454-2</v>
      </c>
      <c r="C457" s="6" t="str">
        <f>IFERROR(__xludf.DUMMYFUNCTION("""COMPUTED_VALUE"""),"DenseNet121 (real + ADM-G synthetic)")</f>
        <v>DenseNet121 (real + ADM-G synthetic)</v>
      </c>
      <c r="D457" s="5" t="str">
        <f>IFERROR(__xludf.DUMMYFUNCTION("""COMPUTED_VALUE"""),"Top-1 acc.")</f>
        <v>Top-1 acc.</v>
      </c>
      <c r="E457" s="5" t="str">
        <f>IFERROR(__xludf.DUMMYFUNCTION("""COMPUTED_VALUE"""),"Accuracy")</f>
        <v>Accuracy</v>
      </c>
      <c r="F457" s="5">
        <f>IFERROR(__xludf.DUMMYFUNCTION("""COMPUTED_VALUE"""),99.28)</f>
        <v>99.28</v>
      </c>
      <c r="G457" s="15">
        <f>IFERROR(__xludf.DUMMYFUNCTION("""COMPUTED_VALUE"""),0.8)</f>
        <v>0.8</v>
      </c>
    </row>
    <row r="458" ht="15.75" customHeight="1">
      <c r="A458" s="5" t="str">
        <f>IFERROR(__xludf.DUMMYFUNCTION("""COMPUTED_VALUE"""),"SCOPUS-000454")</f>
        <v>SCOPUS-000454</v>
      </c>
      <c r="B458" s="5" t="str">
        <f>IFERROR(__xludf.DUMMYFUNCTION("""COMPUTED_VALUE"""),"SCOPUS-000454-3")</f>
        <v>SCOPUS-000454-3</v>
      </c>
      <c r="C458" s="6" t="str">
        <f>IFERROR(__xludf.DUMMYFUNCTION("""COMPUTED_VALUE"""),"Inception-v3 (real + ADM-G synthetic)")</f>
        <v>Inception-v3 (real + ADM-G synthetic)</v>
      </c>
      <c r="D458" s="5" t="str">
        <f>IFERROR(__xludf.DUMMYFUNCTION("""COMPUTED_VALUE"""),"Top-1 acc.")</f>
        <v>Top-1 acc.</v>
      </c>
      <c r="E458" s="5" t="str">
        <f>IFERROR(__xludf.DUMMYFUNCTION("""COMPUTED_VALUE"""),"Accuracy")</f>
        <v>Accuracy</v>
      </c>
      <c r="F458" s="5">
        <f>IFERROR(__xludf.DUMMYFUNCTION("""COMPUTED_VALUE"""),98.47)</f>
        <v>98.47</v>
      </c>
      <c r="G458" s="15">
        <f>IFERROR(__xludf.DUMMYFUNCTION("""COMPUTED_VALUE"""),0.0)</f>
        <v>0</v>
      </c>
    </row>
    <row r="459" ht="15.75" customHeight="1">
      <c r="A459" s="5" t="str">
        <f>IFERROR(__xludf.DUMMYFUNCTION("""COMPUTED_VALUE"""),"SCOPUS-000459")</f>
        <v>SCOPUS-000459</v>
      </c>
      <c r="B459" s="5" t="str">
        <f>IFERROR(__xludf.DUMMYFUNCTION("""COMPUTED_VALUE"""),"SCOPUS-000459-1")</f>
        <v>SCOPUS-000459-1</v>
      </c>
      <c r="C459" s="6" t="str">
        <f>IFERROR(__xludf.DUMMYFUNCTION("""COMPUTED_VALUE"""),"Inception V4 (pre-trained, mixed)")</f>
        <v>Inception V4 (pre-trained, mixed)</v>
      </c>
      <c r="D459" s="5" t="str">
        <f>IFERROR(__xludf.DUMMYFUNCTION("""COMPUTED_VALUE"""),"Accuracy")</f>
        <v>Accuracy</v>
      </c>
      <c r="E459" s="5" t="str">
        <f>IFERROR(__xludf.DUMMYFUNCTION("""COMPUTED_VALUE"""),"Accuracy")</f>
        <v>Accuracy</v>
      </c>
      <c r="F459" s="5">
        <f>IFERROR(__xludf.DUMMYFUNCTION("""COMPUTED_VALUE"""),99.51)</f>
        <v>99.51</v>
      </c>
      <c r="G459" s="15">
        <f>IFERROR(__xludf.DUMMYFUNCTION("""COMPUTED_VALUE"""),0.1)</f>
        <v>0.1</v>
      </c>
    </row>
    <row r="460" ht="15.75" customHeight="1">
      <c r="A460" s="5" t="str">
        <f>IFERROR(__xludf.DUMMYFUNCTION("""COMPUTED_VALUE"""),"SCOPUS-000459")</f>
        <v>SCOPUS-000459</v>
      </c>
      <c r="B460" s="5" t="str">
        <f>IFERROR(__xludf.DUMMYFUNCTION("""COMPUTED_VALUE"""),"SCOPUS-000459-2")</f>
        <v>SCOPUS-000459-2</v>
      </c>
      <c r="C460" s="6" t="str">
        <f>IFERROR(__xludf.DUMMYFUNCTION("""COMPUTED_VALUE"""),"Inception V3 (pre-trained, mixed)")</f>
        <v>Inception V3 (pre-trained, mixed)</v>
      </c>
      <c r="D460" s="5" t="str">
        <f>IFERROR(__xludf.DUMMYFUNCTION("""COMPUTED_VALUE"""),"Accuracy")</f>
        <v>Accuracy</v>
      </c>
      <c r="E460" s="5" t="str">
        <f>IFERROR(__xludf.DUMMYFUNCTION("""COMPUTED_VALUE"""),"Accuracy")</f>
        <v>Accuracy</v>
      </c>
      <c r="F460" s="5">
        <f>IFERROR(__xludf.DUMMYFUNCTION("""COMPUTED_VALUE"""),99.17)</f>
        <v>99.17</v>
      </c>
      <c r="G460" s="15">
        <f>IFERROR(__xludf.DUMMYFUNCTION("""COMPUTED_VALUE"""),-0.2)</f>
        <v>-0.2</v>
      </c>
    </row>
    <row r="461" ht="15.75" customHeight="1">
      <c r="A461" s="5" t="str">
        <f>IFERROR(__xludf.DUMMYFUNCTION("""COMPUTED_VALUE"""),"SCOPUS-000459")</f>
        <v>SCOPUS-000459</v>
      </c>
      <c r="B461" s="5" t="str">
        <f>IFERROR(__xludf.DUMMYFUNCTION("""COMPUTED_VALUE"""),"SCOPUS-000459-3")</f>
        <v>SCOPUS-000459-3</v>
      </c>
      <c r="C461" s="6" t="str">
        <f>IFERROR(__xludf.DUMMYFUNCTION("""COMPUTED_VALUE"""),"MobileNet V2 (pre-trained, mixed)")</f>
        <v>MobileNet V2 (pre-trained, mixed)</v>
      </c>
      <c r="D461" s="5" t="str">
        <f>IFERROR(__xludf.DUMMYFUNCTION("""COMPUTED_VALUE"""),"Accuracy")</f>
        <v>Accuracy</v>
      </c>
      <c r="E461" s="5" t="str">
        <f>IFERROR(__xludf.DUMMYFUNCTION("""COMPUTED_VALUE"""),"Accuracy")</f>
        <v>Accuracy</v>
      </c>
      <c r="F461" s="5">
        <f>IFERROR(__xludf.DUMMYFUNCTION("""COMPUTED_VALUE"""),99.07)</f>
        <v>99.07</v>
      </c>
      <c r="G461" s="15">
        <f>IFERROR(__xludf.DUMMYFUNCTION("""COMPUTED_VALUE"""),-0.3)</f>
        <v>-0.3</v>
      </c>
    </row>
    <row r="462" ht="15.75" customHeight="1">
      <c r="A462" s="5" t="str">
        <f>IFERROR(__xludf.DUMMYFUNCTION("""COMPUTED_VALUE"""),"SCOPUS-000471")</f>
        <v>SCOPUS-000471</v>
      </c>
      <c r="B462" s="5" t="str">
        <f>IFERROR(__xludf.DUMMYFUNCTION("""COMPUTED_VALUE"""),"SCOPUS-000471-1")</f>
        <v>SCOPUS-000471-1</v>
      </c>
      <c r="C462" s="6" t="str">
        <f>IFERROR(__xludf.DUMMYFUNCTION("""COMPUTED_VALUE"""),"GAN-DCNN")</f>
        <v>GAN-DCNN</v>
      </c>
      <c r="D462" s="5" t="str">
        <f>IFERROR(__xludf.DUMMYFUNCTION("""COMPUTED_VALUE"""),"Accuracy")</f>
        <v>Accuracy</v>
      </c>
      <c r="E462" s="5" t="str">
        <f>IFERROR(__xludf.DUMMYFUNCTION("""COMPUTED_VALUE"""),"Accuracy")</f>
        <v>Accuracy</v>
      </c>
      <c r="F462" s="5">
        <f>IFERROR(__xludf.DUMMYFUNCTION("""COMPUTED_VALUE"""),96.34)</f>
        <v>96.34</v>
      </c>
      <c r="G462" s="15">
        <f>IFERROR(__xludf.DUMMYFUNCTION("""COMPUTED_VALUE"""),2.2)</f>
        <v>2.2</v>
      </c>
    </row>
    <row r="463" ht="15.75" customHeight="1">
      <c r="A463" s="5" t="str">
        <f>IFERROR(__xludf.DUMMYFUNCTION("""COMPUTED_VALUE"""),"SCOPUS-000480")</f>
        <v>SCOPUS-000480</v>
      </c>
      <c r="B463" s="5" t="str">
        <f>IFERROR(__xludf.DUMMYFUNCTION("""COMPUTED_VALUE"""),"SCOPUS-000480-1")</f>
        <v>SCOPUS-000480-1</v>
      </c>
      <c r="C463" s="6" t="str">
        <f>IFERROR(__xludf.DUMMYFUNCTION("""COMPUTED_VALUE"""),"ResNet-50 (combined, real+augmented)")</f>
        <v>ResNet-50 (combined, real+augmented)</v>
      </c>
      <c r="D463" s="5" t="str">
        <f>IFERROR(__xludf.DUMMYFUNCTION("""COMPUTED_VALUE"""),"Testing accuracy")</f>
        <v>Testing accuracy</v>
      </c>
      <c r="E463" s="5" t="str">
        <f>IFERROR(__xludf.DUMMYFUNCTION("""COMPUTED_VALUE"""),"Accuracy")</f>
        <v>Accuracy</v>
      </c>
      <c r="F463" s="5">
        <f>IFERROR(__xludf.DUMMYFUNCTION("""COMPUTED_VALUE"""),98.3)</f>
        <v>98.3</v>
      </c>
      <c r="G463" s="15">
        <f>IFERROR(__xludf.DUMMYFUNCTION("""COMPUTED_VALUE"""),0.2)</f>
        <v>0.2</v>
      </c>
    </row>
    <row r="464" ht="15.75" customHeight="1">
      <c r="A464" s="5" t="str">
        <f>IFERROR(__xludf.DUMMYFUNCTION("""COMPUTED_VALUE"""),"SCOPUS-000480")</f>
        <v>SCOPUS-000480</v>
      </c>
      <c r="B464" s="5" t="str">
        <f>IFERROR(__xludf.DUMMYFUNCTION("""COMPUTED_VALUE"""),"SCOPUS-000480-2")</f>
        <v>SCOPUS-000480-2</v>
      </c>
      <c r="C464" s="6" t="str">
        <f>IFERROR(__xludf.DUMMYFUNCTION("""COMPUTED_VALUE"""),"Inception-V3 (combined, real+augmented)")</f>
        <v>Inception-V3 (combined, real+augmented)</v>
      </c>
      <c r="D464" s="5" t="str">
        <f>IFERROR(__xludf.DUMMYFUNCTION("""COMPUTED_VALUE"""),"Testing accuracy")</f>
        <v>Testing accuracy</v>
      </c>
      <c r="E464" s="5" t="str">
        <f>IFERROR(__xludf.DUMMYFUNCTION("""COMPUTED_VALUE"""),"Accuracy")</f>
        <v>Accuracy</v>
      </c>
      <c r="F464" s="5">
        <f>IFERROR(__xludf.DUMMYFUNCTION("""COMPUTED_VALUE"""),98.02)</f>
        <v>98.02</v>
      </c>
      <c r="G464" s="15">
        <f>IFERROR(__xludf.DUMMYFUNCTION("""COMPUTED_VALUE"""),0.0)</f>
        <v>0</v>
      </c>
    </row>
    <row r="465" ht="15.75" customHeight="1">
      <c r="A465" s="5" t="str">
        <f>IFERROR(__xludf.DUMMYFUNCTION("""COMPUTED_VALUE"""),"SCOPUS-000480")</f>
        <v>SCOPUS-000480</v>
      </c>
      <c r="B465" s="5" t="str">
        <f>IFERROR(__xludf.DUMMYFUNCTION("""COMPUTED_VALUE"""),"SCOPUS-000480-3")</f>
        <v>SCOPUS-000480-3</v>
      </c>
      <c r="C465" s="6" t="str">
        <f>IFERROR(__xludf.DUMMYFUNCTION("""COMPUTED_VALUE"""),"MobileNetV2 (combined, real+augmented)")</f>
        <v>MobileNetV2 (combined, real+augmented)</v>
      </c>
      <c r="D465" s="5" t="str">
        <f>IFERROR(__xludf.DUMMYFUNCTION("""COMPUTED_VALUE"""),"Testing accuracy")</f>
        <v>Testing accuracy</v>
      </c>
      <c r="E465" s="5" t="str">
        <f>IFERROR(__xludf.DUMMYFUNCTION("""COMPUTED_VALUE"""),"Accuracy")</f>
        <v>Accuracy</v>
      </c>
      <c r="F465" s="5">
        <f>IFERROR(__xludf.DUMMYFUNCTION("""COMPUTED_VALUE"""),98.02)</f>
        <v>98.02</v>
      </c>
      <c r="G465" s="15">
        <f>IFERROR(__xludf.DUMMYFUNCTION("""COMPUTED_VALUE"""),0.0)</f>
        <v>0</v>
      </c>
    </row>
    <row r="466" ht="15.75" customHeight="1">
      <c r="A466" s="5" t="str">
        <f>IFERROR(__xludf.DUMMYFUNCTION("""COMPUTED_VALUE"""),"SCOPUS-000492")</f>
        <v>SCOPUS-000492</v>
      </c>
      <c r="B466" s="5" t="str">
        <f>IFERROR(__xludf.DUMMYFUNCTION("""COMPUTED_VALUE"""),"SCOPUS-000492-1")</f>
        <v>SCOPUS-000492-1</v>
      </c>
      <c r="C466" s="6" t="str">
        <f>IFERROR(__xludf.DUMMYFUNCTION("""COMPUTED_VALUE"""),"AlexNet GAN-TL (real+synthetic)")</f>
        <v>AlexNet GAN-TL (real+synthetic)</v>
      </c>
      <c r="D466" s="5" t="str">
        <f>IFERROR(__xludf.DUMMYFUNCTION("""COMPUTED_VALUE"""),"accuracy")</f>
        <v>accuracy</v>
      </c>
      <c r="E466" s="5" t="str">
        <f>IFERROR(__xludf.DUMMYFUNCTION("""COMPUTED_VALUE"""),"Accuracy")</f>
        <v>Accuracy</v>
      </c>
      <c r="F466" s="5">
        <f>IFERROR(__xludf.DUMMYFUNCTION("""COMPUTED_VALUE"""),98.4)</f>
        <v>98.4</v>
      </c>
      <c r="G466" s="15">
        <f>IFERROR(__xludf.DUMMYFUNCTION("""COMPUTED_VALUE"""),1.3)</f>
        <v>1.3</v>
      </c>
    </row>
    <row r="467" ht="15.75" customHeight="1">
      <c r="A467" s="5" t="str">
        <f>IFERROR(__xludf.DUMMYFUNCTION("""COMPUTED_VALUE"""),"SCOPUS-000492")</f>
        <v>SCOPUS-000492</v>
      </c>
      <c r="B467" s="5" t="str">
        <f>IFERROR(__xludf.DUMMYFUNCTION("""COMPUTED_VALUE"""),"SCOPUS-000492-2")</f>
        <v>SCOPUS-000492-2</v>
      </c>
      <c r="C467" s="6" t="str">
        <f>IFERROR(__xludf.DUMMYFUNCTION("""COMPUTED_VALUE"""),"GAN-SVM (AlexNet features, real+synthetic)")</f>
        <v>GAN-SVM (AlexNet features, real+synthetic)</v>
      </c>
      <c r="D467" s="5" t="str">
        <f>IFERROR(__xludf.DUMMYFUNCTION("""COMPUTED_VALUE"""),"accuracy")</f>
        <v>accuracy</v>
      </c>
      <c r="E467" s="5" t="str">
        <f>IFERROR(__xludf.DUMMYFUNCTION("""COMPUTED_VALUE"""),"Accuracy")</f>
        <v>Accuracy</v>
      </c>
      <c r="F467" s="5">
        <f>IFERROR(__xludf.DUMMYFUNCTION("""COMPUTED_VALUE"""),96.0)</f>
        <v>96</v>
      </c>
      <c r="G467" s="15">
        <f>IFERROR(__xludf.DUMMYFUNCTION("""COMPUTED_VALUE"""),-1.1)</f>
        <v>-1.1</v>
      </c>
    </row>
    <row r="468" ht="15.75" customHeight="1">
      <c r="A468" s="5" t="str">
        <f>IFERROR(__xludf.DUMMYFUNCTION("""COMPUTED_VALUE"""),"SCOPUS-000492")</f>
        <v>SCOPUS-000492</v>
      </c>
      <c r="B468" s="5" t="str">
        <f>IFERROR(__xludf.DUMMYFUNCTION("""COMPUTED_VALUE"""),"SCOPUS-000492-3")</f>
        <v>SCOPUS-000492-3</v>
      </c>
      <c r="C468" s="6" t="str">
        <f>IFERROR(__xludf.DUMMYFUNCTION("""COMPUTED_VALUE"""),"GAN-LDA (AlexNet features, real+synthetic)")</f>
        <v>GAN-LDA (AlexNet features, real+synthetic)</v>
      </c>
      <c r="D468" s="5" t="str">
        <f>IFERROR(__xludf.DUMMYFUNCTION("""COMPUTED_VALUE"""),"accuracy")</f>
        <v>accuracy</v>
      </c>
      <c r="E468" s="5" t="str">
        <f>IFERROR(__xludf.DUMMYFUNCTION("""COMPUTED_VALUE"""),"Accuracy")</f>
        <v>Accuracy</v>
      </c>
      <c r="F468" s="5">
        <f>IFERROR(__xludf.DUMMYFUNCTION("""COMPUTED_VALUE"""),96.0)</f>
        <v>96</v>
      </c>
      <c r="G468" s="15">
        <f>IFERROR(__xludf.DUMMYFUNCTION("""COMPUTED_VALUE"""),-1.1)</f>
        <v>-1.1</v>
      </c>
    </row>
    <row r="469" ht="15.75" customHeight="1">
      <c r="A469" s="5" t="str">
        <f>IFERROR(__xludf.DUMMYFUNCTION("""COMPUTED_VALUE"""),"SCOPUS-000493")</f>
        <v>SCOPUS-000493</v>
      </c>
      <c r="B469" s="5" t="str">
        <f>IFERROR(__xludf.DUMMYFUNCTION("""COMPUTED_VALUE"""),"SCOPUS-000493-1")</f>
        <v>SCOPUS-000493-1</v>
      </c>
      <c r="C469" s="6" t="str">
        <f>IFERROR(__xludf.DUMMYFUNCTION("""COMPUTED_VALUE"""),"MobileNetV3Large")</f>
        <v>MobileNetV3Large</v>
      </c>
      <c r="D469" s="5" t="str">
        <f>IFERROR(__xludf.DUMMYFUNCTION("""COMPUTED_VALUE"""),"Acc")</f>
        <v>Acc</v>
      </c>
      <c r="E469" s="5" t="str">
        <f>IFERROR(__xludf.DUMMYFUNCTION("""COMPUTED_VALUE"""),"Accuracy")</f>
        <v>Accuracy</v>
      </c>
      <c r="F469" s="5">
        <f>IFERROR(__xludf.DUMMYFUNCTION("""COMPUTED_VALUE"""),89.06)</f>
        <v>89.06</v>
      </c>
      <c r="G469" s="15">
        <f>IFERROR(__xludf.DUMMYFUNCTION("""COMPUTED_VALUE"""),1.2)</f>
        <v>1.2</v>
      </c>
    </row>
    <row r="470" ht="15.75" customHeight="1">
      <c r="A470" s="5" t="str">
        <f>IFERROR(__xludf.DUMMYFUNCTION("""COMPUTED_VALUE"""),"SCOPUS-000493")</f>
        <v>SCOPUS-000493</v>
      </c>
      <c r="B470" s="5" t="str">
        <f>IFERROR(__xludf.DUMMYFUNCTION("""COMPUTED_VALUE"""),"SCOPUS-000493-2")</f>
        <v>SCOPUS-000493-2</v>
      </c>
      <c r="C470" s="6" t="str">
        <f>IFERROR(__xludf.DUMMYFUNCTION("""COMPUTED_VALUE"""),"MobileViT-16")</f>
        <v>MobileViT-16</v>
      </c>
      <c r="D470" s="5" t="str">
        <f>IFERROR(__xludf.DUMMYFUNCTION("""COMPUTED_VALUE"""),"Acc")</f>
        <v>Acc</v>
      </c>
      <c r="E470" s="5" t="str">
        <f>IFERROR(__xludf.DUMMYFUNCTION("""COMPUTED_VALUE"""),"Accuracy")</f>
        <v>Accuracy</v>
      </c>
      <c r="F470" s="5">
        <f>IFERROR(__xludf.DUMMYFUNCTION("""COMPUTED_VALUE"""),88.84)</f>
        <v>88.84</v>
      </c>
      <c r="G470" s="15">
        <f>IFERROR(__xludf.DUMMYFUNCTION("""COMPUTED_VALUE"""),1.0)</f>
        <v>1</v>
      </c>
    </row>
    <row r="471" ht="15.75" customHeight="1">
      <c r="A471" s="5" t="str">
        <f>IFERROR(__xludf.DUMMYFUNCTION("""COMPUTED_VALUE"""),"SCOPUS-000493")</f>
        <v>SCOPUS-000493</v>
      </c>
      <c r="B471" s="5" t="str">
        <f>IFERROR(__xludf.DUMMYFUNCTION("""COMPUTED_VALUE"""),"SCOPUS-000493-3")</f>
        <v>SCOPUS-000493-3</v>
      </c>
      <c r="C471" s="6" t="str">
        <f>IFERROR(__xludf.DUMMYFUNCTION("""COMPUTED_VALUE"""),"ResNet50")</f>
        <v>ResNet50</v>
      </c>
      <c r="D471" s="5" t="str">
        <f>IFERROR(__xludf.DUMMYFUNCTION("""COMPUTED_VALUE"""),"Acc")</f>
        <v>Acc</v>
      </c>
      <c r="E471" s="5" t="str">
        <f>IFERROR(__xludf.DUMMYFUNCTION("""COMPUTED_VALUE"""),"Accuracy")</f>
        <v>Accuracy</v>
      </c>
      <c r="F471" s="5">
        <f>IFERROR(__xludf.DUMMYFUNCTION("""COMPUTED_VALUE"""),88.77)</f>
        <v>88.77</v>
      </c>
      <c r="G471" s="15">
        <f>IFERROR(__xludf.DUMMYFUNCTION("""COMPUTED_VALUE"""),0.9)</f>
        <v>0.9</v>
      </c>
    </row>
    <row r="472" ht="15.75" customHeight="1">
      <c r="A472" s="5" t="str">
        <f>IFERROR(__xludf.DUMMYFUNCTION("""COMPUTED_VALUE"""),"SCOPUS-000505")</f>
        <v>SCOPUS-000505</v>
      </c>
      <c r="B472" s="5" t="str">
        <f>IFERROR(__xludf.DUMMYFUNCTION("""COMPUTED_VALUE"""),"SCOPUS-000505-1")</f>
        <v>SCOPUS-000505-1</v>
      </c>
      <c r="C472" s="6" t="str">
        <f>IFERROR(__xludf.DUMMYFUNCTION("""COMPUTED_VALUE"""),"Voting (ADSCFGWO)")</f>
        <v>Voting (ADSCFGWO)</v>
      </c>
      <c r="D472" s="5" t="str">
        <f>IFERROR(__xludf.DUMMYFUNCTION("""COMPUTED_VALUE"""),"Accuracy")</f>
        <v>Accuracy</v>
      </c>
      <c r="E472" s="5" t="str">
        <f>IFERROR(__xludf.DUMMYFUNCTION("""COMPUTED_VALUE"""),"Accuracy")</f>
        <v>Accuracy</v>
      </c>
      <c r="F472" s="5">
        <f>IFERROR(__xludf.DUMMYFUNCTION("""COMPUTED_VALUE"""),97.7)</f>
        <v>97.7</v>
      </c>
      <c r="G472" s="15">
        <f>IFERROR(__xludf.DUMMYFUNCTION("""COMPUTED_VALUE"""),4.2)</f>
        <v>4.2</v>
      </c>
    </row>
    <row r="473" ht="15.75" customHeight="1">
      <c r="A473" s="5" t="str">
        <f>IFERROR(__xludf.DUMMYFUNCTION("""COMPUTED_VALUE"""),"SCOPUS-000505")</f>
        <v>SCOPUS-000505</v>
      </c>
      <c r="B473" s="5" t="str">
        <f>IFERROR(__xludf.DUMMYFUNCTION("""COMPUTED_VALUE"""),"SCOPUS-000505-2")</f>
        <v>SCOPUS-000505-2</v>
      </c>
      <c r="C473" s="6" t="str">
        <f>IFERROR(__xludf.DUMMYFUNCTION("""COMPUTED_VALUE"""),"Voting (PSO)")</f>
        <v>Voting (PSO)</v>
      </c>
      <c r="D473" s="5" t="str">
        <f>IFERROR(__xludf.DUMMYFUNCTION("""COMPUTED_VALUE"""),"Accuracy")</f>
        <v>Accuracy</v>
      </c>
      <c r="E473" s="5" t="str">
        <f>IFERROR(__xludf.DUMMYFUNCTION("""COMPUTED_VALUE"""),"Accuracy")</f>
        <v>Accuracy</v>
      </c>
      <c r="F473" s="5">
        <f>IFERROR(__xludf.DUMMYFUNCTION("""COMPUTED_VALUE"""),95.4)</f>
        <v>95.4</v>
      </c>
      <c r="G473" s="15">
        <f>IFERROR(__xludf.DUMMYFUNCTION("""COMPUTED_VALUE"""),1.9)</f>
        <v>1.9</v>
      </c>
    </row>
    <row r="474" ht="15.75" customHeight="1">
      <c r="A474" s="5" t="str">
        <f>IFERROR(__xludf.DUMMYFUNCTION("""COMPUTED_VALUE"""),"SCOPUS-000505")</f>
        <v>SCOPUS-000505</v>
      </c>
      <c r="B474" s="5" t="str">
        <f>IFERROR(__xludf.DUMMYFUNCTION("""COMPUTED_VALUE"""),"SCOPUS-000505-3")</f>
        <v>SCOPUS-000505-3</v>
      </c>
      <c r="C474" s="6" t="str">
        <f>IFERROR(__xludf.DUMMYFUNCTION("""COMPUTED_VALUE"""),"Voting (GA)")</f>
        <v>Voting (GA)</v>
      </c>
      <c r="D474" s="5" t="str">
        <f>IFERROR(__xludf.DUMMYFUNCTION("""COMPUTED_VALUE"""),"Accuracy")</f>
        <v>Accuracy</v>
      </c>
      <c r="E474" s="5" t="str">
        <f>IFERROR(__xludf.DUMMYFUNCTION("""COMPUTED_VALUE"""),"Accuracy")</f>
        <v>Accuracy</v>
      </c>
      <c r="F474" s="5">
        <f>IFERROR(__xludf.DUMMYFUNCTION("""COMPUTED_VALUE"""),95.1)</f>
        <v>95.1</v>
      </c>
      <c r="G474" s="15">
        <f>IFERROR(__xludf.DUMMYFUNCTION("""COMPUTED_VALUE"""),1.6)</f>
        <v>1.6</v>
      </c>
    </row>
    <row r="475" ht="15.75" customHeight="1">
      <c r="A475" s="5" t="str">
        <f>IFERROR(__xludf.DUMMYFUNCTION("""COMPUTED_VALUE"""),"SCOPUS-000532")</f>
        <v>SCOPUS-000532</v>
      </c>
      <c r="B475" s="5" t="str">
        <f>IFERROR(__xludf.DUMMYFUNCTION("""COMPUTED_VALUE"""),"SCOPUS-000532-1")</f>
        <v>SCOPUS-000532-1</v>
      </c>
      <c r="C475" s="6" t="str">
        <f>IFERROR(__xludf.DUMMYFUNCTION("""COMPUTED_VALUE"""),"Swin-T YOLOv8+Slim-neck (RGB+NIR)")</f>
        <v>Swin-T YOLOv8+Slim-neck (RGB+NIR)</v>
      </c>
      <c r="D475" s="5" t="str">
        <f>IFERROR(__xludf.DUMMYFUNCTION("""COMPUTED_VALUE"""),"mAP0.5")</f>
        <v>mAP0.5</v>
      </c>
      <c r="E475" s="5" t="str">
        <f>IFERROR(__xludf.DUMMYFUNCTION("""COMPUTED_VALUE"""),"mAP@0.5")</f>
        <v>mAP@0.5</v>
      </c>
      <c r="F475" s="5">
        <f>IFERROR(__xludf.DUMMYFUNCTION("""COMPUTED_VALUE"""),96.0)</f>
        <v>96</v>
      </c>
      <c r="G475" s="15">
        <f>IFERROR(__xludf.DUMMYFUNCTION("""COMPUTED_VALUE"""),6.7)</f>
        <v>6.7</v>
      </c>
    </row>
    <row r="476" ht="15.75" customHeight="1">
      <c r="A476" s="5" t="str">
        <f>IFERROR(__xludf.DUMMYFUNCTION("""COMPUTED_VALUE"""),"SCOPUS-000532")</f>
        <v>SCOPUS-000532</v>
      </c>
      <c r="B476" s="5" t="str">
        <f>IFERROR(__xludf.DUMMYFUNCTION("""COMPUTED_VALUE"""),"SCOPUS-000532-2")</f>
        <v>SCOPUS-000532-2</v>
      </c>
      <c r="C476" s="6" t="str">
        <f>IFERROR(__xludf.DUMMYFUNCTION("""COMPUTED_VALUE"""),"Swin-T YOLOv8 (RGB+NIR)")</f>
        <v>Swin-T YOLOv8 (RGB+NIR)</v>
      </c>
      <c r="D476" s="5" t="str">
        <f>IFERROR(__xludf.DUMMYFUNCTION("""COMPUTED_VALUE"""),"mAP0.5")</f>
        <v>mAP0.5</v>
      </c>
      <c r="E476" s="5" t="str">
        <f>IFERROR(__xludf.DUMMYFUNCTION("""COMPUTED_VALUE"""),"mAP@0.5")</f>
        <v>mAP@0.5</v>
      </c>
      <c r="F476" s="5">
        <f>IFERROR(__xludf.DUMMYFUNCTION("""COMPUTED_VALUE"""),95.5)</f>
        <v>95.5</v>
      </c>
      <c r="G476" s="15">
        <f>IFERROR(__xludf.DUMMYFUNCTION("""COMPUTED_VALUE"""),6.2)</f>
        <v>6.2</v>
      </c>
    </row>
    <row r="477" ht="15.75" customHeight="1">
      <c r="A477" s="5" t="str">
        <f>IFERROR(__xludf.DUMMYFUNCTION("""COMPUTED_VALUE"""),"SCOPUS-000532")</f>
        <v>SCOPUS-000532</v>
      </c>
      <c r="B477" s="5" t="str">
        <f>IFERROR(__xludf.DUMMYFUNCTION("""COMPUTED_VALUE"""),"SCOPUS-000532-3")</f>
        <v>SCOPUS-000532-3</v>
      </c>
      <c r="C477" s="6" t="str">
        <f>IFERROR(__xludf.DUMMYFUNCTION("""COMPUTED_VALUE"""),"YOLOv8 (RGB+NIR)")</f>
        <v>YOLOv8 (RGB+NIR)</v>
      </c>
      <c r="D477" s="5" t="str">
        <f>IFERROR(__xludf.DUMMYFUNCTION("""COMPUTED_VALUE"""),"mAP0.5")</f>
        <v>mAP0.5</v>
      </c>
      <c r="E477" s="5" t="str">
        <f>IFERROR(__xludf.DUMMYFUNCTION("""COMPUTED_VALUE"""),"mAP@0.5")</f>
        <v>mAP@0.5</v>
      </c>
      <c r="F477" s="5">
        <f>IFERROR(__xludf.DUMMYFUNCTION("""COMPUTED_VALUE"""),93.3)</f>
        <v>93.3</v>
      </c>
      <c r="G477" s="15">
        <f>IFERROR(__xludf.DUMMYFUNCTION("""COMPUTED_VALUE"""),4.0)</f>
        <v>4</v>
      </c>
    </row>
    <row r="478" ht="15.75" customHeight="1">
      <c r="A478" s="5" t="str">
        <f>IFERROR(__xludf.DUMMYFUNCTION("""COMPUTED_VALUE"""),"SCOPUS-000542")</f>
        <v>SCOPUS-000542</v>
      </c>
      <c r="B478" s="5" t="str">
        <f>IFERROR(__xludf.DUMMYFUNCTION("""COMPUTED_VALUE"""),"SCOPUS-000542-1")</f>
        <v>SCOPUS-000542-1</v>
      </c>
      <c r="C478" s="6" t="str">
        <f>IFERROR(__xludf.DUMMYFUNCTION("""COMPUTED_VALUE"""),"YOLOv3 (5×100 images, with similar field S)")</f>
        <v>YOLOv3 (5×100 images, with similar field S)</v>
      </c>
      <c r="D478" s="5" t="str">
        <f>IFERROR(__xludf.DUMMYFUNCTION("""COMPUTED_VALUE"""),"mAP")</f>
        <v>mAP</v>
      </c>
      <c r="E478" s="5" t="str">
        <f>IFERROR(__xludf.DUMMYFUNCTION("""COMPUTED_VALUE"""),"mAP@0.5")</f>
        <v>mAP@0.5</v>
      </c>
      <c r="F478" s="5">
        <f>IFERROR(__xludf.DUMMYFUNCTION("""COMPUTED_VALUE"""),78.0)</f>
        <v>78</v>
      </c>
      <c r="G478" s="15">
        <f>IFERROR(__xludf.DUMMYFUNCTION("""COMPUTED_VALUE"""),58.0)</f>
        <v>58</v>
      </c>
    </row>
    <row r="479" ht="15.75" customHeight="1">
      <c r="A479" s="5" t="str">
        <f>IFERROR(__xludf.DUMMYFUNCTION("""COMPUTED_VALUE"""),"SCOPUS-000542")</f>
        <v>SCOPUS-000542</v>
      </c>
      <c r="B479" s="5" t="str">
        <f>IFERROR(__xludf.DUMMYFUNCTION("""COMPUTED_VALUE"""),"SCOPUS-000542-2")</f>
        <v>SCOPUS-000542-2</v>
      </c>
      <c r="C479" s="6" t="str">
        <f>IFERROR(__xludf.DUMMYFUNCTION("""COMPUTED_VALUE"""),"YOLOv3 (10×50 images, with field S)")</f>
        <v>YOLOv3 (10×50 images, with field S)</v>
      </c>
      <c r="D479" s="5" t="str">
        <f>IFERROR(__xludf.DUMMYFUNCTION("""COMPUTED_VALUE"""),"mAP")</f>
        <v>mAP</v>
      </c>
      <c r="E479" s="5" t="str">
        <f>IFERROR(__xludf.DUMMYFUNCTION("""COMPUTED_VALUE"""),"mAP@0.5")</f>
        <v>mAP@0.5</v>
      </c>
      <c r="F479" s="5">
        <f>IFERROR(__xludf.DUMMYFUNCTION("""COMPUTED_VALUE"""),64.0)</f>
        <v>64</v>
      </c>
      <c r="G479" s="15">
        <f>IFERROR(__xludf.DUMMYFUNCTION("""COMPUTED_VALUE"""),44.0)</f>
        <v>44</v>
      </c>
    </row>
    <row r="480" ht="15.75" customHeight="1">
      <c r="A480" s="5" t="str">
        <f>IFERROR(__xludf.DUMMYFUNCTION("""COMPUTED_VALUE"""),"SCOPUS-000542")</f>
        <v>SCOPUS-000542</v>
      </c>
      <c r="B480" s="5" t="str">
        <f>IFERROR(__xludf.DUMMYFUNCTION("""COMPUTED_VALUE"""),"SCOPUS-000542-3")</f>
        <v>SCOPUS-000542-3</v>
      </c>
      <c r="C480" s="6" t="str">
        <f>IFERROR(__xludf.DUMMYFUNCTION("""COMPUTED_VALUE"""),"YOLOv3 (15×33 images, with field S)")</f>
        <v>YOLOv3 (15×33 images, with field S)</v>
      </c>
      <c r="D480" s="5" t="str">
        <f>IFERROR(__xludf.DUMMYFUNCTION("""COMPUTED_VALUE"""),"mAP")</f>
        <v>mAP</v>
      </c>
      <c r="E480" s="5" t="str">
        <f>IFERROR(__xludf.DUMMYFUNCTION("""COMPUTED_VALUE"""),"mAP@0.5")</f>
        <v>mAP@0.5</v>
      </c>
      <c r="F480" s="5">
        <f>IFERROR(__xludf.DUMMYFUNCTION("""COMPUTED_VALUE"""),58.0)</f>
        <v>58</v>
      </c>
      <c r="G480" s="15">
        <f>IFERROR(__xludf.DUMMYFUNCTION("""COMPUTED_VALUE"""),38.0)</f>
        <v>38</v>
      </c>
    </row>
    <row r="481" ht="15.75" customHeight="1">
      <c r="A481" s="5" t="str">
        <f>IFERROR(__xludf.DUMMYFUNCTION("""COMPUTED_VALUE"""),"SCOPUS-000545")</f>
        <v>SCOPUS-000545</v>
      </c>
      <c r="B481" s="5" t="str">
        <f>IFERROR(__xludf.DUMMYFUNCTION("""COMPUTED_VALUE"""),"SCOPUS-000545-1")</f>
        <v>SCOPUS-000545-1</v>
      </c>
      <c r="C481" s="6" t="str">
        <f>IFERROR(__xludf.DUMMYFUNCTION("""COMPUTED_VALUE"""),"MSFCA-Net (MSFCABlock + hybrid Dice/focal loss)")</f>
        <v>MSFCA-Net (MSFCABlock + hybrid Dice/focal loss)</v>
      </c>
      <c r="D481" s="5" t="str">
        <f>IFERROR(__xludf.DUMMYFUNCTION("""COMPUTED_VALUE"""),"MIoU")</f>
        <v>MIoU</v>
      </c>
      <c r="E481" s="5" t="str">
        <f>IFERROR(__xludf.DUMMYFUNCTION("""COMPUTED_VALUE"""),"mIoU")</f>
        <v>mIoU</v>
      </c>
      <c r="F481" s="5">
        <f>IFERROR(__xludf.DUMMYFUNCTION("""COMPUTED_VALUE"""),92.64)</f>
        <v>92.64</v>
      </c>
      <c r="G481" s="15">
        <f>IFERROR(__xludf.DUMMYFUNCTION("""COMPUTED_VALUE"""),4.3)</f>
        <v>4.3</v>
      </c>
    </row>
    <row r="482" ht="15.75" customHeight="1">
      <c r="A482" s="5" t="str">
        <f>IFERROR(__xludf.DUMMYFUNCTION("""COMPUTED_VALUE"""),"SCOPUS-000545")</f>
        <v>SCOPUS-000545</v>
      </c>
      <c r="B482" s="5" t="str">
        <f>IFERROR(__xludf.DUMMYFUNCTION("""COMPUTED_VALUE"""),"SCOPUS-000545-2")</f>
        <v>SCOPUS-000545-2</v>
      </c>
      <c r="C482" s="6" t="str">
        <f>IFERROR(__xludf.DUMMYFUNCTION("""COMPUTED_VALUE"""),"BaseNet + MSFCABlock")</f>
        <v>BaseNet + MSFCABlock</v>
      </c>
      <c r="D482" s="5" t="str">
        <f>IFERROR(__xludf.DUMMYFUNCTION("""COMPUTED_VALUE"""),"MIoU")</f>
        <v>MIoU</v>
      </c>
      <c r="E482" s="5" t="str">
        <f>IFERROR(__xludf.DUMMYFUNCTION("""COMPUTED_VALUE"""),"mIoU")</f>
        <v>mIoU</v>
      </c>
      <c r="F482" s="5">
        <f>IFERROR(__xludf.DUMMYFUNCTION("""COMPUTED_VALUE"""),91.72)</f>
        <v>91.72</v>
      </c>
      <c r="G482" s="15">
        <f>IFERROR(__xludf.DUMMYFUNCTION("""COMPUTED_VALUE"""),3.4)</f>
        <v>3.4</v>
      </c>
    </row>
    <row r="483" ht="15.75" customHeight="1">
      <c r="A483" s="5" t="str">
        <f>IFERROR(__xludf.DUMMYFUNCTION("""COMPUTED_VALUE"""),"SCOPUS-000545")</f>
        <v>SCOPUS-000545</v>
      </c>
      <c r="B483" s="5" t="str">
        <f>IFERROR(__xludf.DUMMYFUNCTION("""COMPUTED_VALUE"""),"SCOPUS-000545-3")</f>
        <v>SCOPUS-000545-3</v>
      </c>
      <c r="C483" s="6" t="str">
        <f>IFERROR(__xludf.DUMMYFUNCTION("""COMPUTED_VALUE"""),"BaseNet + hybrid loss")</f>
        <v>BaseNet + hybrid loss</v>
      </c>
      <c r="D483" s="5" t="str">
        <f>IFERROR(__xludf.DUMMYFUNCTION("""COMPUTED_VALUE"""),"MIoU")</f>
        <v>MIoU</v>
      </c>
      <c r="E483" s="5" t="str">
        <f>IFERROR(__xludf.DUMMYFUNCTION("""COMPUTED_VALUE"""),"mIoU")</f>
        <v>mIoU</v>
      </c>
      <c r="F483" s="5">
        <f>IFERROR(__xludf.DUMMYFUNCTION("""COMPUTED_VALUE"""),90.35)</f>
        <v>90.35</v>
      </c>
      <c r="G483" s="15">
        <f>IFERROR(__xludf.DUMMYFUNCTION("""COMPUTED_VALUE"""),2.0)</f>
        <v>2</v>
      </c>
    </row>
    <row r="484" ht="15.75" customHeight="1">
      <c r="A484" s="5" t="str">
        <f>IFERROR(__xludf.DUMMYFUNCTION("""COMPUTED_VALUE"""),"SCOPUS-000552")</f>
        <v>SCOPUS-000552</v>
      </c>
      <c r="B484" s="5" t="str">
        <f>IFERROR(__xludf.DUMMYFUNCTION("""COMPUTED_VALUE"""),"SCOPUS-000552-1")</f>
        <v>SCOPUS-000552-1</v>
      </c>
      <c r="C484" s="6" t="str">
        <f>IFERROR(__xludf.DUMMYFUNCTION("""COMPUTED_VALUE"""),"EfficientDet D0")</f>
        <v>EfficientDet D0</v>
      </c>
      <c r="D484" s="5" t="str">
        <f>IFERROR(__xludf.DUMMYFUNCTION("""COMPUTED_VALUE"""),"mAP@ IoU = 0.5")</f>
        <v>mAP@ IoU = 0.5</v>
      </c>
      <c r="E484" s="5" t="str">
        <f>IFERROR(__xludf.DUMMYFUNCTION("""COMPUTED_VALUE"""),"mAP@0.5")</f>
        <v>mAP@0.5</v>
      </c>
      <c r="F484" s="5">
        <f>IFERROR(__xludf.DUMMYFUNCTION("""COMPUTED_VALUE"""),97.4)</f>
        <v>97.4</v>
      </c>
      <c r="G484" s="15">
        <f>IFERROR(__xludf.DUMMYFUNCTION("""COMPUTED_VALUE"""),4.0)</f>
        <v>4</v>
      </c>
    </row>
    <row r="485" ht="15.75" customHeight="1">
      <c r="A485" s="5" t="str">
        <f>IFERROR(__xludf.DUMMYFUNCTION("""COMPUTED_VALUE"""),"SCOPUS-000552")</f>
        <v>SCOPUS-000552</v>
      </c>
      <c r="B485" s="5" t="str">
        <f>IFERROR(__xludf.DUMMYFUNCTION("""COMPUTED_VALUE"""),"SCOPUS-000552-2")</f>
        <v>SCOPUS-000552-2</v>
      </c>
      <c r="C485" s="6" t="str">
        <f>IFERROR(__xludf.DUMMYFUNCTION("""COMPUTED_VALUE"""),"CenterNet")</f>
        <v>CenterNet</v>
      </c>
      <c r="D485" s="5" t="str">
        <f>IFERROR(__xludf.DUMMYFUNCTION("""COMPUTED_VALUE"""),"mAP@ IoU = 0.5")</f>
        <v>mAP@ IoU = 0.5</v>
      </c>
      <c r="E485" s="5" t="str">
        <f>IFERROR(__xludf.DUMMYFUNCTION("""COMPUTED_VALUE"""),"mAP@0.5")</f>
        <v>mAP@0.5</v>
      </c>
      <c r="F485" s="5">
        <f>IFERROR(__xludf.DUMMYFUNCTION("""COMPUTED_VALUE"""),93.8)</f>
        <v>93.8</v>
      </c>
      <c r="G485" s="15">
        <f>IFERROR(__xludf.DUMMYFUNCTION("""COMPUTED_VALUE"""),0.4)</f>
        <v>0.4</v>
      </c>
    </row>
    <row r="486" ht="15.75" customHeight="1">
      <c r="A486" s="5" t="str">
        <f>IFERROR(__xludf.DUMMYFUNCTION("""COMPUTED_VALUE"""),"SCOPUS-000552")</f>
        <v>SCOPUS-000552</v>
      </c>
      <c r="B486" s="5" t="str">
        <f>IFERROR(__xludf.DUMMYFUNCTION("""COMPUTED_VALUE"""),"SCOPUS-000552-3")</f>
        <v>SCOPUS-000552-3</v>
      </c>
      <c r="C486" s="6" t="str">
        <f>IFERROR(__xludf.DUMMYFUNCTION("""COMPUTED_VALUE"""),"YOLOv4-tiny")</f>
        <v>YOLOv4-tiny</v>
      </c>
      <c r="D486" s="5" t="str">
        <f>IFERROR(__xludf.DUMMYFUNCTION("""COMPUTED_VALUE"""),"mAP@ IoU = 0.5")</f>
        <v>mAP@ IoU = 0.5</v>
      </c>
      <c r="E486" s="5" t="str">
        <f>IFERROR(__xludf.DUMMYFUNCTION("""COMPUTED_VALUE"""),"mAP@0.5")</f>
        <v>mAP@0.5</v>
      </c>
      <c r="F486" s="5">
        <f>IFERROR(__xludf.DUMMYFUNCTION("""COMPUTED_VALUE"""),89.2)</f>
        <v>89.2</v>
      </c>
      <c r="G486" s="15">
        <f>IFERROR(__xludf.DUMMYFUNCTION("""COMPUTED_VALUE"""),-4.2)</f>
        <v>-4.2</v>
      </c>
    </row>
    <row r="487" ht="15.75" customHeight="1">
      <c r="A487" s="5" t="str">
        <f>IFERROR(__xludf.DUMMYFUNCTION("""COMPUTED_VALUE"""),"SCOPUS-000582")</f>
        <v>SCOPUS-000582</v>
      </c>
      <c r="B487" s="5" t="str">
        <f>IFERROR(__xludf.DUMMYFUNCTION("""COMPUTED_VALUE"""),"SCOPUS-000582-1")</f>
        <v>SCOPUS-000582-1</v>
      </c>
      <c r="C487" s="6" t="str">
        <f>IFERROR(__xludf.DUMMYFUNCTION("""COMPUTED_VALUE"""),"NDVI SVM (ragweed, Casselton 8 DAA)")</f>
        <v>NDVI SVM (ragweed, Casselton 8 DAA)</v>
      </c>
      <c r="D487" s="5" t="str">
        <f>IFERROR(__xludf.DUMMYFUNCTION("""COMPUTED_VALUE"""),"Accuracy")</f>
        <v>Accuracy</v>
      </c>
      <c r="E487" s="5" t="str">
        <f>IFERROR(__xludf.DUMMYFUNCTION("""COMPUTED_VALUE"""),"Accuracy")</f>
        <v>Accuracy</v>
      </c>
      <c r="F487" s="5">
        <f>IFERROR(__xludf.DUMMYFUNCTION("""COMPUTED_VALUE"""),87.2)</f>
        <v>87.2</v>
      </c>
      <c r="G487" s="15">
        <f>IFERROR(__xludf.DUMMYFUNCTION("""COMPUTED_VALUE"""),24.5)</f>
        <v>24.5</v>
      </c>
    </row>
    <row r="488" ht="15.75" customHeight="1">
      <c r="A488" s="5" t="str">
        <f>IFERROR(__xludf.DUMMYFUNCTION("""COMPUTED_VALUE"""),"SCOPUS-000582")</f>
        <v>SCOPUS-000582</v>
      </c>
      <c r="B488" s="5" t="str">
        <f>IFERROR(__xludf.DUMMYFUNCTION("""COMPUTED_VALUE"""),"SCOPUS-000582-2")</f>
        <v>SCOPUS-000582-2</v>
      </c>
      <c r="C488" s="6" t="str">
        <f>IFERROR(__xludf.DUMMYFUNCTION("""COMPUTED_VALUE"""),"NDVI RT (ragweed, Casselton 8 DAA)")</f>
        <v>NDVI RT (ragweed, Casselton 8 DAA)</v>
      </c>
      <c r="D488" s="5" t="str">
        <f>IFERROR(__xludf.DUMMYFUNCTION("""COMPUTED_VALUE"""),"Accuracy")</f>
        <v>Accuracy</v>
      </c>
      <c r="E488" s="5" t="str">
        <f>IFERROR(__xludf.DUMMYFUNCTION("""COMPUTED_VALUE"""),"Accuracy")</f>
        <v>Accuracy</v>
      </c>
      <c r="F488" s="5">
        <f>IFERROR(__xludf.DUMMYFUNCTION("""COMPUTED_VALUE"""),77.8)</f>
        <v>77.8</v>
      </c>
      <c r="G488" s="15">
        <f>IFERROR(__xludf.DUMMYFUNCTION("""COMPUTED_VALUE"""),15.1)</f>
        <v>15.1</v>
      </c>
    </row>
    <row r="489" ht="15.75" customHeight="1">
      <c r="A489" s="5" t="str">
        <f>IFERROR(__xludf.DUMMYFUNCTION("""COMPUTED_VALUE"""),"SCOPUS-000582")</f>
        <v>SCOPUS-000582</v>
      </c>
      <c r="B489" s="5" t="str">
        <f>IFERROR(__xludf.DUMMYFUNCTION("""COMPUTED_VALUE"""),"SCOPUS-000582-3")</f>
        <v>SCOPUS-000582-3</v>
      </c>
      <c r="C489" s="6" t="str">
        <f>IFERROR(__xludf.DUMMYFUNCTION("""COMPUTED_VALUE"""),"Band combo 705/740/842 nm RT (ragweed, Casselton 8 DAA)")</f>
        <v>Band combo 705/740/842 nm RT (ragweed, Casselton 8 DAA)</v>
      </c>
      <c r="D489" s="5" t="str">
        <f>IFERROR(__xludf.DUMMYFUNCTION("""COMPUTED_VALUE"""),"Accuracy")</f>
        <v>Accuracy</v>
      </c>
      <c r="E489" s="5" t="str">
        <f>IFERROR(__xludf.DUMMYFUNCTION("""COMPUTED_VALUE"""),"Accuracy")</f>
        <v>Accuracy</v>
      </c>
      <c r="F489" s="5">
        <f>IFERROR(__xludf.DUMMYFUNCTION("""COMPUTED_VALUE"""),76.9)</f>
        <v>76.9</v>
      </c>
      <c r="G489" s="15">
        <f>IFERROR(__xludf.DUMMYFUNCTION("""COMPUTED_VALUE"""),14.2)</f>
        <v>14.2</v>
      </c>
    </row>
    <row r="490" ht="15.75" customHeight="1">
      <c r="A490" s="5" t="str">
        <f>IFERROR(__xludf.DUMMYFUNCTION("""COMPUTED_VALUE"""),"SCOPUS-000600")</f>
        <v>SCOPUS-000600</v>
      </c>
      <c r="B490" s="5" t="str">
        <f>IFERROR(__xludf.DUMMYFUNCTION("""COMPUTED_VALUE"""),"SCOPUS-000600-1")</f>
        <v>SCOPUS-000600-1</v>
      </c>
      <c r="C490" s="6" t="str">
        <f>IFERROR(__xludf.DUMMYFUNCTION("""COMPUTED_VALUE"""),"ConvNeXt_large")</f>
        <v>ConvNeXt_large</v>
      </c>
      <c r="D490" s="5" t="str">
        <f>IFERROR(__xludf.DUMMYFUNCTION("""COMPUTED_VALUE"""),"Test Accuracy")</f>
        <v>Test Accuracy</v>
      </c>
      <c r="E490" s="5" t="str">
        <f>IFERROR(__xludf.DUMMYFUNCTION("""COMPUTED_VALUE"""),"Accuracy")</f>
        <v>Accuracy</v>
      </c>
      <c r="F490" s="5">
        <f>IFERROR(__xludf.DUMMYFUNCTION("""COMPUTED_VALUE"""),90.0)</f>
        <v>90</v>
      </c>
      <c r="G490" s="15">
        <f>IFERROR(__xludf.DUMMYFUNCTION("""COMPUTED_VALUE"""),13.3)</f>
        <v>13.3</v>
      </c>
    </row>
    <row r="491" ht="15.75" customHeight="1">
      <c r="A491" s="5" t="str">
        <f>IFERROR(__xludf.DUMMYFUNCTION("""COMPUTED_VALUE"""),"SCOPUS-000600")</f>
        <v>SCOPUS-000600</v>
      </c>
      <c r="B491" s="5" t="str">
        <f>IFERROR(__xludf.DUMMYFUNCTION("""COMPUTED_VALUE"""),"SCOPUS-000600-2")</f>
        <v>SCOPUS-000600-2</v>
      </c>
      <c r="C491" s="6" t="str">
        <f>IFERROR(__xludf.DUMMYFUNCTION("""COMPUTED_VALUE"""),"ConvNeXt_base")</f>
        <v>ConvNeXt_base</v>
      </c>
      <c r="D491" s="5" t="str">
        <f>IFERROR(__xludf.DUMMYFUNCTION("""COMPUTED_VALUE"""),"Test Accuracy")</f>
        <v>Test Accuracy</v>
      </c>
      <c r="E491" s="5" t="str">
        <f>IFERROR(__xludf.DUMMYFUNCTION("""COMPUTED_VALUE"""),"Accuracy")</f>
        <v>Accuracy</v>
      </c>
      <c r="F491" s="5">
        <f>IFERROR(__xludf.DUMMYFUNCTION("""COMPUTED_VALUE"""),86.67)</f>
        <v>86.67</v>
      </c>
      <c r="G491" s="15">
        <f>IFERROR(__xludf.DUMMYFUNCTION("""COMPUTED_VALUE"""),10.0)</f>
        <v>10</v>
      </c>
    </row>
    <row r="492" ht="15.75" customHeight="1">
      <c r="A492" s="5" t="str">
        <f>IFERROR(__xludf.DUMMYFUNCTION("""COMPUTED_VALUE"""),"SCOPUS-000600")</f>
        <v>SCOPUS-000600</v>
      </c>
      <c r="B492" s="5" t="str">
        <f>IFERROR(__xludf.DUMMYFUNCTION("""COMPUTED_VALUE"""),"SCOPUS-000600-3")</f>
        <v>SCOPUS-000600-3</v>
      </c>
      <c r="C492" s="6" t="str">
        <f>IFERROR(__xludf.DUMMYFUNCTION("""COMPUTED_VALUE"""),"EfficientNet_B1")</f>
        <v>EfficientNet_B1</v>
      </c>
      <c r="D492" s="5" t="str">
        <f>IFERROR(__xludf.DUMMYFUNCTION("""COMPUTED_VALUE"""),"Test Accuracy")</f>
        <v>Test Accuracy</v>
      </c>
      <c r="E492" s="5" t="str">
        <f>IFERROR(__xludf.DUMMYFUNCTION("""COMPUTED_VALUE"""),"Accuracy")</f>
        <v>Accuracy</v>
      </c>
      <c r="F492" s="5">
        <f>IFERROR(__xludf.DUMMYFUNCTION("""COMPUTED_VALUE"""),86.66)</f>
        <v>86.66</v>
      </c>
      <c r="G492" s="15">
        <f>IFERROR(__xludf.DUMMYFUNCTION("""COMPUTED_VALUE"""),10.0)</f>
        <v>10</v>
      </c>
    </row>
    <row r="493" ht="15.75" customHeight="1">
      <c r="A493" s="5" t="str">
        <f>IFERROR(__xludf.DUMMYFUNCTION("""COMPUTED_VALUE"""),"SCOPUS-000620")</f>
        <v>SCOPUS-000620</v>
      </c>
      <c r="B493" s="5" t="str">
        <f>IFERROR(__xludf.DUMMYFUNCTION("""COMPUTED_VALUE"""),"SCOPUS-000620-1")</f>
        <v>SCOPUS-000620-1</v>
      </c>
      <c r="C493" s="6" t="str">
        <f>IFERROR(__xludf.DUMMYFUNCTION("""COMPUTED_VALUE"""),"ResNet152 (ImageNet PT, FT TomatoWeeds)")</f>
        <v>ResNet152 (ImageNet PT, FT TomatoWeeds)</v>
      </c>
      <c r="D493" s="5" t="str">
        <f>IFERROR(__xludf.DUMMYFUNCTION("""COMPUTED_VALUE"""),"Accuracy")</f>
        <v>Accuracy</v>
      </c>
      <c r="E493" s="5" t="str">
        <f>IFERROR(__xludf.DUMMYFUNCTION("""COMPUTED_VALUE"""),"Accuracy")</f>
        <v>Accuracy</v>
      </c>
      <c r="F493" s="5">
        <f>IFERROR(__xludf.DUMMYFUNCTION("""COMPUTED_VALUE"""),78.1)</f>
        <v>78.1</v>
      </c>
      <c r="G493" s="15">
        <f>IFERROR(__xludf.DUMMYFUNCTION("""COMPUTED_VALUE"""),4.4)</f>
        <v>4.4</v>
      </c>
    </row>
    <row r="494" ht="15.75" customHeight="1">
      <c r="A494" s="5" t="str">
        <f>IFERROR(__xludf.DUMMYFUNCTION("""COMPUTED_VALUE"""),"SCOPUS-000620")</f>
        <v>SCOPUS-000620</v>
      </c>
      <c r="B494" s="5" t="str">
        <f>IFERROR(__xludf.DUMMYFUNCTION("""COMPUTED_VALUE"""),"SCOPUS-000620-2")</f>
        <v>SCOPUS-000620-2</v>
      </c>
      <c r="C494" s="6" t="str">
        <f>IFERROR(__xludf.DUMMYFUNCTION("""COMPUTED_VALUE"""),"ResNet50 (ImageNet+DeepWeeds PT, FT TomatoWeeds)")</f>
        <v>ResNet50 (ImageNet+DeepWeeds PT, FT TomatoWeeds)</v>
      </c>
      <c r="D494" s="5" t="str">
        <f>IFERROR(__xludf.DUMMYFUNCTION("""COMPUTED_VALUE"""),"Accuracy")</f>
        <v>Accuracy</v>
      </c>
      <c r="E494" s="5" t="str">
        <f>IFERROR(__xludf.DUMMYFUNCTION("""COMPUTED_VALUE"""),"Accuracy")</f>
        <v>Accuracy</v>
      </c>
      <c r="F494" s="5">
        <f>IFERROR(__xludf.DUMMYFUNCTION("""COMPUTED_VALUE"""),77.8)</f>
        <v>77.8</v>
      </c>
      <c r="G494" s="15">
        <f>IFERROR(__xludf.DUMMYFUNCTION("""COMPUTED_VALUE"""),4.1)</f>
        <v>4.1</v>
      </c>
    </row>
    <row r="495" ht="15.75" customHeight="1">
      <c r="A495" s="5" t="str">
        <f>IFERROR(__xludf.DUMMYFUNCTION("""COMPUTED_VALUE"""),"SCOPUS-000620")</f>
        <v>SCOPUS-000620</v>
      </c>
      <c r="B495" s="5" t="str">
        <f>IFERROR(__xludf.DUMMYFUNCTION("""COMPUTED_VALUE"""),"SCOPUS-000620-3")</f>
        <v>SCOPUS-000620-3</v>
      </c>
      <c r="C495" s="6" t="str">
        <f>IFERROR(__xludf.DUMMYFUNCTION("""COMPUTED_VALUE"""),"ResNet50 (ImageNet PT, FT TomatoWeeds)")</f>
        <v>ResNet50 (ImageNet PT, FT TomatoWeeds)</v>
      </c>
      <c r="D495" s="5" t="str">
        <f>IFERROR(__xludf.DUMMYFUNCTION("""COMPUTED_VALUE"""),"Accuracy")</f>
        <v>Accuracy</v>
      </c>
      <c r="E495" s="5" t="str">
        <f>IFERROR(__xludf.DUMMYFUNCTION("""COMPUTED_VALUE"""),"Accuracy")</f>
        <v>Accuracy</v>
      </c>
      <c r="F495" s="5">
        <f>IFERROR(__xludf.DUMMYFUNCTION("""COMPUTED_VALUE"""),77.6)</f>
        <v>77.6</v>
      </c>
      <c r="G495" s="15">
        <f>IFERROR(__xludf.DUMMYFUNCTION("""COMPUTED_VALUE"""),3.9)</f>
        <v>3.9</v>
      </c>
    </row>
    <row r="496" ht="15.75" customHeight="1">
      <c r="A496" s="5" t="str">
        <f>IFERROR(__xludf.DUMMYFUNCTION("""COMPUTED_VALUE"""),"SCOPUS-000623")</f>
        <v>SCOPUS-000623</v>
      </c>
      <c r="B496" s="5" t="str">
        <f>IFERROR(__xludf.DUMMYFUNCTION("""COMPUTED_VALUE"""),"SCOPUS-000623-1")</f>
        <v>SCOPUS-000623-1</v>
      </c>
      <c r="C496" s="6" t="str">
        <f>IFERROR(__xludf.DUMMYFUNCTION("""COMPUTED_VALUE"""),"VGG16 (ImageNet TL)")</f>
        <v>VGG16 (ImageNet TL)</v>
      </c>
      <c r="D496" s="5" t="str">
        <f>IFERROR(__xludf.DUMMYFUNCTION("""COMPUTED_VALUE"""),"Accuracy")</f>
        <v>Accuracy</v>
      </c>
      <c r="E496" s="5" t="str">
        <f>IFERROR(__xludf.DUMMYFUNCTION("""COMPUTED_VALUE"""),"Accuracy")</f>
        <v>Accuracy</v>
      </c>
      <c r="F496" s="5">
        <f>IFERROR(__xludf.DUMMYFUNCTION("""COMPUTED_VALUE"""),91.0)</f>
        <v>91</v>
      </c>
      <c r="G496" s="15">
        <f>IFERROR(__xludf.DUMMYFUNCTION("""COMPUTED_VALUE"""),38.0)</f>
        <v>38</v>
      </c>
    </row>
    <row r="497" ht="15.75" customHeight="1">
      <c r="A497" s="5" t="str">
        <f>IFERROR(__xludf.DUMMYFUNCTION("""COMPUTED_VALUE"""),"SCOPUS-000623")</f>
        <v>SCOPUS-000623</v>
      </c>
      <c r="B497" s="5" t="str">
        <f>IFERROR(__xludf.DUMMYFUNCTION("""COMPUTED_VALUE"""),"SCOPUS-000623-2")</f>
        <v>SCOPUS-000623-2</v>
      </c>
      <c r="C497" s="6" t="str">
        <f>IFERROR(__xludf.DUMMYFUNCTION("""COMPUTED_VALUE"""),"ResNet-50 (ImageNet TL)")</f>
        <v>ResNet-50 (ImageNet TL)</v>
      </c>
      <c r="D497" s="5" t="str">
        <f>IFERROR(__xludf.DUMMYFUNCTION("""COMPUTED_VALUE"""),"Accuracy")</f>
        <v>Accuracy</v>
      </c>
      <c r="E497" s="5" t="str">
        <f>IFERROR(__xludf.DUMMYFUNCTION("""COMPUTED_VALUE"""),"Accuracy")</f>
        <v>Accuracy</v>
      </c>
      <c r="F497" s="5">
        <f>IFERROR(__xludf.DUMMYFUNCTION("""COMPUTED_VALUE"""),80.0)</f>
        <v>80</v>
      </c>
      <c r="G497" s="15">
        <f>IFERROR(__xludf.DUMMYFUNCTION("""COMPUTED_VALUE"""),27.0)</f>
        <v>27</v>
      </c>
    </row>
    <row r="498" ht="15.75" customHeight="1">
      <c r="A498" s="5" t="str">
        <f>IFERROR(__xludf.DUMMYFUNCTION("""COMPUTED_VALUE"""),"SCOPUS-000623")</f>
        <v>SCOPUS-000623</v>
      </c>
      <c r="B498" s="5" t="str">
        <f>IFERROR(__xludf.DUMMYFUNCTION("""COMPUTED_VALUE"""),"SCOPUS-000623-3")</f>
        <v>SCOPUS-000623-3</v>
      </c>
      <c r="C498" s="6" t="str">
        <f>IFERROR(__xludf.DUMMYFUNCTION("""COMPUTED_VALUE"""),"AlexNet (ImageNet TL)")</f>
        <v>AlexNet (ImageNet TL)</v>
      </c>
      <c r="D498" s="5" t="str">
        <f>IFERROR(__xludf.DUMMYFUNCTION("""COMPUTED_VALUE"""),"Accuracy")</f>
        <v>Accuracy</v>
      </c>
      <c r="E498" s="5" t="str">
        <f>IFERROR(__xludf.DUMMYFUNCTION("""COMPUTED_VALUE"""),"Accuracy")</f>
        <v>Accuracy</v>
      </c>
      <c r="F498" s="5">
        <f>IFERROR(__xludf.DUMMYFUNCTION("""COMPUTED_VALUE"""),66.0)</f>
        <v>66</v>
      </c>
      <c r="G498" s="15">
        <f>IFERROR(__xludf.DUMMYFUNCTION("""COMPUTED_VALUE"""),13.0)</f>
        <v>13</v>
      </c>
    </row>
    <row r="499" ht="15.75" customHeight="1">
      <c r="A499" s="5" t="str">
        <f>IFERROR(__xludf.DUMMYFUNCTION("""COMPUTED_VALUE"""),"SCOPUS-000626")</f>
        <v>SCOPUS-000626</v>
      </c>
      <c r="B499" s="5" t="str">
        <f>IFERROR(__xludf.DUMMYFUNCTION("""COMPUTED_VALUE"""),"SCOPUS-000626-1")</f>
        <v>SCOPUS-000626-1</v>
      </c>
      <c r="C499" s="6" t="str">
        <f>IFERROR(__xludf.DUMMYFUNCTION("""COMPUTED_VALUE"""),"ResNet-50-SVM")</f>
        <v>ResNet-50-SVM</v>
      </c>
      <c r="D499" s="5" t="str">
        <f>IFERROR(__xludf.DUMMYFUNCTION("""COMPUTED_VALUE"""),"Accuracy")</f>
        <v>Accuracy</v>
      </c>
      <c r="E499" s="5" t="str">
        <f>IFERROR(__xludf.DUMMYFUNCTION("""COMPUTED_VALUE"""),"Accuracy")</f>
        <v>Accuracy</v>
      </c>
      <c r="F499" s="5">
        <f>IFERROR(__xludf.DUMMYFUNCTION("""COMPUTED_VALUE"""),97.6)</f>
        <v>97.6</v>
      </c>
      <c r="G499" s="15">
        <f>IFERROR(__xludf.DUMMYFUNCTION("""COMPUTED_VALUE"""),1.5)</f>
        <v>1.5</v>
      </c>
    </row>
    <row r="500" ht="15.75" customHeight="1">
      <c r="A500" s="5" t="str">
        <f>IFERROR(__xludf.DUMMYFUNCTION("""COMPUTED_VALUE"""),"SCOPUS-000626")</f>
        <v>SCOPUS-000626</v>
      </c>
      <c r="B500" s="5" t="str">
        <f>IFERROR(__xludf.DUMMYFUNCTION("""COMPUTED_VALUE"""),"SCOPUS-000626-2")</f>
        <v>SCOPUS-000626-2</v>
      </c>
      <c r="C500" s="6" t="str">
        <f>IFERROR(__xludf.DUMMYFUNCTION("""COMPUTED_VALUE"""),"VGG16-SVM")</f>
        <v>VGG16-SVM</v>
      </c>
      <c r="D500" s="5" t="str">
        <f>IFERROR(__xludf.DUMMYFUNCTION("""COMPUTED_VALUE"""),"Accuracy")</f>
        <v>Accuracy</v>
      </c>
      <c r="E500" s="5" t="str">
        <f>IFERROR(__xludf.DUMMYFUNCTION("""COMPUTED_VALUE"""),"Accuracy")</f>
        <v>Accuracy</v>
      </c>
      <c r="F500" s="5">
        <f>IFERROR(__xludf.DUMMYFUNCTION("""COMPUTED_VALUE"""),95.9)</f>
        <v>95.9</v>
      </c>
      <c r="G500" s="15">
        <f>IFERROR(__xludf.DUMMYFUNCTION("""COMPUTED_VALUE"""),-0.2)</f>
        <v>-0.2</v>
      </c>
    </row>
    <row r="501" ht="15.75" customHeight="1">
      <c r="A501" s="5" t="str">
        <f>IFERROR(__xludf.DUMMYFUNCTION("""COMPUTED_VALUE"""),"SCOPUS-000628")</f>
        <v>SCOPUS-000628</v>
      </c>
      <c r="B501" s="5" t="str">
        <f>IFERROR(__xludf.DUMMYFUNCTION("""COMPUTED_VALUE"""),"SCOPUS-000628-1")</f>
        <v>SCOPUS-000628-1</v>
      </c>
      <c r="C501" s="6" t="str">
        <f>IFERROR(__xludf.DUMMYFUNCTION("""COMPUTED_VALUE"""),"WeedVision C5 (seven DA techniques)")</f>
        <v>WeedVision C5 (seven DA techniques)</v>
      </c>
      <c r="D501" s="5" t="str">
        <f>IFERROR(__xludf.DUMMYFUNCTION("""COMPUTED_VALUE"""),"mAP@0.5")</f>
        <v>mAP@0.5</v>
      </c>
      <c r="E501" s="5" t="str">
        <f>IFERROR(__xludf.DUMMYFUNCTION("""COMPUTED_VALUE"""),"mAP@0.5")</f>
        <v>mAP@0.5</v>
      </c>
      <c r="F501" s="5">
        <f>IFERROR(__xludf.DUMMYFUNCTION("""COMPUTED_VALUE"""),63.3)</f>
        <v>63.3</v>
      </c>
      <c r="G501" s="15">
        <f>IFERROR(__xludf.DUMMYFUNCTION("""COMPUTED_VALUE"""),2.6)</f>
        <v>2.6</v>
      </c>
    </row>
    <row r="502" ht="15.75" customHeight="1">
      <c r="A502" s="5" t="str">
        <f>IFERROR(__xludf.DUMMYFUNCTION("""COMPUTED_VALUE"""),"SCOPUS-000628")</f>
        <v>SCOPUS-000628</v>
      </c>
      <c r="B502" s="5" t="str">
        <f>IFERROR(__xludf.DUMMYFUNCTION("""COMPUTED_VALUE"""),"SCOPUS-000628-2")</f>
        <v>SCOPUS-000628-2</v>
      </c>
      <c r="C502" s="6" t="str">
        <f>IFERROR(__xludf.DUMMYFUNCTION("""COMPUTED_VALUE"""),"WeedVision C4 (six DA techniques)")</f>
        <v>WeedVision C4 (six DA techniques)</v>
      </c>
      <c r="D502" s="5" t="str">
        <f>IFERROR(__xludf.DUMMYFUNCTION("""COMPUTED_VALUE"""),"mAP@0.5")</f>
        <v>mAP@0.5</v>
      </c>
      <c r="E502" s="5" t="str">
        <f>IFERROR(__xludf.DUMMYFUNCTION("""COMPUTED_VALUE"""),"mAP@0.5")</f>
        <v>mAP@0.5</v>
      </c>
      <c r="F502" s="5">
        <f>IFERROR(__xludf.DUMMYFUNCTION("""COMPUTED_VALUE"""),61.9)</f>
        <v>61.9</v>
      </c>
      <c r="G502" s="15">
        <f>IFERROR(__xludf.DUMMYFUNCTION("""COMPUTED_VALUE"""),1.2)</f>
        <v>1.2</v>
      </c>
    </row>
    <row r="503" ht="15.75" customHeight="1">
      <c r="A503" s="5" t="str">
        <f>IFERROR(__xludf.DUMMYFUNCTION("""COMPUTED_VALUE"""),"SCOPUS-000676")</f>
        <v>SCOPUS-000676</v>
      </c>
      <c r="B503" s="5" t="str">
        <f>IFERROR(__xludf.DUMMYFUNCTION("""COMPUTED_VALUE"""),"SCOPUS-000676-1")</f>
        <v>SCOPUS-000676-1</v>
      </c>
      <c r="C503" s="6" t="str">
        <f>IFERROR(__xludf.DUMMYFUNCTION("""COMPUTED_VALUE"""),"Random Forest")</f>
        <v>Random Forest</v>
      </c>
      <c r="D503" s="5" t="str">
        <f>IFERROR(__xludf.DUMMYFUNCTION("""COMPUTED_VALUE"""),"Accuracy")</f>
        <v>Accuracy</v>
      </c>
      <c r="E503" s="5" t="str">
        <f>IFERROR(__xludf.DUMMYFUNCTION("""COMPUTED_VALUE"""),"Accuracy")</f>
        <v>Accuracy</v>
      </c>
      <c r="F503" s="5">
        <f>IFERROR(__xludf.DUMMYFUNCTION("""COMPUTED_VALUE"""),88.0)</f>
        <v>88</v>
      </c>
      <c r="G503" s="15">
        <f>IFERROR(__xludf.DUMMYFUNCTION("""COMPUTED_VALUE"""),5.0)</f>
        <v>5</v>
      </c>
    </row>
    <row r="504">
      <c r="A504" s="6" t="str">
        <f>IFERROR(__xludf.DUMMYFUNCTION("""COMPUTED_VALUE"""),"SCOPUS-000753")</f>
        <v>SCOPUS-000753</v>
      </c>
      <c r="B504" s="6" t="str">
        <f>IFERROR(__xludf.DUMMYFUNCTION("""COMPUTED_VALUE"""),"SCOPUS-000753-1")</f>
        <v>SCOPUS-000753-1</v>
      </c>
      <c r="C504" s="6" t="str">
        <f>IFERROR(__xludf.DUMMYFUNCTION("""COMPUTED_VALUE"""),"SegNet_ResNet-50")</f>
        <v>SegNet_ResNet-50</v>
      </c>
      <c r="D504" s="6" t="str">
        <f>IFERROR(__xludf.DUMMYFUNCTION("""COMPUTED_VALUE"""),"MIOU")</f>
        <v>MIOU</v>
      </c>
      <c r="E504" s="6" t="str">
        <f>IFERROR(__xludf.DUMMYFUNCTION("""COMPUTED_VALUE"""),"mIoU")</f>
        <v>mIoU</v>
      </c>
      <c r="F504" s="6">
        <f>IFERROR(__xludf.DUMMYFUNCTION("""COMPUTED_VALUE"""),82.88)</f>
        <v>82.88</v>
      </c>
      <c r="G504" s="16">
        <f>IFERROR(__xludf.DUMMYFUNCTION("""COMPUTED_VALUE"""),4.8)</f>
        <v>4.8</v>
      </c>
    </row>
    <row r="505">
      <c r="A505" s="6" t="str">
        <f>IFERROR(__xludf.DUMMYFUNCTION("""COMPUTED_VALUE"""),"SCOPUS-000753")</f>
        <v>SCOPUS-000753</v>
      </c>
      <c r="B505" s="6" t="str">
        <f>IFERROR(__xludf.DUMMYFUNCTION("""COMPUTED_VALUE"""),"SCOPUS-000753-2")</f>
        <v>SCOPUS-000753-2</v>
      </c>
      <c r="C505" s="6" t="str">
        <f>IFERROR(__xludf.DUMMYFUNCTION("""COMPUTED_VALUE"""),"UNET_ResNet-50")</f>
        <v>UNET_ResNet-50</v>
      </c>
      <c r="D505" s="6" t="str">
        <f>IFERROR(__xludf.DUMMYFUNCTION("""COMPUTED_VALUE"""),"MIOU")</f>
        <v>MIOU</v>
      </c>
      <c r="E505" s="6" t="str">
        <f>IFERROR(__xludf.DUMMYFUNCTION("""COMPUTED_VALUE"""),"mIoU")</f>
        <v>mIoU</v>
      </c>
      <c r="F505" s="6">
        <f>IFERROR(__xludf.DUMMYFUNCTION("""COMPUTED_VALUE"""),82.74)</f>
        <v>82.74</v>
      </c>
      <c r="G505" s="16">
        <f>IFERROR(__xludf.DUMMYFUNCTION("""COMPUTED_VALUE"""),4.7)</f>
        <v>4.7</v>
      </c>
    </row>
    <row r="506">
      <c r="A506" s="6" t="str">
        <f>IFERROR(__xludf.DUMMYFUNCTION("""COMPUTED_VALUE"""),"SCOPUS-000753")</f>
        <v>SCOPUS-000753</v>
      </c>
      <c r="B506" s="6" t="str">
        <f>IFERROR(__xludf.DUMMYFUNCTION("""COMPUTED_VALUE"""),"SCOPUS-000753-3")</f>
        <v>SCOPUS-000753-3</v>
      </c>
      <c r="C506" s="6" t="str">
        <f>IFERROR(__xludf.DUMMYFUNCTION("""COMPUTED_VALUE"""),"SegNet_VGG16")</f>
        <v>SegNet_VGG16</v>
      </c>
      <c r="D506" s="6" t="str">
        <f>IFERROR(__xludf.DUMMYFUNCTION("""COMPUTED_VALUE"""),"MIOU")</f>
        <v>MIOU</v>
      </c>
      <c r="E506" s="6" t="str">
        <f>IFERROR(__xludf.DUMMYFUNCTION("""COMPUTED_VALUE"""),"mIoU")</f>
        <v>mIoU</v>
      </c>
      <c r="F506" s="6">
        <f>IFERROR(__xludf.DUMMYFUNCTION("""COMPUTED_VALUE"""),79.2)</f>
        <v>79.2</v>
      </c>
      <c r="G506" s="16">
        <f>IFERROR(__xludf.DUMMYFUNCTION("""COMPUTED_VALUE"""),1.2)</f>
        <v>1.2</v>
      </c>
    </row>
    <row r="507">
      <c r="A507" s="6" t="str">
        <f>IFERROR(__xludf.DUMMYFUNCTION("""COMPUTED_VALUE"""),"WEBSCI-000421")</f>
        <v>WEBSCI-000421</v>
      </c>
      <c r="B507" s="6" t="str">
        <f>IFERROR(__xludf.DUMMYFUNCTION("""COMPUTED_VALUE"""),"WEBSCI-000421-1")</f>
        <v>WEBSCI-000421-1</v>
      </c>
      <c r="C507" s="6" t="str">
        <f>IFERROR(__xludf.DUMMYFUNCTION("""COMPUTED_VALUE"""),"AlexNet (ImageNet PT, SGDM lr 0.002)")</f>
        <v>AlexNet (ImageNet PT, SGDM lr 0.002)</v>
      </c>
      <c r="D507" s="6" t="str">
        <f>IFERROR(__xludf.DUMMYFUNCTION("""COMPUTED_VALUE"""),"Validation Accuracy")</f>
        <v>Validation Accuracy</v>
      </c>
      <c r="E507" s="6" t="str">
        <f>IFERROR(__xludf.DUMMYFUNCTION("""COMPUTED_VALUE"""),"Accuracy")</f>
        <v>Accuracy</v>
      </c>
      <c r="F507" s="6">
        <f>IFERROR(__xludf.DUMMYFUNCTION("""COMPUTED_VALUE"""),76.19)</f>
        <v>76.19</v>
      </c>
      <c r="G507" s="16">
        <f>IFERROR(__xludf.DUMMYFUNCTION("""COMPUTED_VALUE"""),4.8)</f>
        <v>4.8</v>
      </c>
    </row>
    <row r="508">
      <c r="A508" s="6" t="str">
        <f>IFERROR(__xludf.DUMMYFUNCTION("""COMPUTED_VALUE"""),"WEBSCI-000421")</f>
        <v>WEBSCI-000421</v>
      </c>
      <c r="B508" s="6" t="str">
        <f>IFERROR(__xludf.DUMMYFUNCTION("""COMPUTED_VALUE"""),"WEBSCI-000421-2")</f>
        <v>WEBSCI-000421-2</v>
      </c>
      <c r="C508" s="6" t="str">
        <f>IFERROR(__xludf.DUMMYFUNCTION("""COMPUTED_VALUE"""),"AlexNet (ImageNet PT, SGDM lr 0.003)")</f>
        <v>AlexNet (ImageNet PT, SGDM lr 0.003)</v>
      </c>
      <c r="D508" s="6" t="str">
        <f>IFERROR(__xludf.DUMMYFUNCTION("""COMPUTED_VALUE"""),"Validation Accuracy")</f>
        <v>Validation Accuracy</v>
      </c>
      <c r="E508" s="6" t="str">
        <f>IFERROR(__xludf.DUMMYFUNCTION("""COMPUTED_VALUE"""),"Accuracy")</f>
        <v>Accuracy</v>
      </c>
      <c r="F508" s="6">
        <f>IFERROR(__xludf.DUMMYFUNCTION("""COMPUTED_VALUE"""),61.9)</f>
        <v>61.9</v>
      </c>
      <c r="G508" s="16">
        <f>IFERROR(__xludf.DUMMYFUNCTION("""COMPUTED_VALUE"""),-9.5)</f>
        <v>-9.5</v>
      </c>
    </row>
    <row r="509">
      <c r="A509" s="6" t="str">
        <f>IFERROR(__xludf.DUMMYFUNCTION("""COMPUTED_VALUE"""),"WEBSCI-000559")</f>
        <v>WEBSCI-000559</v>
      </c>
      <c r="B509" s="6" t="str">
        <f>IFERROR(__xludf.DUMMYFUNCTION("""COMPUTED_VALUE"""),"WEBSCI-000559-1")</f>
        <v>WEBSCI-000559-1</v>
      </c>
      <c r="C509" s="6" t="str">
        <f>IFERROR(__xludf.DUMMYFUNCTION("""COMPUTED_VALUE"""),"Our method (Swin + contrastive + two-stage TL)")</f>
        <v>Our method (Swin + contrastive + two-stage TL)</v>
      </c>
      <c r="D509" s="6" t="str">
        <f>IFERROR(__xludf.DUMMYFUNCTION("""COMPUTED_VALUE"""),"Accuracy")</f>
        <v>Accuracy</v>
      </c>
      <c r="E509" s="6" t="str">
        <f>IFERROR(__xludf.DUMMYFUNCTION("""COMPUTED_VALUE"""),"Accuracy")</f>
        <v>Accuracy</v>
      </c>
      <c r="F509" s="6">
        <f>IFERROR(__xludf.DUMMYFUNCTION("""COMPUTED_VALUE"""),99.18)</f>
        <v>99.18</v>
      </c>
      <c r="G509" s="16">
        <f>IFERROR(__xludf.DUMMYFUNCTION("""COMPUTED_VALUE"""),19.2)</f>
        <v>19.2</v>
      </c>
    </row>
    <row r="510">
      <c r="A510" s="6" t="str">
        <f>IFERROR(__xludf.DUMMYFUNCTION("""COMPUTED_VALUE"""),"WEBSCI-000559")</f>
        <v>WEBSCI-000559</v>
      </c>
      <c r="B510" s="6" t="str">
        <f>IFERROR(__xludf.DUMMYFUNCTION("""COMPUTED_VALUE"""),"WEBSCI-000559-2")</f>
        <v>WEBSCI-000559-2</v>
      </c>
      <c r="C510" s="6" t="str">
        <f>IFERROR(__xludf.DUMMYFUNCTION("""COMPUTED_VALUE"""),"Our method (Swin + contrastive, ImageNet PT only)")</f>
        <v>Our method (Swin + contrastive, ImageNet PT only)</v>
      </c>
      <c r="D510" s="6" t="str">
        <f>IFERROR(__xludf.DUMMYFUNCTION("""COMPUTED_VALUE"""),"Accuracy")</f>
        <v>Accuracy</v>
      </c>
      <c r="E510" s="6" t="str">
        <f>IFERROR(__xludf.DUMMYFUNCTION("""COMPUTED_VALUE"""),"Accuracy")</f>
        <v>Accuracy</v>
      </c>
      <c r="F510" s="6">
        <f>IFERROR(__xludf.DUMMYFUNCTION("""COMPUTED_VALUE"""),98.57)</f>
        <v>98.57</v>
      </c>
      <c r="G510" s="16">
        <f>IFERROR(__xludf.DUMMYFUNCTION("""COMPUTED_VALUE"""),18.6)</f>
        <v>18.6</v>
      </c>
    </row>
    <row r="511">
      <c r="A511" s="6" t="str">
        <f>IFERROR(__xludf.DUMMYFUNCTION("""COMPUTED_VALUE"""),"WEBSCI-000559")</f>
        <v>WEBSCI-000559</v>
      </c>
      <c r="B511" s="6" t="str">
        <f>IFERROR(__xludf.DUMMYFUNCTION("""COMPUTED_VALUE"""),"WEBSCI-000559-3")</f>
        <v>WEBSCI-000559-3</v>
      </c>
      <c r="C511" s="6" t="str">
        <f>IFERROR(__xludf.DUMMYFUNCTION("""COMPUTED_VALUE"""),"Swin Transformer (two-stage TL, no contrastive)")</f>
        <v>Swin Transformer (two-stage TL, no contrastive)</v>
      </c>
      <c r="D511" s="6" t="str">
        <f>IFERROR(__xludf.DUMMYFUNCTION("""COMPUTED_VALUE"""),"Accuracy")</f>
        <v>Accuracy</v>
      </c>
      <c r="E511" s="6" t="str">
        <f>IFERROR(__xludf.DUMMYFUNCTION("""COMPUTED_VALUE"""),"Accuracy")</f>
        <v>Accuracy</v>
      </c>
      <c r="F511" s="6">
        <f>IFERROR(__xludf.DUMMYFUNCTION("""COMPUTED_VALUE"""),97.96)</f>
        <v>97.96</v>
      </c>
      <c r="G511" s="16">
        <f>IFERROR(__xludf.DUMMYFUNCTION("""COMPUTED_VALUE"""),18.0)</f>
        <v>18</v>
      </c>
    </row>
  </sheetData>
  <conditionalFormatting sqref="A4:G511">
    <cfRule type="expression" dxfId="13" priority="1" stopIfTrue="1">
      <formula>ISEVEN(ROW())</formula>
    </cfRule>
  </conditionalFormatting>
  <conditionalFormatting sqref="A4:G511">
    <cfRule type="expression" dxfId="14" priority="2" stopIfTrue="1">
      <formula>ISODD(ROW())</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5"/>
    <col customWidth="1" min="2" max="20" width="12.63"/>
    <col customWidth="1" min="21" max="23" width="15.13"/>
  </cols>
  <sheetData>
    <row r="1" ht="22.5" customHeight="1">
      <c r="A1" s="11" t="str">
        <f>IFERROR(__xludf.DUMMYFUNCTION("VSTACK(IMPORTRANGE(""https://docs.google.com/spreadsheets/d/1IG-NLlNbWxgmur-Ok920jusl5qwxm6_N-HtBuRIcbS0/edit"",""'9-Quality &amp; Risk of Bias'!A1:W96""),QUERY(IMPORTRANGE(""https://docs.google.com/spreadsheets/d/1o-YvsM1EXkN6ZzOgu4zM9Uz7mmya31G7zJCOonMGAME/"&amp;"edit"",""'9-Quality &amp; Risk of Bias'!A1:W62""),""select * offset 2"",0))"),"Domain")</f>
        <v>Domain</v>
      </c>
      <c r="B1" s="11" t="str">
        <f>IFERROR(__xludf.DUMMYFUNCTION("""COMPUTED_VALUE"""),"Training-Data Barriers (RQ1)")</f>
        <v>Training-Data Barriers (RQ1)</v>
      </c>
      <c r="C1" s="11"/>
      <c r="D1" s="11" t="str">
        <f>IFERROR(__xludf.DUMMYFUNCTION("""COMPUTED_VALUE"""),"Mitigation Strategy (RQ2)")</f>
        <v>Mitigation Strategy (RQ2)</v>
      </c>
      <c r="E1" s="11"/>
      <c r="F1" s="11" t="str">
        <f>IFERROR(__xludf.DUMMYFUNCTION("""COMPUTED_VALUE"""),"Performance Reporting (RQ3 &amp; RQ4)")</f>
        <v>Performance Reporting (RQ3 &amp; RQ4)</v>
      </c>
      <c r="G1" s="11"/>
      <c r="H1" s="11"/>
      <c r="I1" s="11"/>
      <c r="J1" s="11" t="str">
        <f>IFERROR(__xludf.DUMMYFUNCTION("""COMPUTED_VALUE"""),"Experimental Context (Moderators)")</f>
        <v>Experimental Context (Moderators)</v>
      </c>
      <c r="K1" s="11"/>
      <c r="L1" s="11"/>
      <c r="M1" s="11"/>
      <c r="N1" s="11" t="str">
        <f>IFERROR(__xludf.DUMMYFUNCTION("""COMPUTED_VALUE"""),"Methodological Credibility (RQ5)")</f>
        <v>Methodological Credibility (RQ5)</v>
      </c>
      <c r="O1" s="11"/>
      <c r="P1" s="11"/>
      <c r="Q1" s="11"/>
      <c r="R1" s="11"/>
      <c r="S1" s="11" t="str">
        <f>IFERROR(__xludf.DUMMYFUNCTION("""COMPUTED_VALUE"""),"Synthetic Image Methods (RQ6)")</f>
        <v>Synthetic Image Methods (RQ6)</v>
      </c>
      <c r="T1" s="11"/>
      <c r="U1" s="11" t="str">
        <f>IFERROR(__xludf.DUMMYFUNCTION("""COMPUTED_VALUE"""),"Assessment Judgments")</f>
        <v>Assessment Judgments</v>
      </c>
      <c r="V1" s="11"/>
      <c r="W1" s="11"/>
    </row>
    <row r="2" ht="58.5" customHeight="1">
      <c r="A2" s="12" t="str">
        <f>IFERROR(__xludf.DUMMYFUNCTION("""COMPUTED_VALUE"""),"Study ID")</f>
        <v>Study ID</v>
      </c>
      <c r="B2" s="12" t="str">
        <f>IFERROR(__xludf.DUMMYFUNCTION("""COMPUTED_VALUE"""),"Is the specific training-data barrier(s) clearly identified and described?")</f>
        <v>Is the specific training-data barrier(s) clearly identified and described?</v>
      </c>
      <c r="C2" s="12" t="str">
        <f>IFERROR(__xludf.DUMMYFUNCTION("""COMPUTED_VALUE"""),"Is the prevalence or severity of the barrier quantified or well justified?")</f>
        <v>Is the prevalence or severity of the barrier quantified or well justified?</v>
      </c>
      <c r="D2" s="12" t="str">
        <f>IFERROR(__xludf.DUMMYFUNCTION("""COMPUTED_VALUE"""),"Is the mitigation strategy clearly named and described?")</f>
        <v>Is the mitigation strategy clearly named and described?</v>
      </c>
      <c r="E2" s="12" t="str">
        <f>IFERROR(__xludf.DUMMYFUNCTION("""COMPUTED_VALUE"""),"Is the link between the barrier and the chosen strategy explicitly justified?")</f>
        <v>Is the link between the barrier and the chosen strategy explicitly justified?</v>
      </c>
      <c r="F2" s="12" t="str">
        <f>IFERROR(__xludf.DUMMYFUNCTION("""COMPUTED_VALUE"""),"Are absolute performance values (before and after mitigation) reported with clear metrics?")</f>
        <v>Are absolute performance values (before and after mitigation) reported with clear metrics?</v>
      </c>
      <c r="G2" s="12" t="str">
        <f>IFERROR(__xludf.DUMMYFUNCTION("""COMPUTED_VALUE"""),"Is the baseline performance (without the mitigation) clearly reported?")</f>
        <v>Is the baseline performance (without the mitigation) clearly reported?</v>
      </c>
      <c r="H2" s="12" t="str">
        <f>IFERROR(__xludf.DUMMYFUNCTION("""COMPUTED_VALUE"""),"Is the performance gain calculated and reported transparently?")</f>
        <v>Is the performance gain calculated and reported transparently?</v>
      </c>
      <c r="I2" s="12" t="str">
        <f>IFERROR(__xludf.DUMMYFUNCTION("""COMPUTED_VALUE"""),"Are performance results supported by uncertainty/variability evidence such as repeated runs, folds, SD, CI, or multiple seeds?")</f>
        <v>Are performance results supported by uncertainty/variability evidence such as repeated runs, folds, SD, CI, or multiple seeds?</v>
      </c>
      <c r="J2" s="12" t="str">
        <f>IFERROR(__xludf.DUMMYFUNCTION("""COMPUTED_VALUE"""),"Is the experimental environment clearly stated (field / UAV / greenhouse / lab / controlled)?")</f>
        <v>Is the experimental environment clearly stated (field / UAV / greenhouse / lab / controlled)?</v>
      </c>
      <c r="K2" s="12" t="str">
        <f>IFERROR(__xludf.DUMMYFUNCTION("""COMPUTED_VALUE"""),"Is dataset size (number of images or instances) clearly reported?")</f>
        <v>Is dataset size (number of images or instances) clearly reported?</v>
      </c>
      <c r="L2" s="12" t="str">
        <f>IFERROR(__xludf.DUMMYFUNCTION("""COMPUTED_VALUE"""),"Is the computer-vision task clearly specified (Detection / Classification / Segmentation)?")</f>
        <v>Is the computer-vision task clearly specified (Detection / Classification / Segmentation)?</v>
      </c>
      <c r="M2" s="12" t="str">
        <f>IFERROR(__xludf.DUMMYFUNCTION("""COMPUTED_VALUE"""),"Is the evaluation dataset reasonably representative of the intended operating conditions?")</f>
        <v>Is the evaluation dataset reasonably representative of the intended operating conditions?</v>
      </c>
      <c r="N2" s="12" t="str">
        <f>IFERROR(__xludf.DUMMYFUNCTION("""COMPUTED_VALUE"""),"Was a proper independent test set (or external validation) used?")</f>
        <v>Was a proper independent test set (or external validation) used?</v>
      </c>
      <c r="O2" s="12" t="str">
        <f>IFERROR(__xludf.DUMMYFUNCTION("""COMPUTED_VALUE"""),"Was data leakage prevented?")</f>
        <v>Was data leakage prevented?</v>
      </c>
      <c r="P2" s="12" t="str">
        <f>IFERROR(__xludf.DUMMYFUNCTION("""COMPUTED_VALUE"""),"Were appropriate metrics used for the task?")</f>
        <v>Were appropriate metrics used for the task?</v>
      </c>
      <c r="Q2" s="12" t="str">
        <f>IFERROR(__xludf.DUMMYFUNCTION("""COMPUTED_VALUE"""),"Are limitations of the training data and mitigation strategy discussed?")</f>
        <v>Are limitations of the training data and mitigation strategy discussed?</v>
      </c>
      <c r="R2" s="12" t="str">
        <f>IFERROR(__xludf.DUMMYFUNCTION("""COMPUTED_VALUE"""),"Are training/validation/test samples separated sufficiently to avoid closely related images or acquisition groups appearing across splits?")</f>
        <v>Are training/validation/test samples separated sufficiently to avoid closely related images or acquisition groups appearing across splits?</v>
      </c>
      <c r="S2" s="12" t="str">
        <f>IFERROR(__xludf.DUMMYFUNCTION("""COMPUTED_VALUE"""),"If synthetic images were used, is the generation method clearly described?")</f>
        <v>If synthetic images were used, is the generation method clearly described?</v>
      </c>
      <c r="T2" s="12" t="str">
        <f>IFERROR(__xludf.DUMMYFUNCTION("""COMPUTED_VALUE"""),"Is a fair comparison with non-synthetic alternatives provided?")</f>
        <v>Is a fair comparison with non-synthetic alternatives provided?</v>
      </c>
      <c r="U2" s="12" t="str">
        <f>IFERROR(__xludf.DUMMYFUNCTION("""COMPUTED_VALUE"""),"Domain-level Concern")</f>
        <v>Domain-level Concern</v>
      </c>
      <c r="V2" s="12" t="str">
        <f>IFERROR(__xludf.DUMMYFUNCTION("""COMPUTED_VALUE"""),"Overall Risk of Bias")</f>
        <v>Overall Risk of Bias</v>
      </c>
      <c r="W2" s="12" t="str">
        <f>IFERROR(__xludf.DUMMYFUNCTION("""COMPUTED_VALUE"""),"Applicability / Generalizability Concern")</f>
        <v>Applicability / Generalizability Concern</v>
      </c>
    </row>
    <row r="3" ht="16.5" customHeight="1">
      <c r="A3" s="5" t="str">
        <f>IFERROR(__xludf.DUMMYFUNCTION("""COMPUTED_VALUE"""),"SCOPUS-000349")</f>
        <v>SCOPUS-000349</v>
      </c>
      <c r="B3" s="13" t="str">
        <f>IFERROR(__xludf.DUMMYFUNCTION("""COMPUTED_VALUE"""),"Yes")</f>
        <v>Yes</v>
      </c>
      <c r="C3" s="13" t="str">
        <f>IFERROR(__xludf.DUMMYFUNCTION("""COMPUTED_VALUE"""),"Yes")</f>
        <v>Yes</v>
      </c>
      <c r="D3" s="13" t="str">
        <f>IFERROR(__xludf.DUMMYFUNCTION("""COMPUTED_VALUE"""),"Yes")</f>
        <v>Yes</v>
      </c>
      <c r="E3" s="13" t="str">
        <f>IFERROR(__xludf.DUMMYFUNCTION("""COMPUTED_VALUE"""),"Yes")</f>
        <v>Yes</v>
      </c>
      <c r="F3" s="13" t="str">
        <f>IFERROR(__xludf.DUMMYFUNCTION("""COMPUTED_VALUE"""),"Yes")</f>
        <v>Yes</v>
      </c>
      <c r="G3" s="13" t="str">
        <f>IFERROR(__xludf.DUMMYFUNCTION("""COMPUTED_VALUE"""),"Yes")</f>
        <v>Yes</v>
      </c>
      <c r="H3" s="13" t="str">
        <f>IFERROR(__xludf.DUMMYFUNCTION("""COMPUTED_VALUE"""),"Yes")</f>
        <v>Yes</v>
      </c>
      <c r="I3" s="13" t="str">
        <f>IFERROR(__xludf.DUMMYFUNCTION("""COMPUTED_VALUE"""),"No")</f>
        <v>No</v>
      </c>
      <c r="J3" s="13" t="str">
        <f>IFERROR(__xludf.DUMMYFUNCTION("""COMPUTED_VALUE"""),"Yes")</f>
        <v>Yes</v>
      </c>
      <c r="K3" s="13" t="str">
        <f>IFERROR(__xludf.DUMMYFUNCTION("""COMPUTED_VALUE"""),"Yes")</f>
        <v>Yes</v>
      </c>
      <c r="L3" s="13" t="str">
        <f>IFERROR(__xludf.DUMMYFUNCTION("""COMPUTED_VALUE"""),"Yes")</f>
        <v>Yes</v>
      </c>
      <c r="M3" s="13" t="str">
        <f>IFERROR(__xludf.DUMMYFUNCTION("""COMPUTED_VALUE"""),"Partial")</f>
        <v>Partial</v>
      </c>
      <c r="N3" s="13" t="str">
        <f>IFERROR(__xludf.DUMMYFUNCTION("""COMPUTED_VALUE"""),"Yes")</f>
        <v>Yes</v>
      </c>
      <c r="O3" s="13" t="str">
        <f>IFERROR(__xludf.DUMMYFUNCTION("""COMPUTED_VALUE"""),"Yes")</f>
        <v>Yes</v>
      </c>
      <c r="P3" s="13" t="str">
        <f>IFERROR(__xludf.DUMMYFUNCTION("""COMPUTED_VALUE"""),"Yes")</f>
        <v>Yes</v>
      </c>
      <c r="Q3" s="13" t="str">
        <f>IFERROR(__xludf.DUMMYFUNCTION("""COMPUTED_VALUE"""),"Yes")</f>
        <v>Yes</v>
      </c>
      <c r="R3" s="13" t="str">
        <f>IFERROR(__xludf.DUMMYFUNCTION("""COMPUTED_VALUE"""),"Yes")</f>
        <v>Yes</v>
      </c>
      <c r="S3" s="13" t="str">
        <f>IFERROR(__xludf.DUMMYFUNCTION("""COMPUTED_VALUE"""),"Yes")</f>
        <v>Yes</v>
      </c>
      <c r="T3" s="13" t="str">
        <f>IFERROR(__xludf.DUMMYFUNCTION("""COMPUTED_VALUE"""),"Yes")</f>
        <v>Yes</v>
      </c>
      <c r="U3" s="13" t="str">
        <f>IFERROR(__xludf.DUMMYFUNCTION("""COMPUTED_VALUE"""),"Some concerns")</f>
        <v>Some concerns</v>
      </c>
      <c r="V3" s="13" t="str">
        <f>IFERROR(__xludf.DUMMYFUNCTION("""COMPUTED_VALUE"""),"Low")</f>
        <v>Low</v>
      </c>
      <c r="W3" s="13" t="str">
        <f>IFERROR(__xludf.DUMMYFUNCTION("""COMPUTED_VALUE"""),"Some concerns")</f>
        <v>Some concerns</v>
      </c>
    </row>
    <row r="4" ht="16.5" customHeight="1">
      <c r="A4" s="5" t="str">
        <f>IFERROR(__xludf.DUMMYFUNCTION("""COMPUTED_VALUE"""),"SCOPUS-000473")</f>
        <v>SCOPUS-000473</v>
      </c>
      <c r="B4" s="13" t="str">
        <f>IFERROR(__xludf.DUMMYFUNCTION("""COMPUTED_VALUE"""),"Yes")</f>
        <v>Yes</v>
      </c>
      <c r="C4" s="13" t="str">
        <f>IFERROR(__xludf.DUMMYFUNCTION("""COMPUTED_VALUE"""),"Yes")</f>
        <v>Yes</v>
      </c>
      <c r="D4" s="13" t="str">
        <f>IFERROR(__xludf.DUMMYFUNCTION("""COMPUTED_VALUE"""),"Yes")</f>
        <v>Yes</v>
      </c>
      <c r="E4" s="13" t="str">
        <f>IFERROR(__xludf.DUMMYFUNCTION("""COMPUTED_VALUE"""),"Yes")</f>
        <v>Yes</v>
      </c>
      <c r="F4" s="13" t="str">
        <f>IFERROR(__xludf.DUMMYFUNCTION("""COMPUTED_VALUE"""),"Yes")</f>
        <v>Yes</v>
      </c>
      <c r="G4" s="13" t="str">
        <f>IFERROR(__xludf.DUMMYFUNCTION("""COMPUTED_VALUE"""),"Yes")</f>
        <v>Yes</v>
      </c>
      <c r="H4" s="13" t="str">
        <f>IFERROR(__xludf.DUMMYFUNCTION("""COMPUTED_VALUE"""),"Yes")</f>
        <v>Yes</v>
      </c>
      <c r="I4" s="13" t="str">
        <f>IFERROR(__xludf.DUMMYFUNCTION("""COMPUTED_VALUE"""),"Unclear")</f>
        <v>Unclear</v>
      </c>
      <c r="J4" s="13" t="str">
        <f>IFERROR(__xludf.DUMMYFUNCTION("""COMPUTED_VALUE"""),"Yes")</f>
        <v>Yes</v>
      </c>
      <c r="K4" s="13" t="str">
        <f>IFERROR(__xludf.DUMMYFUNCTION("""COMPUTED_VALUE"""),"Yes")</f>
        <v>Yes</v>
      </c>
      <c r="L4" s="13" t="str">
        <f>IFERROR(__xludf.DUMMYFUNCTION("""COMPUTED_VALUE"""),"Yes")</f>
        <v>Yes</v>
      </c>
      <c r="M4" s="13" t="str">
        <f>IFERROR(__xludf.DUMMYFUNCTION("""COMPUTED_VALUE"""),"Yes")</f>
        <v>Yes</v>
      </c>
      <c r="N4" s="13" t="str">
        <f>IFERROR(__xludf.DUMMYFUNCTION("""COMPUTED_VALUE"""),"Yes")</f>
        <v>Yes</v>
      </c>
      <c r="O4" s="13" t="str">
        <f>IFERROR(__xludf.DUMMYFUNCTION("""COMPUTED_VALUE"""),"Partial")</f>
        <v>Partial</v>
      </c>
      <c r="P4" s="13" t="str">
        <f>IFERROR(__xludf.DUMMYFUNCTION("""COMPUTED_VALUE"""),"Yes")</f>
        <v>Yes</v>
      </c>
      <c r="Q4" s="13" t="str">
        <f>IFERROR(__xludf.DUMMYFUNCTION("""COMPUTED_VALUE"""),"Yes")</f>
        <v>Yes</v>
      </c>
      <c r="R4" s="13" t="str">
        <f>IFERROR(__xludf.DUMMYFUNCTION("""COMPUTED_VALUE"""),"Unclear")</f>
        <v>Unclear</v>
      </c>
      <c r="S4" s="13" t="str">
        <f>IFERROR(__xludf.DUMMYFUNCTION("""COMPUTED_VALUE"""),"N/A")</f>
        <v>N/A</v>
      </c>
      <c r="T4" s="13" t="str">
        <f>IFERROR(__xludf.DUMMYFUNCTION("""COMPUTED_VALUE"""),"N/A")</f>
        <v>N/A</v>
      </c>
      <c r="U4" s="13" t="str">
        <f>IFERROR(__xludf.DUMMYFUNCTION("""COMPUTED_VALUE"""),"Some concerns")</f>
        <v>Some concerns</v>
      </c>
      <c r="V4" s="13" t="str">
        <f>IFERROR(__xludf.DUMMYFUNCTION("""COMPUTED_VALUE"""),"Low")</f>
        <v>Low</v>
      </c>
      <c r="W4" s="13" t="str">
        <f>IFERROR(__xludf.DUMMYFUNCTION("""COMPUTED_VALUE"""),"Low")</f>
        <v>Low</v>
      </c>
    </row>
    <row r="5" ht="16.5" customHeight="1">
      <c r="A5" s="5" t="str">
        <f>IFERROR(__xludf.DUMMYFUNCTION("""COMPUTED_VALUE"""),"SCOPUS-000722")</f>
        <v>SCOPUS-000722</v>
      </c>
      <c r="B5" s="13" t="str">
        <f>IFERROR(__xludf.DUMMYFUNCTION("""COMPUTED_VALUE"""),"Yes")</f>
        <v>Yes</v>
      </c>
      <c r="C5" s="13" t="str">
        <f>IFERROR(__xludf.DUMMYFUNCTION("""COMPUTED_VALUE"""),"Yes")</f>
        <v>Yes</v>
      </c>
      <c r="D5" s="13" t="str">
        <f>IFERROR(__xludf.DUMMYFUNCTION("""COMPUTED_VALUE"""),"Yes")</f>
        <v>Yes</v>
      </c>
      <c r="E5" s="13" t="str">
        <f>IFERROR(__xludf.DUMMYFUNCTION("""COMPUTED_VALUE"""),"Yes")</f>
        <v>Yes</v>
      </c>
      <c r="F5" s="13" t="str">
        <f>IFERROR(__xludf.DUMMYFUNCTION("""COMPUTED_VALUE"""),"Yes")</f>
        <v>Yes</v>
      </c>
      <c r="G5" s="13" t="str">
        <f>IFERROR(__xludf.DUMMYFUNCTION("""COMPUTED_VALUE"""),"Yes")</f>
        <v>Yes</v>
      </c>
      <c r="H5" s="13" t="str">
        <f>IFERROR(__xludf.DUMMYFUNCTION("""COMPUTED_VALUE"""),"Partial")</f>
        <v>Partial</v>
      </c>
      <c r="I5" s="13" t="str">
        <f>IFERROR(__xludf.DUMMYFUNCTION("""COMPUTED_VALUE"""),"No")</f>
        <v>No</v>
      </c>
      <c r="J5" s="13" t="str">
        <f>IFERROR(__xludf.DUMMYFUNCTION("""COMPUTED_VALUE"""),"Yes")</f>
        <v>Yes</v>
      </c>
      <c r="K5" s="13" t="str">
        <f>IFERROR(__xludf.DUMMYFUNCTION("""COMPUTED_VALUE"""),"Yes")</f>
        <v>Yes</v>
      </c>
      <c r="L5" s="13" t="str">
        <f>IFERROR(__xludf.DUMMYFUNCTION("""COMPUTED_VALUE"""),"Yes")</f>
        <v>Yes</v>
      </c>
      <c r="M5" s="13" t="str">
        <f>IFERROR(__xludf.DUMMYFUNCTION("""COMPUTED_VALUE"""),"Partial")</f>
        <v>Partial</v>
      </c>
      <c r="N5" s="13" t="str">
        <f>IFERROR(__xludf.DUMMYFUNCTION("""COMPUTED_VALUE"""),"Yes")</f>
        <v>Yes</v>
      </c>
      <c r="O5" s="13" t="str">
        <f>IFERROR(__xludf.DUMMYFUNCTION("""COMPUTED_VALUE"""),"Unclear")</f>
        <v>Unclear</v>
      </c>
      <c r="P5" s="13" t="str">
        <f>IFERROR(__xludf.DUMMYFUNCTION("""COMPUTED_VALUE"""),"Yes")</f>
        <v>Yes</v>
      </c>
      <c r="Q5" s="13" t="str">
        <f>IFERROR(__xludf.DUMMYFUNCTION("""COMPUTED_VALUE"""),"Yes")</f>
        <v>Yes</v>
      </c>
      <c r="R5" s="13" t="str">
        <f>IFERROR(__xludf.DUMMYFUNCTION("""COMPUTED_VALUE"""),"Unclear")</f>
        <v>Unclear</v>
      </c>
      <c r="S5" s="13" t="str">
        <f>IFERROR(__xludf.DUMMYFUNCTION("""COMPUTED_VALUE"""),"N/A")</f>
        <v>N/A</v>
      </c>
      <c r="T5" s="13" t="str">
        <f>IFERROR(__xludf.DUMMYFUNCTION("""COMPUTED_VALUE"""),"N/A")</f>
        <v>N/A</v>
      </c>
      <c r="U5" s="13" t="str">
        <f>IFERROR(__xludf.DUMMYFUNCTION("""COMPUTED_VALUE"""),"Some concerns")</f>
        <v>Some concerns</v>
      </c>
      <c r="V5" s="13" t="str">
        <f>IFERROR(__xludf.DUMMYFUNCTION("""COMPUTED_VALUE"""),"Some concerns")</f>
        <v>Some concerns</v>
      </c>
      <c r="W5" s="13" t="str">
        <f>IFERROR(__xludf.DUMMYFUNCTION("""COMPUTED_VALUE"""),"Some concerns")</f>
        <v>Some concerns</v>
      </c>
    </row>
    <row r="6" ht="16.5" customHeight="1">
      <c r="A6" s="5" t="str">
        <f>IFERROR(__xludf.DUMMYFUNCTION("""COMPUTED_VALUE"""),"SCOPUS-000153")</f>
        <v>SCOPUS-000153</v>
      </c>
      <c r="B6" s="13" t="str">
        <f>IFERROR(__xludf.DUMMYFUNCTION("""COMPUTED_VALUE"""),"Yes")</f>
        <v>Yes</v>
      </c>
      <c r="C6" s="13" t="str">
        <f>IFERROR(__xludf.DUMMYFUNCTION("""COMPUTED_VALUE"""),"Yes")</f>
        <v>Yes</v>
      </c>
      <c r="D6" s="13" t="str">
        <f>IFERROR(__xludf.DUMMYFUNCTION("""COMPUTED_VALUE"""),"Yes")</f>
        <v>Yes</v>
      </c>
      <c r="E6" s="13" t="str">
        <f>IFERROR(__xludf.DUMMYFUNCTION("""COMPUTED_VALUE"""),"Yes")</f>
        <v>Yes</v>
      </c>
      <c r="F6" s="13" t="str">
        <f>IFERROR(__xludf.DUMMYFUNCTION("""COMPUTED_VALUE"""),"Yes")</f>
        <v>Yes</v>
      </c>
      <c r="G6" s="13" t="str">
        <f>IFERROR(__xludf.DUMMYFUNCTION("""COMPUTED_VALUE"""),"Yes")</f>
        <v>Yes</v>
      </c>
      <c r="H6" s="13" t="str">
        <f>IFERROR(__xludf.DUMMYFUNCTION("""COMPUTED_VALUE"""),"Yes")</f>
        <v>Yes</v>
      </c>
      <c r="I6" s="13" t="str">
        <f>IFERROR(__xludf.DUMMYFUNCTION("""COMPUTED_VALUE"""),"No")</f>
        <v>No</v>
      </c>
      <c r="J6" s="13" t="str">
        <f>IFERROR(__xludf.DUMMYFUNCTION("""COMPUTED_VALUE"""),"Yes")</f>
        <v>Yes</v>
      </c>
      <c r="K6" s="13" t="str">
        <f>IFERROR(__xludf.DUMMYFUNCTION("""COMPUTED_VALUE"""),"Yes")</f>
        <v>Yes</v>
      </c>
      <c r="L6" s="13" t="str">
        <f>IFERROR(__xludf.DUMMYFUNCTION("""COMPUTED_VALUE"""),"Yes")</f>
        <v>Yes</v>
      </c>
      <c r="M6" s="13" t="str">
        <f>IFERROR(__xludf.DUMMYFUNCTION("""COMPUTED_VALUE"""),"Yes")</f>
        <v>Yes</v>
      </c>
      <c r="N6" s="13" t="str">
        <f>IFERROR(__xludf.DUMMYFUNCTION("""COMPUTED_VALUE"""),"Yes")</f>
        <v>Yes</v>
      </c>
      <c r="O6" s="13" t="str">
        <f>IFERROR(__xludf.DUMMYFUNCTION("""COMPUTED_VALUE"""),"Yes")</f>
        <v>Yes</v>
      </c>
      <c r="P6" s="13" t="str">
        <f>IFERROR(__xludf.DUMMYFUNCTION("""COMPUTED_VALUE"""),"Yes")</f>
        <v>Yes</v>
      </c>
      <c r="Q6" s="13" t="str">
        <f>IFERROR(__xludf.DUMMYFUNCTION("""COMPUTED_VALUE"""),"Yes")</f>
        <v>Yes</v>
      </c>
      <c r="R6" s="13" t="str">
        <f>IFERROR(__xludf.DUMMYFUNCTION("""COMPUTED_VALUE"""),"Yes")</f>
        <v>Yes</v>
      </c>
      <c r="S6" s="13" t="str">
        <f>IFERROR(__xludf.DUMMYFUNCTION("""COMPUTED_VALUE"""),"N/A")</f>
        <v>N/A</v>
      </c>
      <c r="T6" s="13" t="str">
        <f>IFERROR(__xludf.DUMMYFUNCTION("""COMPUTED_VALUE"""),"N/A")</f>
        <v>N/A</v>
      </c>
      <c r="U6" s="13" t="str">
        <f>IFERROR(__xludf.DUMMYFUNCTION("""COMPUTED_VALUE"""),"Low")</f>
        <v>Low</v>
      </c>
      <c r="V6" s="13" t="str">
        <f>IFERROR(__xludf.DUMMYFUNCTION("""COMPUTED_VALUE"""),"Low")</f>
        <v>Low</v>
      </c>
      <c r="W6" s="13" t="str">
        <f>IFERROR(__xludf.DUMMYFUNCTION("""COMPUTED_VALUE"""),"Low")</f>
        <v>Low</v>
      </c>
    </row>
    <row r="7" ht="16.5" customHeight="1">
      <c r="A7" s="5" t="str">
        <f>IFERROR(__xludf.DUMMYFUNCTION("""COMPUTED_VALUE"""),"SCOPUS-000522")</f>
        <v>SCOPUS-000522</v>
      </c>
      <c r="B7" s="13" t="str">
        <f>IFERROR(__xludf.DUMMYFUNCTION("""COMPUTED_VALUE"""),"Yes")</f>
        <v>Yes</v>
      </c>
      <c r="C7" s="13" t="str">
        <f>IFERROR(__xludf.DUMMYFUNCTION("""COMPUTED_VALUE"""),"Partial")</f>
        <v>Partial</v>
      </c>
      <c r="D7" s="13" t="str">
        <f>IFERROR(__xludf.DUMMYFUNCTION("""COMPUTED_VALUE"""),"Yes")</f>
        <v>Yes</v>
      </c>
      <c r="E7" s="13" t="str">
        <f>IFERROR(__xludf.DUMMYFUNCTION("""COMPUTED_VALUE"""),"Yes")</f>
        <v>Yes</v>
      </c>
      <c r="F7" s="13" t="str">
        <f>IFERROR(__xludf.DUMMYFUNCTION("""COMPUTED_VALUE"""),"Yes")</f>
        <v>Yes</v>
      </c>
      <c r="G7" s="13" t="str">
        <f>IFERROR(__xludf.DUMMYFUNCTION("""COMPUTED_VALUE"""),"Yes")</f>
        <v>Yes</v>
      </c>
      <c r="H7" s="13" t="str">
        <f>IFERROR(__xludf.DUMMYFUNCTION("""COMPUTED_VALUE"""),"Partial")</f>
        <v>Partial</v>
      </c>
      <c r="I7" s="13" t="str">
        <f>IFERROR(__xludf.DUMMYFUNCTION("""COMPUTED_VALUE"""),"No")</f>
        <v>No</v>
      </c>
      <c r="J7" s="13" t="str">
        <f>IFERROR(__xludf.DUMMYFUNCTION("""COMPUTED_VALUE"""),"Yes")</f>
        <v>Yes</v>
      </c>
      <c r="K7" s="13" t="str">
        <f>IFERROR(__xludf.DUMMYFUNCTION("""COMPUTED_VALUE"""),"Yes")</f>
        <v>Yes</v>
      </c>
      <c r="L7" s="13" t="str">
        <f>IFERROR(__xludf.DUMMYFUNCTION("""COMPUTED_VALUE"""),"Yes")</f>
        <v>Yes</v>
      </c>
      <c r="M7" s="13" t="str">
        <f>IFERROR(__xludf.DUMMYFUNCTION("""COMPUTED_VALUE"""),"Yes")</f>
        <v>Yes</v>
      </c>
      <c r="N7" s="13" t="str">
        <f>IFERROR(__xludf.DUMMYFUNCTION("""COMPUTED_VALUE"""),"Yes")</f>
        <v>Yes</v>
      </c>
      <c r="O7" s="13" t="str">
        <f>IFERROR(__xludf.DUMMYFUNCTION("""COMPUTED_VALUE"""),"Unclear")</f>
        <v>Unclear</v>
      </c>
      <c r="P7" s="13" t="str">
        <f>IFERROR(__xludf.DUMMYFUNCTION("""COMPUTED_VALUE"""),"Yes")</f>
        <v>Yes</v>
      </c>
      <c r="Q7" s="13" t="str">
        <f>IFERROR(__xludf.DUMMYFUNCTION("""COMPUTED_VALUE"""),"Partial")</f>
        <v>Partial</v>
      </c>
      <c r="R7" s="13" t="str">
        <f>IFERROR(__xludf.DUMMYFUNCTION("""COMPUTED_VALUE"""),"Unclear")</f>
        <v>Unclear</v>
      </c>
      <c r="S7" s="13" t="str">
        <f>IFERROR(__xludf.DUMMYFUNCTION("""COMPUTED_VALUE"""),"N/A")</f>
        <v>N/A</v>
      </c>
      <c r="T7" s="13" t="str">
        <f>IFERROR(__xludf.DUMMYFUNCTION("""COMPUTED_VALUE"""),"N/A")</f>
        <v>N/A</v>
      </c>
      <c r="U7" s="13" t="str">
        <f>IFERROR(__xludf.DUMMYFUNCTION("""COMPUTED_VALUE"""),"Some concerns")</f>
        <v>Some concerns</v>
      </c>
      <c r="V7" s="13" t="str">
        <f>IFERROR(__xludf.DUMMYFUNCTION("""COMPUTED_VALUE"""),"Some concerns")</f>
        <v>Some concerns</v>
      </c>
      <c r="W7" s="13" t="str">
        <f>IFERROR(__xludf.DUMMYFUNCTION("""COMPUTED_VALUE"""),"Low")</f>
        <v>Low</v>
      </c>
    </row>
    <row r="8" ht="16.5" customHeight="1">
      <c r="A8" s="5" t="str">
        <f>IFERROR(__xludf.DUMMYFUNCTION("""COMPUTED_VALUE"""),"SCOPUS-000487")</f>
        <v>SCOPUS-000487</v>
      </c>
      <c r="B8" s="13" t="str">
        <f>IFERROR(__xludf.DUMMYFUNCTION("""COMPUTED_VALUE"""),"Yes")</f>
        <v>Yes</v>
      </c>
      <c r="C8" s="13" t="str">
        <f>IFERROR(__xludf.DUMMYFUNCTION("""COMPUTED_VALUE"""),"Yes")</f>
        <v>Yes</v>
      </c>
      <c r="D8" s="13" t="str">
        <f>IFERROR(__xludf.DUMMYFUNCTION("""COMPUTED_VALUE"""),"Yes")</f>
        <v>Yes</v>
      </c>
      <c r="E8" s="13" t="str">
        <f>IFERROR(__xludf.DUMMYFUNCTION("""COMPUTED_VALUE"""),"Yes")</f>
        <v>Yes</v>
      </c>
      <c r="F8" s="13" t="str">
        <f>IFERROR(__xludf.DUMMYFUNCTION("""COMPUTED_VALUE"""),"Yes")</f>
        <v>Yes</v>
      </c>
      <c r="G8" s="13" t="str">
        <f>IFERROR(__xludf.DUMMYFUNCTION("""COMPUTED_VALUE"""),"Yes")</f>
        <v>Yes</v>
      </c>
      <c r="H8" s="13" t="str">
        <f>IFERROR(__xludf.DUMMYFUNCTION("""COMPUTED_VALUE"""),"Yes")</f>
        <v>Yes</v>
      </c>
      <c r="I8" s="13" t="str">
        <f>IFERROR(__xludf.DUMMYFUNCTION("""COMPUTED_VALUE"""),"No")</f>
        <v>No</v>
      </c>
      <c r="J8" s="13" t="str">
        <f>IFERROR(__xludf.DUMMYFUNCTION("""COMPUTED_VALUE"""),"Yes")</f>
        <v>Yes</v>
      </c>
      <c r="K8" s="13" t="str">
        <f>IFERROR(__xludf.DUMMYFUNCTION("""COMPUTED_VALUE"""),"Yes")</f>
        <v>Yes</v>
      </c>
      <c r="L8" s="13" t="str">
        <f>IFERROR(__xludf.DUMMYFUNCTION("""COMPUTED_VALUE"""),"Yes")</f>
        <v>Yes</v>
      </c>
      <c r="M8" s="13" t="str">
        <f>IFERROR(__xludf.DUMMYFUNCTION("""COMPUTED_VALUE"""),"Yes")</f>
        <v>Yes</v>
      </c>
      <c r="N8" s="13" t="str">
        <f>IFERROR(__xludf.DUMMYFUNCTION("""COMPUTED_VALUE"""),"Yes")</f>
        <v>Yes</v>
      </c>
      <c r="O8" s="13" t="str">
        <f>IFERROR(__xludf.DUMMYFUNCTION("""COMPUTED_VALUE"""),"Unclear")</f>
        <v>Unclear</v>
      </c>
      <c r="P8" s="13" t="str">
        <f>IFERROR(__xludf.DUMMYFUNCTION("""COMPUTED_VALUE"""),"Yes")</f>
        <v>Yes</v>
      </c>
      <c r="Q8" s="13" t="str">
        <f>IFERROR(__xludf.DUMMYFUNCTION("""COMPUTED_VALUE"""),"Partial")</f>
        <v>Partial</v>
      </c>
      <c r="R8" s="13" t="str">
        <f>IFERROR(__xludf.DUMMYFUNCTION("""COMPUTED_VALUE"""),"Unclear")</f>
        <v>Unclear</v>
      </c>
      <c r="S8" s="13" t="str">
        <f>IFERROR(__xludf.DUMMYFUNCTION("""COMPUTED_VALUE"""),"Yes")</f>
        <v>Yes</v>
      </c>
      <c r="T8" s="13" t="str">
        <f>IFERROR(__xludf.DUMMYFUNCTION("""COMPUTED_VALUE"""),"Yes")</f>
        <v>Yes</v>
      </c>
      <c r="U8" s="13" t="str">
        <f>IFERROR(__xludf.DUMMYFUNCTION("""COMPUTED_VALUE"""),"Some concerns")</f>
        <v>Some concerns</v>
      </c>
      <c r="V8" s="13" t="str">
        <f>IFERROR(__xludf.DUMMYFUNCTION("""COMPUTED_VALUE"""),"Some concerns")</f>
        <v>Some concerns</v>
      </c>
      <c r="W8" s="13" t="str">
        <f>IFERROR(__xludf.DUMMYFUNCTION("""COMPUTED_VALUE"""),"Low")</f>
        <v>Low</v>
      </c>
    </row>
    <row r="9" ht="16.5" customHeight="1">
      <c r="A9" s="5" t="str">
        <f>IFERROR(__xludf.DUMMYFUNCTION("""COMPUTED_VALUE"""),"SCOPUS-000328")</f>
        <v>SCOPUS-000328</v>
      </c>
      <c r="B9" s="13" t="str">
        <f>IFERROR(__xludf.DUMMYFUNCTION("""COMPUTED_VALUE"""),"Yes")</f>
        <v>Yes</v>
      </c>
      <c r="C9" s="13" t="str">
        <f>IFERROR(__xludf.DUMMYFUNCTION("""COMPUTED_VALUE"""),"Partial")</f>
        <v>Partial</v>
      </c>
      <c r="D9" s="13" t="str">
        <f>IFERROR(__xludf.DUMMYFUNCTION("""COMPUTED_VALUE"""),"Yes")</f>
        <v>Yes</v>
      </c>
      <c r="E9" s="13" t="str">
        <f>IFERROR(__xludf.DUMMYFUNCTION("""COMPUTED_VALUE"""),"Yes")</f>
        <v>Yes</v>
      </c>
      <c r="F9" s="13" t="str">
        <f>IFERROR(__xludf.DUMMYFUNCTION("""COMPUTED_VALUE"""),"Yes")</f>
        <v>Yes</v>
      </c>
      <c r="G9" s="13" t="str">
        <f>IFERROR(__xludf.DUMMYFUNCTION("""COMPUTED_VALUE"""),"Yes")</f>
        <v>Yes</v>
      </c>
      <c r="H9" s="13" t="str">
        <f>IFERROR(__xludf.DUMMYFUNCTION("""COMPUTED_VALUE"""),"Partial")</f>
        <v>Partial</v>
      </c>
      <c r="I9" s="13" t="str">
        <f>IFERROR(__xludf.DUMMYFUNCTION("""COMPUTED_VALUE"""),"No")</f>
        <v>No</v>
      </c>
      <c r="J9" s="13" t="str">
        <f>IFERROR(__xludf.DUMMYFUNCTION("""COMPUTED_VALUE"""),"Yes")</f>
        <v>Yes</v>
      </c>
      <c r="K9" s="13" t="str">
        <f>IFERROR(__xludf.DUMMYFUNCTION("""COMPUTED_VALUE"""),"Yes")</f>
        <v>Yes</v>
      </c>
      <c r="L9" s="13" t="str">
        <f>IFERROR(__xludf.DUMMYFUNCTION("""COMPUTED_VALUE"""),"Yes")</f>
        <v>Yes</v>
      </c>
      <c r="M9" s="13" t="str">
        <f>IFERROR(__xludf.DUMMYFUNCTION("""COMPUTED_VALUE"""),"Yes")</f>
        <v>Yes</v>
      </c>
      <c r="N9" s="13" t="str">
        <f>IFERROR(__xludf.DUMMYFUNCTION("""COMPUTED_VALUE"""),"Yes")</f>
        <v>Yes</v>
      </c>
      <c r="O9" s="13" t="str">
        <f>IFERROR(__xludf.DUMMYFUNCTION("""COMPUTED_VALUE"""),"Unclear")</f>
        <v>Unclear</v>
      </c>
      <c r="P9" s="13" t="str">
        <f>IFERROR(__xludf.DUMMYFUNCTION("""COMPUTED_VALUE"""),"Yes")</f>
        <v>Yes</v>
      </c>
      <c r="Q9" s="13" t="str">
        <f>IFERROR(__xludf.DUMMYFUNCTION("""COMPUTED_VALUE"""),"Partial")</f>
        <v>Partial</v>
      </c>
      <c r="R9" s="13" t="str">
        <f>IFERROR(__xludf.DUMMYFUNCTION("""COMPUTED_VALUE"""),"Unclear")</f>
        <v>Unclear</v>
      </c>
      <c r="S9" s="13" t="str">
        <f>IFERROR(__xludf.DUMMYFUNCTION("""COMPUTED_VALUE"""),"N/A")</f>
        <v>N/A</v>
      </c>
      <c r="T9" s="13" t="str">
        <f>IFERROR(__xludf.DUMMYFUNCTION("""COMPUTED_VALUE"""),"N/A")</f>
        <v>N/A</v>
      </c>
      <c r="U9" s="13" t="str">
        <f>IFERROR(__xludf.DUMMYFUNCTION("""COMPUTED_VALUE"""),"Some concerns")</f>
        <v>Some concerns</v>
      </c>
      <c r="V9" s="13" t="str">
        <f>IFERROR(__xludf.DUMMYFUNCTION("""COMPUTED_VALUE"""),"Some concerns")</f>
        <v>Some concerns</v>
      </c>
      <c r="W9" s="13" t="str">
        <f>IFERROR(__xludf.DUMMYFUNCTION("""COMPUTED_VALUE"""),"Low")</f>
        <v>Low</v>
      </c>
    </row>
    <row r="10" ht="16.5" customHeight="1">
      <c r="A10" s="5" t="str">
        <f>IFERROR(__xludf.DUMMYFUNCTION("""COMPUTED_VALUE"""),"SCOPUS-000256")</f>
        <v>SCOPUS-000256</v>
      </c>
      <c r="B10" s="13" t="str">
        <f>IFERROR(__xludf.DUMMYFUNCTION("""COMPUTED_VALUE"""),"Yes")</f>
        <v>Yes</v>
      </c>
      <c r="C10" s="13" t="str">
        <f>IFERROR(__xludf.DUMMYFUNCTION("""COMPUTED_VALUE"""),"Yes")</f>
        <v>Yes</v>
      </c>
      <c r="D10" s="13" t="str">
        <f>IFERROR(__xludf.DUMMYFUNCTION("""COMPUTED_VALUE"""),"Yes")</f>
        <v>Yes</v>
      </c>
      <c r="E10" s="13" t="str">
        <f>IFERROR(__xludf.DUMMYFUNCTION("""COMPUTED_VALUE"""),"Yes")</f>
        <v>Yes</v>
      </c>
      <c r="F10" s="13" t="str">
        <f>IFERROR(__xludf.DUMMYFUNCTION("""COMPUTED_VALUE"""),"Yes")</f>
        <v>Yes</v>
      </c>
      <c r="G10" s="13" t="str">
        <f>IFERROR(__xludf.DUMMYFUNCTION("""COMPUTED_VALUE"""),"Yes")</f>
        <v>Yes</v>
      </c>
      <c r="H10" s="13" t="str">
        <f>IFERROR(__xludf.DUMMYFUNCTION("""COMPUTED_VALUE"""),"Yes")</f>
        <v>Yes</v>
      </c>
      <c r="I10" s="13" t="str">
        <f>IFERROR(__xludf.DUMMYFUNCTION("""COMPUTED_VALUE"""),"No")</f>
        <v>No</v>
      </c>
      <c r="J10" s="13" t="str">
        <f>IFERROR(__xludf.DUMMYFUNCTION("""COMPUTED_VALUE"""),"Yes")</f>
        <v>Yes</v>
      </c>
      <c r="K10" s="13" t="str">
        <f>IFERROR(__xludf.DUMMYFUNCTION("""COMPUTED_VALUE"""),"Yes")</f>
        <v>Yes</v>
      </c>
      <c r="L10" s="13" t="str">
        <f>IFERROR(__xludf.DUMMYFUNCTION("""COMPUTED_VALUE"""),"Yes")</f>
        <v>Yes</v>
      </c>
      <c r="M10" s="13" t="str">
        <f>IFERROR(__xludf.DUMMYFUNCTION("""COMPUTED_VALUE"""),"Partial")</f>
        <v>Partial</v>
      </c>
      <c r="N10" s="13" t="str">
        <f>IFERROR(__xludf.DUMMYFUNCTION("""COMPUTED_VALUE"""),"Yes")</f>
        <v>Yes</v>
      </c>
      <c r="O10" s="13" t="str">
        <f>IFERROR(__xludf.DUMMYFUNCTION("""COMPUTED_VALUE"""),"Unclear")</f>
        <v>Unclear</v>
      </c>
      <c r="P10" s="13" t="str">
        <f>IFERROR(__xludf.DUMMYFUNCTION("""COMPUTED_VALUE"""),"Yes")</f>
        <v>Yes</v>
      </c>
      <c r="Q10" s="13" t="str">
        <f>IFERROR(__xludf.DUMMYFUNCTION("""COMPUTED_VALUE"""),"Partial")</f>
        <v>Partial</v>
      </c>
      <c r="R10" s="13" t="str">
        <f>IFERROR(__xludf.DUMMYFUNCTION("""COMPUTED_VALUE"""),"Unclear")</f>
        <v>Unclear</v>
      </c>
      <c r="S10" s="13" t="str">
        <f>IFERROR(__xludf.DUMMYFUNCTION("""COMPUTED_VALUE"""),"N/A")</f>
        <v>N/A</v>
      </c>
      <c r="T10" s="13" t="str">
        <f>IFERROR(__xludf.DUMMYFUNCTION("""COMPUTED_VALUE"""),"N/A")</f>
        <v>N/A</v>
      </c>
      <c r="U10" s="13" t="str">
        <f>IFERROR(__xludf.DUMMYFUNCTION("""COMPUTED_VALUE"""),"Some concerns")</f>
        <v>Some concerns</v>
      </c>
      <c r="V10" s="13" t="str">
        <f>IFERROR(__xludf.DUMMYFUNCTION("""COMPUTED_VALUE"""),"Some concerns")</f>
        <v>Some concerns</v>
      </c>
      <c r="W10" s="13" t="str">
        <f>IFERROR(__xludf.DUMMYFUNCTION("""COMPUTED_VALUE"""),"Some concerns")</f>
        <v>Some concerns</v>
      </c>
    </row>
    <row r="11" ht="16.5" customHeight="1">
      <c r="A11" s="5" t="str">
        <f>IFERROR(__xludf.DUMMYFUNCTION("""COMPUTED_VALUE"""),"SCOPUS-000234")</f>
        <v>SCOPUS-000234</v>
      </c>
      <c r="B11" s="13" t="str">
        <f>IFERROR(__xludf.DUMMYFUNCTION("""COMPUTED_VALUE"""),"Yes")</f>
        <v>Yes</v>
      </c>
      <c r="C11" s="13" t="str">
        <f>IFERROR(__xludf.DUMMYFUNCTION("""COMPUTED_VALUE"""),"Yes")</f>
        <v>Yes</v>
      </c>
      <c r="D11" s="13" t="str">
        <f>IFERROR(__xludf.DUMMYFUNCTION("""COMPUTED_VALUE"""),"Yes")</f>
        <v>Yes</v>
      </c>
      <c r="E11" s="13" t="str">
        <f>IFERROR(__xludf.DUMMYFUNCTION("""COMPUTED_VALUE"""),"Yes")</f>
        <v>Yes</v>
      </c>
      <c r="F11" s="13" t="str">
        <f>IFERROR(__xludf.DUMMYFUNCTION("""COMPUTED_VALUE"""),"Yes")</f>
        <v>Yes</v>
      </c>
      <c r="G11" s="13" t="str">
        <f>IFERROR(__xludf.DUMMYFUNCTION("""COMPUTED_VALUE"""),"Yes")</f>
        <v>Yes</v>
      </c>
      <c r="H11" s="13" t="str">
        <f>IFERROR(__xludf.DUMMYFUNCTION("""COMPUTED_VALUE"""),"Yes")</f>
        <v>Yes</v>
      </c>
      <c r="I11" s="13" t="str">
        <f>IFERROR(__xludf.DUMMYFUNCTION("""COMPUTED_VALUE"""),"No")</f>
        <v>No</v>
      </c>
      <c r="J11" s="13" t="str">
        <f>IFERROR(__xludf.DUMMYFUNCTION("""COMPUTED_VALUE"""),"Yes")</f>
        <v>Yes</v>
      </c>
      <c r="K11" s="13" t="str">
        <f>IFERROR(__xludf.DUMMYFUNCTION("""COMPUTED_VALUE"""),"Yes")</f>
        <v>Yes</v>
      </c>
      <c r="L11" s="13" t="str">
        <f>IFERROR(__xludf.DUMMYFUNCTION("""COMPUTED_VALUE"""),"Yes")</f>
        <v>Yes</v>
      </c>
      <c r="M11" s="13" t="str">
        <f>IFERROR(__xludf.DUMMYFUNCTION("""COMPUTED_VALUE"""),"Partial")</f>
        <v>Partial</v>
      </c>
      <c r="N11" s="13" t="str">
        <f>IFERROR(__xludf.DUMMYFUNCTION("""COMPUTED_VALUE"""),"Yes")</f>
        <v>Yes</v>
      </c>
      <c r="O11" s="13" t="str">
        <f>IFERROR(__xludf.DUMMYFUNCTION("""COMPUTED_VALUE"""),"Partial")</f>
        <v>Partial</v>
      </c>
      <c r="P11" s="13" t="str">
        <f>IFERROR(__xludf.DUMMYFUNCTION("""COMPUTED_VALUE"""),"Yes")</f>
        <v>Yes</v>
      </c>
      <c r="Q11" s="13" t="str">
        <f>IFERROR(__xludf.DUMMYFUNCTION("""COMPUTED_VALUE"""),"Partial")</f>
        <v>Partial</v>
      </c>
      <c r="R11" s="13" t="str">
        <f>IFERROR(__xludf.DUMMYFUNCTION("""COMPUTED_VALUE"""),"Unclear")</f>
        <v>Unclear</v>
      </c>
      <c r="S11" s="13" t="str">
        <f>IFERROR(__xludf.DUMMYFUNCTION("""COMPUTED_VALUE"""),"N/A")</f>
        <v>N/A</v>
      </c>
      <c r="T11" s="13" t="str">
        <f>IFERROR(__xludf.DUMMYFUNCTION("""COMPUTED_VALUE"""),"N/A")</f>
        <v>N/A</v>
      </c>
      <c r="U11" s="13" t="str">
        <f>IFERROR(__xludf.DUMMYFUNCTION("""COMPUTED_VALUE"""),"Some concerns")</f>
        <v>Some concerns</v>
      </c>
      <c r="V11" s="13" t="str">
        <f>IFERROR(__xludf.DUMMYFUNCTION("""COMPUTED_VALUE"""),"Some concerns")</f>
        <v>Some concerns</v>
      </c>
      <c r="W11" s="13" t="str">
        <f>IFERROR(__xludf.DUMMYFUNCTION("""COMPUTED_VALUE"""),"Some concerns")</f>
        <v>Some concerns</v>
      </c>
    </row>
    <row r="12" ht="16.5" customHeight="1">
      <c r="A12" s="5" t="str">
        <f>IFERROR(__xludf.DUMMYFUNCTION("""COMPUTED_VALUE"""),"SCOPUS-000220")</f>
        <v>SCOPUS-000220</v>
      </c>
      <c r="B12" s="13" t="str">
        <f>IFERROR(__xludf.DUMMYFUNCTION("""COMPUTED_VALUE"""),"Yes")</f>
        <v>Yes</v>
      </c>
      <c r="C12" s="13" t="str">
        <f>IFERROR(__xludf.DUMMYFUNCTION("""COMPUTED_VALUE"""),"Yes")</f>
        <v>Yes</v>
      </c>
      <c r="D12" s="13" t="str">
        <f>IFERROR(__xludf.DUMMYFUNCTION("""COMPUTED_VALUE"""),"Yes")</f>
        <v>Yes</v>
      </c>
      <c r="E12" s="13" t="str">
        <f>IFERROR(__xludf.DUMMYFUNCTION("""COMPUTED_VALUE"""),"Yes")</f>
        <v>Yes</v>
      </c>
      <c r="F12" s="13" t="str">
        <f>IFERROR(__xludf.DUMMYFUNCTION("""COMPUTED_VALUE"""),"Yes")</f>
        <v>Yes</v>
      </c>
      <c r="G12" s="13" t="str">
        <f>IFERROR(__xludf.DUMMYFUNCTION("""COMPUTED_VALUE"""),"Yes")</f>
        <v>Yes</v>
      </c>
      <c r="H12" s="13" t="str">
        <f>IFERROR(__xludf.DUMMYFUNCTION("""COMPUTED_VALUE"""),"Yes")</f>
        <v>Yes</v>
      </c>
      <c r="I12" s="13" t="str">
        <f>IFERROR(__xludf.DUMMYFUNCTION("""COMPUTED_VALUE"""),"No")</f>
        <v>No</v>
      </c>
      <c r="J12" s="13" t="str">
        <f>IFERROR(__xludf.DUMMYFUNCTION("""COMPUTED_VALUE"""),"Yes")</f>
        <v>Yes</v>
      </c>
      <c r="K12" s="13" t="str">
        <f>IFERROR(__xludf.DUMMYFUNCTION("""COMPUTED_VALUE"""),"Yes")</f>
        <v>Yes</v>
      </c>
      <c r="L12" s="13" t="str">
        <f>IFERROR(__xludf.DUMMYFUNCTION("""COMPUTED_VALUE"""),"Yes")</f>
        <v>Yes</v>
      </c>
      <c r="M12" s="13" t="str">
        <f>IFERROR(__xludf.DUMMYFUNCTION("""COMPUTED_VALUE"""),"Partial")</f>
        <v>Partial</v>
      </c>
      <c r="N12" s="13" t="str">
        <f>IFERROR(__xludf.DUMMYFUNCTION("""COMPUTED_VALUE"""),"Yes")</f>
        <v>Yes</v>
      </c>
      <c r="O12" s="13" t="str">
        <f>IFERROR(__xludf.DUMMYFUNCTION("""COMPUTED_VALUE"""),"Unclear")</f>
        <v>Unclear</v>
      </c>
      <c r="P12" s="13" t="str">
        <f>IFERROR(__xludf.DUMMYFUNCTION("""COMPUTED_VALUE"""),"Yes")</f>
        <v>Yes</v>
      </c>
      <c r="Q12" s="13" t="str">
        <f>IFERROR(__xludf.DUMMYFUNCTION("""COMPUTED_VALUE"""),"Partial")</f>
        <v>Partial</v>
      </c>
      <c r="R12" s="13" t="str">
        <f>IFERROR(__xludf.DUMMYFUNCTION("""COMPUTED_VALUE"""),"Unclear")</f>
        <v>Unclear</v>
      </c>
      <c r="S12" s="13" t="str">
        <f>IFERROR(__xludf.DUMMYFUNCTION("""COMPUTED_VALUE"""),"N/A")</f>
        <v>N/A</v>
      </c>
      <c r="T12" s="13" t="str">
        <f>IFERROR(__xludf.DUMMYFUNCTION("""COMPUTED_VALUE"""),"N/A")</f>
        <v>N/A</v>
      </c>
      <c r="U12" s="13" t="str">
        <f>IFERROR(__xludf.DUMMYFUNCTION("""COMPUTED_VALUE"""),"Some concerns")</f>
        <v>Some concerns</v>
      </c>
      <c r="V12" s="13" t="str">
        <f>IFERROR(__xludf.DUMMYFUNCTION("""COMPUTED_VALUE"""),"Some concerns")</f>
        <v>Some concerns</v>
      </c>
      <c r="W12" s="13" t="str">
        <f>IFERROR(__xludf.DUMMYFUNCTION("""COMPUTED_VALUE"""),"Some concerns")</f>
        <v>Some concerns</v>
      </c>
    </row>
    <row r="13" ht="16.5" customHeight="1">
      <c r="A13" s="5" t="str">
        <f>IFERROR(__xludf.DUMMYFUNCTION("""COMPUTED_VALUE"""),"SCOPUS-000211")</f>
        <v>SCOPUS-000211</v>
      </c>
      <c r="B13" s="13" t="str">
        <f>IFERROR(__xludf.DUMMYFUNCTION("""COMPUTED_VALUE"""),"Yes")</f>
        <v>Yes</v>
      </c>
      <c r="C13" s="13" t="str">
        <f>IFERROR(__xludf.DUMMYFUNCTION("""COMPUTED_VALUE"""),"Yes")</f>
        <v>Yes</v>
      </c>
      <c r="D13" s="13" t="str">
        <f>IFERROR(__xludf.DUMMYFUNCTION("""COMPUTED_VALUE"""),"Yes")</f>
        <v>Yes</v>
      </c>
      <c r="E13" s="13" t="str">
        <f>IFERROR(__xludf.DUMMYFUNCTION("""COMPUTED_VALUE"""),"Yes")</f>
        <v>Yes</v>
      </c>
      <c r="F13" s="13" t="str">
        <f>IFERROR(__xludf.DUMMYFUNCTION("""COMPUTED_VALUE"""),"Yes")</f>
        <v>Yes</v>
      </c>
      <c r="G13" s="13" t="str">
        <f>IFERROR(__xludf.DUMMYFUNCTION("""COMPUTED_VALUE"""),"Yes")</f>
        <v>Yes</v>
      </c>
      <c r="H13" s="13" t="str">
        <f>IFERROR(__xludf.DUMMYFUNCTION("""COMPUTED_VALUE"""),"Yes")</f>
        <v>Yes</v>
      </c>
      <c r="I13" s="13" t="str">
        <f>IFERROR(__xludf.DUMMYFUNCTION("""COMPUTED_VALUE"""),"No")</f>
        <v>No</v>
      </c>
      <c r="J13" s="13" t="str">
        <f>IFERROR(__xludf.DUMMYFUNCTION("""COMPUTED_VALUE"""),"Yes")</f>
        <v>Yes</v>
      </c>
      <c r="K13" s="13" t="str">
        <f>IFERROR(__xludf.DUMMYFUNCTION("""COMPUTED_VALUE"""),"Yes")</f>
        <v>Yes</v>
      </c>
      <c r="L13" s="13" t="str">
        <f>IFERROR(__xludf.DUMMYFUNCTION("""COMPUTED_VALUE"""),"Yes")</f>
        <v>Yes</v>
      </c>
      <c r="M13" s="13" t="str">
        <f>IFERROR(__xludf.DUMMYFUNCTION("""COMPUTED_VALUE"""),"Yes")</f>
        <v>Yes</v>
      </c>
      <c r="N13" s="13" t="str">
        <f>IFERROR(__xludf.DUMMYFUNCTION("""COMPUTED_VALUE"""),"Yes")</f>
        <v>Yes</v>
      </c>
      <c r="O13" s="13" t="str">
        <f>IFERROR(__xludf.DUMMYFUNCTION("""COMPUTED_VALUE"""),"Unclear")</f>
        <v>Unclear</v>
      </c>
      <c r="P13" s="13" t="str">
        <f>IFERROR(__xludf.DUMMYFUNCTION("""COMPUTED_VALUE"""),"Yes")</f>
        <v>Yes</v>
      </c>
      <c r="Q13" s="13" t="str">
        <f>IFERROR(__xludf.DUMMYFUNCTION("""COMPUTED_VALUE"""),"Yes")</f>
        <v>Yes</v>
      </c>
      <c r="R13" s="13" t="str">
        <f>IFERROR(__xludf.DUMMYFUNCTION("""COMPUTED_VALUE"""),"Unclear")</f>
        <v>Unclear</v>
      </c>
      <c r="S13" s="13" t="str">
        <f>IFERROR(__xludf.DUMMYFUNCTION("""COMPUTED_VALUE"""),"N/A")</f>
        <v>N/A</v>
      </c>
      <c r="T13" s="13" t="str">
        <f>IFERROR(__xludf.DUMMYFUNCTION("""COMPUTED_VALUE"""),"N/A")</f>
        <v>N/A</v>
      </c>
      <c r="U13" s="13" t="str">
        <f>IFERROR(__xludf.DUMMYFUNCTION("""COMPUTED_VALUE"""),"Some concerns")</f>
        <v>Some concerns</v>
      </c>
      <c r="V13" s="13" t="str">
        <f>IFERROR(__xludf.DUMMYFUNCTION("""COMPUTED_VALUE"""),"Some concerns")</f>
        <v>Some concerns</v>
      </c>
      <c r="W13" s="13" t="str">
        <f>IFERROR(__xludf.DUMMYFUNCTION("""COMPUTED_VALUE"""),"Low")</f>
        <v>Low</v>
      </c>
    </row>
    <row r="14" ht="16.5" customHeight="1">
      <c r="A14" s="5" t="str">
        <f>IFERROR(__xludf.DUMMYFUNCTION("""COMPUTED_VALUE"""),"SCOPUS-000195")</f>
        <v>SCOPUS-000195</v>
      </c>
      <c r="B14" s="13" t="str">
        <f>IFERROR(__xludf.DUMMYFUNCTION("""COMPUTED_VALUE"""),"Yes")</f>
        <v>Yes</v>
      </c>
      <c r="C14" s="13" t="str">
        <f>IFERROR(__xludf.DUMMYFUNCTION("""COMPUTED_VALUE"""),"Partial")</f>
        <v>Partial</v>
      </c>
      <c r="D14" s="13" t="str">
        <f>IFERROR(__xludf.DUMMYFUNCTION("""COMPUTED_VALUE"""),"Yes")</f>
        <v>Yes</v>
      </c>
      <c r="E14" s="13" t="str">
        <f>IFERROR(__xludf.DUMMYFUNCTION("""COMPUTED_VALUE"""),"Yes")</f>
        <v>Yes</v>
      </c>
      <c r="F14" s="13" t="str">
        <f>IFERROR(__xludf.DUMMYFUNCTION("""COMPUTED_VALUE"""),"Yes")</f>
        <v>Yes</v>
      </c>
      <c r="G14" s="13" t="str">
        <f>IFERROR(__xludf.DUMMYFUNCTION("""COMPUTED_VALUE"""),"Yes")</f>
        <v>Yes</v>
      </c>
      <c r="H14" s="13" t="str">
        <f>IFERROR(__xludf.DUMMYFUNCTION("""COMPUTED_VALUE"""),"Partial")</f>
        <v>Partial</v>
      </c>
      <c r="I14" s="13" t="str">
        <f>IFERROR(__xludf.DUMMYFUNCTION("""COMPUTED_VALUE"""),"No")</f>
        <v>No</v>
      </c>
      <c r="J14" s="13" t="str">
        <f>IFERROR(__xludf.DUMMYFUNCTION("""COMPUTED_VALUE"""),"Yes")</f>
        <v>Yes</v>
      </c>
      <c r="K14" s="13" t="str">
        <f>IFERROR(__xludf.DUMMYFUNCTION("""COMPUTED_VALUE"""),"Yes")</f>
        <v>Yes</v>
      </c>
      <c r="L14" s="13" t="str">
        <f>IFERROR(__xludf.DUMMYFUNCTION("""COMPUTED_VALUE"""),"Yes")</f>
        <v>Yes</v>
      </c>
      <c r="M14" s="13" t="str">
        <f>IFERROR(__xludf.DUMMYFUNCTION("""COMPUTED_VALUE"""),"Yes")</f>
        <v>Yes</v>
      </c>
      <c r="N14" s="13" t="str">
        <f>IFERROR(__xludf.DUMMYFUNCTION("""COMPUTED_VALUE"""),"Yes")</f>
        <v>Yes</v>
      </c>
      <c r="O14" s="13" t="str">
        <f>IFERROR(__xludf.DUMMYFUNCTION("""COMPUTED_VALUE"""),"Partial")</f>
        <v>Partial</v>
      </c>
      <c r="P14" s="13" t="str">
        <f>IFERROR(__xludf.DUMMYFUNCTION("""COMPUTED_VALUE"""),"Yes")</f>
        <v>Yes</v>
      </c>
      <c r="Q14" s="13" t="str">
        <f>IFERROR(__xludf.DUMMYFUNCTION("""COMPUTED_VALUE"""),"Partial")</f>
        <v>Partial</v>
      </c>
      <c r="R14" s="13" t="str">
        <f>IFERROR(__xludf.DUMMYFUNCTION("""COMPUTED_VALUE"""),"Unclear")</f>
        <v>Unclear</v>
      </c>
      <c r="S14" s="13" t="str">
        <f>IFERROR(__xludf.DUMMYFUNCTION("""COMPUTED_VALUE"""),"N/A")</f>
        <v>N/A</v>
      </c>
      <c r="T14" s="13" t="str">
        <f>IFERROR(__xludf.DUMMYFUNCTION("""COMPUTED_VALUE"""),"N/A")</f>
        <v>N/A</v>
      </c>
      <c r="U14" s="13" t="str">
        <f>IFERROR(__xludf.DUMMYFUNCTION("""COMPUTED_VALUE"""),"Some concerns")</f>
        <v>Some concerns</v>
      </c>
      <c r="V14" s="13" t="str">
        <f>IFERROR(__xludf.DUMMYFUNCTION("""COMPUTED_VALUE"""),"Some concerns")</f>
        <v>Some concerns</v>
      </c>
      <c r="W14" s="13" t="str">
        <f>IFERROR(__xludf.DUMMYFUNCTION("""COMPUTED_VALUE"""),"Low")</f>
        <v>Low</v>
      </c>
    </row>
    <row r="15" ht="16.5" customHeight="1">
      <c r="A15" s="5" t="str">
        <f>IFERROR(__xludf.DUMMYFUNCTION("""COMPUTED_VALUE"""),"SCOPUS-000139")</f>
        <v>SCOPUS-000139</v>
      </c>
      <c r="B15" s="13" t="str">
        <f>IFERROR(__xludf.DUMMYFUNCTION("""COMPUTED_VALUE"""),"Yes")</f>
        <v>Yes</v>
      </c>
      <c r="C15" s="13" t="str">
        <f>IFERROR(__xludf.DUMMYFUNCTION("""COMPUTED_VALUE"""),"Yes")</f>
        <v>Yes</v>
      </c>
      <c r="D15" s="13" t="str">
        <f>IFERROR(__xludf.DUMMYFUNCTION("""COMPUTED_VALUE"""),"Yes")</f>
        <v>Yes</v>
      </c>
      <c r="E15" s="13" t="str">
        <f>IFERROR(__xludf.DUMMYFUNCTION("""COMPUTED_VALUE"""),"Yes")</f>
        <v>Yes</v>
      </c>
      <c r="F15" s="13" t="str">
        <f>IFERROR(__xludf.DUMMYFUNCTION("""COMPUTED_VALUE"""),"Yes")</f>
        <v>Yes</v>
      </c>
      <c r="G15" s="13" t="str">
        <f>IFERROR(__xludf.DUMMYFUNCTION("""COMPUTED_VALUE"""),"Yes")</f>
        <v>Yes</v>
      </c>
      <c r="H15" s="13" t="str">
        <f>IFERROR(__xludf.DUMMYFUNCTION("""COMPUTED_VALUE"""),"Yes")</f>
        <v>Yes</v>
      </c>
      <c r="I15" s="13" t="str">
        <f>IFERROR(__xludf.DUMMYFUNCTION("""COMPUTED_VALUE"""),"Unclear")</f>
        <v>Unclear</v>
      </c>
      <c r="J15" s="13" t="str">
        <f>IFERROR(__xludf.DUMMYFUNCTION("""COMPUTED_VALUE"""),"Yes")</f>
        <v>Yes</v>
      </c>
      <c r="K15" s="13" t="str">
        <f>IFERROR(__xludf.DUMMYFUNCTION("""COMPUTED_VALUE"""),"Yes")</f>
        <v>Yes</v>
      </c>
      <c r="L15" s="13" t="str">
        <f>IFERROR(__xludf.DUMMYFUNCTION("""COMPUTED_VALUE"""),"Yes")</f>
        <v>Yes</v>
      </c>
      <c r="M15" s="13" t="str">
        <f>IFERROR(__xludf.DUMMYFUNCTION("""COMPUTED_VALUE"""),"Partial")</f>
        <v>Partial</v>
      </c>
      <c r="N15" s="13" t="str">
        <f>IFERROR(__xludf.DUMMYFUNCTION("""COMPUTED_VALUE"""),"Yes")</f>
        <v>Yes</v>
      </c>
      <c r="O15" s="13" t="str">
        <f>IFERROR(__xludf.DUMMYFUNCTION("""COMPUTED_VALUE"""),"Unclear")</f>
        <v>Unclear</v>
      </c>
      <c r="P15" s="13" t="str">
        <f>IFERROR(__xludf.DUMMYFUNCTION("""COMPUTED_VALUE"""),"Yes")</f>
        <v>Yes</v>
      </c>
      <c r="Q15" s="13" t="str">
        <f>IFERROR(__xludf.DUMMYFUNCTION("""COMPUTED_VALUE"""),"Yes")</f>
        <v>Yes</v>
      </c>
      <c r="R15" s="13" t="str">
        <f>IFERROR(__xludf.DUMMYFUNCTION("""COMPUTED_VALUE"""),"Unclear")</f>
        <v>Unclear</v>
      </c>
      <c r="S15" s="13" t="str">
        <f>IFERROR(__xludf.DUMMYFUNCTION("""COMPUTED_VALUE"""),"Yes")</f>
        <v>Yes</v>
      </c>
      <c r="T15" s="13" t="str">
        <f>IFERROR(__xludf.DUMMYFUNCTION("""COMPUTED_VALUE"""),"Yes")</f>
        <v>Yes</v>
      </c>
      <c r="U15" s="13" t="str">
        <f>IFERROR(__xludf.DUMMYFUNCTION("""COMPUTED_VALUE"""),"Some concerns")</f>
        <v>Some concerns</v>
      </c>
      <c r="V15" s="13" t="str">
        <f>IFERROR(__xludf.DUMMYFUNCTION("""COMPUTED_VALUE"""),"Some concerns")</f>
        <v>Some concerns</v>
      </c>
      <c r="W15" s="13" t="str">
        <f>IFERROR(__xludf.DUMMYFUNCTION("""COMPUTED_VALUE"""),"Some concerns")</f>
        <v>Some concerns</v>
      </c>
    </row>
    <row r="16" ht="16.5" customHeight="1">
      <c r="A16" s="5" t="str">
        <f>IFERROR(__xludf.DUMMYFUNCTION("""COMPUTED_VALUE"""),"SCOPUS-000045")</f>
        <v>SCOPUS-000045</v>
      </c>
      <c r="B16" s="13" t="str">
        <f>IFERROR(__xludf.DUMMYFUNCTION("""COMPUTED_VALUE"""),"Yes")</f>
        <v>Yes</v>
      </c>
      <c r="C16" s="13" t="str">
        <f>IFERROR(__xludf.DUMMYFUNCTION("""COMPUTED_VALUE"""),"Yes")</f>
        <v>Yes</v>
      </c>
      <c r="D16" s="13" t="str">
        <f>IFERROR(__xludf.DUMMYFUNCTION("""COMPUTED_VALUE"""),"Yes")</f>
        <v>Yes</v>
      </c>
      <c r="E16" s="13" t="str">
        <f>IFERROR(__xludf.DUMMYFUNCTION("""COMPUTED_VALUE"""),"Yes")</f>
        <v>Yes</v>
      </c>
      <c r="F16" s="13" t="str">
        <f>IFERROR(__xludf.DUMMYFUNCTION("""COMPUTED_VALUE"""),"Yes")</f>
        <v>Yes</v>
      </c>
      <c r="G16" s="13" t="str">
        <f>IFERROR(__xludf.DUMMYFUNCTION("""COMPUTED_VALUE"""),"Yes")</f>
        <v>Yes</v>
      </c>
      <c r="H16" s="13" t="str">
        <f>IFERROR(__xludf.DUMMYFUNCTION("""COMPUTED_VALUE"""),"Yes")</f>
        <v>Yes</v>
      </c>
      <c r="I16" s="13" t="str">
        <f>IFERROR(__xludf.DUMMYFUNCTION("""COMPUTED_VALUE"""),"No")</f>
        <v>No</v>
      </c>
      <c r="J16" s="13" t="str">
        <f>IFERROR(__xludf.DUMMYFUNCTION("""COMPUTED_VALUE"""),"Yes")</f>
        <v>Yes</v>
      </c>
      <c r="K16" s="13" t="str">
        <f>IFERROR(__xludf.DUMMYFUNCTION("""COMPUTED_VALUE"""),"Yes")</f>
        <v>Yes</v>
      </c>
      <c r="L16" s="13" t="str">
        <f>IFERROR(__xludf.DUMMYFUNCTION("""COMPUTED_VALUE"""),"Yes")</f>
        <v>Yes</v>
      </c>
      <c r="M16" s="13" t="str">
        <f>IFERROR(__xludf.DUMMYFUNCTION("""COMPUTED_VALUE"""),"Partial")</f>
        <v>Partial</v>
      </c>
      <c r="N16" s="13" t="str">
        <f>IFERROR(__xludf.DUMMYFUNCTION("""COMPUTED_VALUE"""),"Partial")</f>
        <v>Partial</v>
      </c>
      <c r="O16" s="13" t="str">
        <f>IFERROR(__xludf.DUMMYFUNCTION("""COMPUTED_VALUE"""),"Unclear")</f>
        <v>Unclear</v>
      </c>
      <c r="P16" s="13" t="str">
        <f>IFERROR(__xludf.DUMMYFUNCTION("""COMPUTED_VALUE"""),"Yes")</f>
        <v>Yes</v>
      </c>
      <c r="Q16" s="13" t="str">
        <f>IFERROR(__xludf.DUMMYFUNCTION("""COMPUTED_VALUE"""),"Partial")</f>
        <v>Partial</v>
      </c>
      <c r="R16" s="13" t="str">
        <f>IFERROR(__xludf.DUMMYFUNCTION("""COMPUTED_VALUE"""),"Unclear")</f>
        <v>Unclear</v>
      </c>
      <c r="S16" s="13" t="str">
        <f>IFERROR(__xludf.DUMMYFUNCTION("""COMPUTED_VALUE"""),"Yes")</f>
        <v>Yes</v>
      </c>
      <c r="T16" s="13" t="str">
        <f>IFERROR(__xludf.DUMMYFUNCTION("""COMPUTED_VALUE"""),"Yes")</f>
        <v>Yes</v>
      </c>
      <c r="U16" s="13" t="str">
        <f>IFERROR(__xludf.DUMMYFUNCTION("""COMPUTED_VALUE"""),"Some concerns")</f>
        <v>Some concerns</v>
      </c>
      <c r="V16" s="13" t="str">
        <f>IFERROR(__xludf.DUMMYFUNCTION("""COMPUTED_VALUE"""),"Some concerns")</f>
        <v>Some concerns</v>
      </c>
      <c r="W16" s="13" t="str">
        <f>IFERROR(__xludf.DUMMYFUNCTION("""COMPUTED_VALUE"""),"Some concerns")</f>
        <v>Some concerns</v>
      </c>
    </row>
    <row r="17" ht="16.5" customHeight="1">
      <c r="A17" s="5" t="str">
        <f>IFERROR(__xludf.DUMMYFUNCTION("""COMPUTED_VALUE"""),"SCOPUS-000031")</f>
        <v>SCOPUS-000031</v>
      </c>
      <c r="B17" s="13" t="str">
        <f>IFERROR(__xludf.DUMMYFUNCTION("""COMPUTED_VALUE"""),"Yes")</f>
        <v>Yes</v>
      </c>
      <c r="C17" s="13" t="str">
        <f>IFERROR(__xludf.DUMMYFUNCTION("""COMPUTED_VALUE"""),"Partial")</f>
        <v>Partial</v>
      </c>
      <c r="D17" s="13" t="str">
        <f>IFERROR(__xludf.DUMMYFUNCTION("""COMPUTED_VALUE"""),"Yes")</f>
        <v>Yes</v>
      </c>
      <c r="E17" s="13" t="str">
        <f>IFERROR(__xludf.DUMMYFUNCTION("""COMPUTED_VALUE"""),"Yes")</f>
        <v>Yes</v>
      </c>
      <c r="F17" s="13" t="str">
        <f>IFERROR(__xludf.DUMMYFUNCTION("""COMPUTED_VALUE"""),"Yes")</f>
        <v>Yes</v>
      </c>
      <c r="G17" s="13" t="str">
        <f>IFERROR(__xludf.DUMMYFUNCTION("""COMPUTED_VALUE"""),"Yes")</f>
        <v>Yes</v>
      </c>
      <c r="H17" s="13" t="str">
        <f>IFERROR(__xludf.DUMMYFUNCTION("""COMPUTED_VALUE"""),"Partial")</f>
        <v>Partial</v>
      </c>
      <c r="I17" s="13" t="str">
        <f>IFERROR(__xludf.DUMMYFUNCTION("""COMPUTED_VALUE"""),"No")</f>
        <v>No</v>
      </c>
      <c r="J17" s="13" t="str">
        <f>IFERROR(__xludf.DUMMYFUNCTION("""COMPUTED_VALUE"""),"Yes")</f>
        <v>Yes</v>
      </c>
      <c r="K17" s="13" t="str">
        <f>IFERROR(__xludf.DUMMYFUNCTION("""COMPUTED_VALUE"""),"Yes")</f>
        <v>Yes</v>
      </c>
      <c r="L17" s="13" t="str">
        <f>IFERROR(__xludf.DUMMYFUNCTION("""COMPUTED_VALUE"""),"Yes")</f>
        <v>Yes</v>
      </c>
      <c r="M17" s="13" t="str">
        <f>IFERROR(__xludf.DUMMYFUNCTION("""COMPUTED_VALUE"""),"Yes")</f>
        <v>Yes</v>
      </c>
      <c r="N17" s="13" t="str">
        <f>IFERROR(__xludf.DUMMYFUNCTION("""COMPUTED_VALUE"""),"Yes")</f>
        <v>Yes</v>
      </c>
      <c r="O17" s="13" t="str">
        <f>IFERROR(__xludf.DUMMYFUNCTION("""COMPUTED_VALUE"""),"Unclear")</f>
        <v>Unclear</v>
      </c>
      <c r="P17" s="13" t="str">
        <f>IFERROR(__xludf.DUMMYFUNCTION("""COMPUTED_VALUE"""),"Yes")</f>
        <v>Yes</v>
      </c>
      <c r="Q17" s="13" t="str">
        <f>IFERROR(__xludf.DUMMYFUNCTION("""COMPUTED_VALUE"""),"Partial")</f>
        <v>Partial</v>
      </c>
      <c r="R17" s="13" t="str">
        <f>IFERROR(__xludf.DUMMYFUNCTION("""COMPUTED_VALUE"""),"Unclear")</f>
        <v>Unclear</v>
      </c>
      <c r="S17" s="13" t="str">
        <f>IFERROR(__xludf.DUMMYFUNCTION("""COMPUTED_VALUE"""),"N/A")</f>
        <v>N/A</v>
      </c>
      <c r="T17" s="13" t="str">
        <f>IFERROR(__xludf.DUMMYFUNCTION("""COMPUTED_VALUE"""),"N/A")</f>
        <v>N/A</v>
      </c>
      <c r="U17" s="13" t="str">
        <f>IFERROR(__xludf.DUMMYFUNCTION("""COMPUTED_VALUE"""),"Some concerns")</f>
        <v>Some concerns</v>
      </c>
      <c r="V17" s="13" t="str">
        <f>IFERROR(__xludf.DUMMYFUNCTION("""COMPUTED_VALUE"""),"Some concerns")</f>
        <v>Some concerns</v>
      </c>
      <c r="W17" s="13" t="str">
        <f>IFERROR(__xludf.DUMMYFUNCTION("""COMPUTED_VALUE"""),"Low")</f>
        <v>Low</v>
      </c>
    </row>
    <row r="18" ht="16.5" customHeight="1">
      <c r="A18" s="5" t="str">
        <f>IFERROR(__xludf.DUMMYFUNCTION("""COMPUTED_VALUE"""),"SCOPUS-000014")</f>
        <v>SCOPUS-000014</v>
      </c>
      <c r="B18" s="13" t="str">
        <f>IFERROR(__xludf.DUMMYFUNCTION("""COMPUTED_VALUE"""),"Yes")</f>
        <v>Yes</v>
      </c>
      <c r="C18" s="13" t="str">
        <f>IFERROR(__xludf.DUMMYFUNCTION("""COMPUTED_VALUE"""),"Yes")</f>
        <v>Yes</v>
      </c>
      <c r="D18" s="13" t="str">
        <f>IFERROR(__xludf.DUMMYFUNCTION("""COMPUTED_VALUE"""),"Yes")</f>
        <v>Yes</v>
      </c>
      <c r="E18" s="13" t="str">
        <f>IFERROR(__xludf.DUMMYFUNCTION("""COMPUTED_VALUE"""),"Yes")</f>
        <v>Yes</v>
      </c>
      <c r="F18" s="13" t="str">
        <f>IFERROR(__xludf.DUMMYFUNCTION("""COMPUTED_VALUE"""),"Yes")</f>
        <v>Yes</v>
      </c>
      <c r="G18" s="13" t="str">
        <f>IFERROR(__xludf.DUMMYFUNCTION("""COMPUTED_VALUE"""),"Yes")</f>
        <v>Yes</v>
      </c>
      <c r="H18" s="13" t="str">
        <f>IFERROR(__xludf.DUMMYFUNCTION("""COMPUTED_VALUE"""),"Yes")</f>
        <v>Yes</v>
      </c>
      <c r="I18" s="13" t="str">
        <f>IFERROR(__xludf.DUMMYFUNCTION("""COMPUTED_VALUE"""),"No")</f>
        <v>No</v>
      </c>
      <c r="J18" s="13" t="str">
        <f>IFERROR(__xludf.DUMMYFUNCTION("""COMPUTED_VALUE"""),"Yes")</f>
        <v>Yes</v>
      </c>
      <c r="K18" s="13" t="str">
        <f>IFERROR(__xludf.DUMMYFUNCTION("""COMPUTED_VALUE"""),"Yes")</f>
        <v>Yes</v>
      </c>
      <c r="L18" s="13" t="str">
        <f>IFERROR(__xludf.DUMMYFUNCTION("""COMPUTED_VALUE"""),"Yes")</f>
        <v>Yes</v>
      </c>
      <c r="M18" s="13" t="str">
        <f>IFERROR(__xludf.DUMMYFUNCTION("""COMPUTED_VALUE"""),"Yes")</f>
        <v>Yes</v>
      </c>
      <c r="N18" s="13" t="str">
        <f>IFERROR(__xludf.DUMMYFUNCTION("""COMPUTED_VALUE"""),"Yes")</f>
        <v>Yes</v>
      </c>
      <c r="O18" s="13" t="str">
        <f>IFERROR(__xludf.DUMMYFUNCTION("""COMPUTED_VALUE"""),"Unclear")</f>
        <v>Unclear</v>
      </c>
      <c r="P18" s="13" t="str">
        <f>IFERROR(__xludf.DUMMYFUNCTION("""COMPUTED_VALUE"""),"Yes")</f>
        <v>Yes</v>
      </c>
      <c r="Q18" s="13" t="str">
        <f>IFERROR(__xludf.DUMMYFUNCTION("""COMPUTED_VALUE"""),"Partial")</f>
        <v>Partial</v>
      </c>
      <c r="R18" s="13" t="str">
        <f>IFERROR(__xludf.DUMMYFUNCTION("""COMPUTED_VALUE"""),"Unclear")</f>
        <v>Unclear</v>
      </c>
      <c r="S18" s="13" t="str">
        <f>IFERROR(__xludf.DUMMYFUNCTION("""COMPUTED_VALUE"""),"N/A")</f>
        <v>N/A</v>
      </c>
      <c r="T18" s="13" t="str">
        <f>IFERROR(__xludf.DUMMYFUNCTION("""COMPUTED_VALUE"""),"N/A")</f>
        <v>N/A</v>
      </c>
      <c r="U18" s="13" t="str">
        <f>IFERROR(__xludf.DUMMYFUNCTION("""COMPUTED_VALUE"""),"Some concerns")</f>
        <v>Some concerns</v>
      </c>
      <c r="V18" s="13" t="str">
        <f>IFERROR(__xludf.DUMMYFUNCTION("""COMPUTED_VALUE"""),"Some concerns")</f>
        <v>Some concerns</v>
      </c>
      <c r="W18" s="13" t="str">
        <f>IFERROR(__xludf.DUMMYFUNCTION("""COMPUTED_VALUE"""),"Low")</f>
        <v>Low</v>
      </c>
    </row>
    <row r="19" ht="16.5" customHeight="1">
      <c r="A19" s="5" t="str">
        <f>IFERROR(__xludf.DUMMYFUNCTION("""COMPUTED_VALUE"""),"SCOPUS-000544")</f>
        <v>SCOPUS-000544</v>
      </c>
      <c r="B19" s="13" t="str">
        <f>IFERROR(__xludf.DUMMYFUNCTION("""COMPUTED_VALUE"""),"Yes")</f>
        <v>Yes</v>
      </c>
      <c r="C19" s="13" t="str">
        <f>IFERROR(__xludf.DUMMYFUNCTION("""COMPUTED_VALUE"""),"Partial")</f>
        <v>Partial</v>
      </c>
      <c r="D19" s="13" t="str">
        <f>IFERROR(__xludf.DUMMYFUNCTION("""COMPUTED_VALUE"""),"Yes")</f>
        <v>Yes</v>
      </c>
      <c r="E19" s="13" t="str">
        <f>IFERROR(__xludf.DUMMYFUNCTION("""COMPUTED_VALUE"""),"Yes")</f>
        <v>Yes</v>
      </c>
      <c r="F19" s="13" t="str">
        <f>IFERROR(__xludf.DUMMYFUNCTION("""COMPUTED_VALUE"""),"Yes")</f>
        <v>Yes</v>
      </c>
      <c r="G19" s="13" t="str">
        <f>IFERROR(__xludf.DUMMYFUNCTION("""COMPUTED_VALUE"""),"Yes")</f>
        <v>Yes</v>
      </c>
      <c r="H19" s="13" t="str">
        <f>IFERROR(__xludf.DUMMYFUNCTION("""COMPUTED_VALUE"""),"Partial")</f>
        <v>Partial</v>
      </c>
      <c r="I19" s="13" t="str">
        <f>IFERROR(__xludf.DUMMYFUNCTION("""COMPUTED_VALUE"""),"No")</f>
        <v>No</v>
      </c>
      <c r="J19" s="13" t="str">
        <f>IFERROR(__xludf.DUMMYFUNCTION("""COMPUTED_VALUE"""),"Yes")</f>
        <v>Yes</v>
      </c>
      <c r="K19" s="13" t="str">
        <f>IFERROR(__xludf.DUMMYFUNCTION("""COMPUTED_VALUE"""),"Yes")</f>
        <v>Yes</v>
      </c>
      <c r="L19" s="13" t="str">
        <f>IFERROR(__xludf.DUMMYFUNCTION("""COMPUTED_VALUE"""),"Yes")</f>
        <v>Yes</v>
      </c>
      <c r="M19" s="13" t="str">
        <f>IFERROR(__xludf.DUMMYFUNCTION("""COMPUTED_VALUE"""),"Yes")</f>
        <v>Yes</v>
      </c>
      <c r="N19" s="13" t="str">
        <f>IFERROR(__xludf.DUMMYFUNCTION("""COMPUTED_VALUE"""),"Yes")</f>
        <v>Yes</v>
      </c>
      <c r="O19" s="13" t="str">
        <f>IFERROR(__xludf.DUMMYFUNCTION("""COMPUTED_VALUE"""),"Unclear")</f>
        <v>Unclear</v>
      </c>
      <c r="P19" s="13" t="str">
        <f>IFERROR(__xludf.DUMMYFUNCTION("""COMPUTED_VALUE"""),"Yes")</f>
        <v>Yes</v>
      </c>
      <c r="Q19" s="13" t="str">
        <f>IFERROR(__xludf.DUMMYFUNCTION("""COMPUTED_VALUE"""),"Partial")</f>
        <v>Partial</v>
      </c>
      <c r="R19" s="13" t="str">
        <f>IFERROR(__xludf.DUMMYFUNCTION("""COMPUTED_VALUE"""),"Unclear")</f>
        <v>Unclear</v>
      </c>
      <c r="S19" s="13" t="str">
        <f>IFERROR(__xludf.DUMMYFUNCTION("""COMPUTED_VALUE"""),"N/A")</f>
        <v>N/A</v>
      </c>
      <c r="T19" s="13" t="str">
        <f>IFERROR(__xludf.DUMMYFUNCTION("""COMPUTED_VALUE"""),"N/A")</f>
        <v>N/A</v>
      </c>
      <c r="U19" s="13" t="str">
        <f>IFERROR(__xludf.DUMMYFUNCTION("""COMPUTED_VALUE"""),"Some concerns")</f>
        <v>Some concerns</v>
      </c>
      <c r="V19" s="13" t="str">
        <f>IFERROR(__xludf.DUMMYFUNCTION("""COMPUTED_VALUE"""),"Some concerns")</f>
        <v>Some concerns</v>
      </c>
      <c r="W19" s="13" t="str">
        <f>IFERROR(__xludf.DUMMYFUNCTION("""COMPUTED_VALUE"""),"Low")</f>
        <v>Low</v>
      </c>
    </row>
    <row r="20" ht="16.5" customHeight="1">
      <c r="A20" s="5" t="str">
        <f>IFERROR(__xludf.DUMMYFUNCTION("""COMPUTED_VALUE"""),"SCOPUS-000151")</f>
        <v>SCOPUS-000151</v>
      </c>
      <c r="B20" s="13" t="str">
        <f>IFERROR(__xludf.DUMMYFUNCTION("""COMPUTED_VALUE"""),"Yes")</f>
        <v>Yes</v>
      </c>
      <c r="C20" s="13" t="str">
        <f>IFERROR(__xludf.DUMMYFUNCTION("""COMPUTED_VALUE"""),"Partial")</f>
        <v>Partial</v>
      </c>
      <c r="D20" s="13" t="str">
        <f>IFERROR(__xludf.DUMMYFUNCTION("""COMPUTED_VALUE"""),"Yes")</f>
        <v>Yes</v>
      </c>
      <c r="E20" s="13" t="str">
        <f>IFERROR(__xludf.DUMMYFUNCTION("""COMPUTED_VALUE"""),"Yes")</f>
        <v>Yes</v>
      </c>
      <c r="F20" s="13" t="str">
        <f>IFERROR(__xludf.DUMMYFUNCTION("""COMPUTED_VALUE"""),"Yes")</f>
        <v>Yes</v>
      </c>
      <c r="G20" s="13" t="str">
        <f>IFERROR(__xludf.DUMMYFUNCTION("""COMPUTED_VALUE"""),"Yes")</f>
        <v>Yes</v>
      </c>
      <c r="H20" s="13" t="str">
        <f>IFERROR(__xludf.DUMMYFUNCTION("""COMPUTED_VALUE"""),"Partial")</f>
        <v>Partial</v>
      </c>
      <c r="I20" s="13" t="str">
        <f>IFERROR(__xludf.DUMMYFUNCTION("""COMPUTED_VALUE"""),"No")</f>
        <v>No</v>
      </c>
      <c r="J20" s="13" t="str">
        <f>IFERROR(__xludf.DUMMYFUNCTION("""COMPUTED_VALUE"""),"Yes")</f>
        <v>Yes</v>
      </c>
      <c r="K20" s="13" t="str">
        <f>IFERROR(__xludf.DUMMYFUNCTION("""COMPUTED_VALUE"""),"Yes")</f>
        <v>Yes</v>
      </c>
      <c r="L20" s="13" t="str">
        <f>IFERROR(__xludf.DUMMYFUNCTION("""COMPUTED_VALUE"""),"Yes")</f>
        <v>Yes</v>
      </c>
      <c r="M20" s="13" t="str">
        <f>IFERROR(__xludf.DUMMYFUNCTION("""COMPUTED_VALUE"""),"Partial")</f>
        <v>Partial</v>
      </c>
      <c r="N20" s="13" t="str">
        <f>IFERROR(__xludf.DUMMYFUNCTION("""COMPUTED_VALUE"""),"Yes")</f>
        <v>Yes</v>
      </c>
      <c r="O20" s="13" t="str">
        <f>IFERROR(__xludf.DUMMYFUNCTION("""COMPUTED_VALUE"""),"Unclear")</f>
        <v>Unclear</v>
      </c>
      <c r="P20" s="13" t="str">
        <f>IFERROR(__xludf.DUMMYFUNCTION("""COMPUTED_VALUE"""),"Yes")</f>
        <v>Yes</v>
      </c>
      <c r="Q20" s="13" t="str">
        <f>IFERROR(__xludf.DUMMYFUNCTION("""COMPUTED_VALUE"""),"Yes")</f>
        <v>Yes</v>
      </c>
      <c r="R20" s="13" t="str">
        <f>IFERROR(__xludf.DUMMYFUNCTION("""COMPUTED_VALUE"""),"Unclear")</f>
        <v>Unclear</v>
      </c>
      <c r="S20" s="13" t="str">
        <f>IFERROR(__xludf.DUMMYFUNCTION("""COMPUTED_VALUE"""),"N/A")</f>
        <v>N/A</v>
      </c>
      <c r="T20" s="13" t="str">
        <f>IFERROR(__xludf.DUMMYFUNCTION("""COMPUTED_VALUE"""),"N/A")</f>
        <v>N/A</v>
      </c>
      <c r="U20" s="13" t="str">
        <f>IFERROR(__xludf.DUMMYFUNCTION("""COMPUTED_VALUE"""),"Some concerns")</f>
        <v>Some concerns</v>
      </c>
      <c r="V20" s="13" t="str">
        <f>IFERROR(__xludf.DUMMYFUNCTION("""COMPUTED_VALUE"""),"Some concerns")</f>
        <v>Some concerns</v>
      </c>
      <c r="W20" s="13" t="str">
        <f>IFERROR(__xludf.DUMMYFUNCTION("""COMPUTED_VALUE"""),"Some concerns")</f>
        <v>Some concerns</v>
      </c>
    </row>
    <row r="21" ht="16.5" customHeight="1">
      <c r="A21" s="5" t="str">
        <f>IFERROR(__xludf.DUMMYFUNCTION("""COMPUTED_VALUE"""),"SCOPUS-000592")</f>
        <v>SCOPUS-000592</v>
      </c>
      <c r="B21" s="13" t="str">
        <f>IFERROR(__xludf.DUMMYFUNCTION("""COMPUTED_VALUE"""),"Yes")</f>
        <v>Yes</v>
      </c>
      <c r="C21" s="13" t="str">
        <f>IFERROR(__xludf.DUMMYFUNCTION("""COMPUTED_VALUE"""),"Yes")</f>
        <v>Yes</v>
      </c>
      <c r="D21" s="13" t="str">
        <f>IFERROR(__xludf.DUMMYFUNCTION("""COMPUTED_VALUE"""),"Yes")</f>
        <v>Yes</v>
      </c>
      <c r="E21" s="13" t="str">
        <f>IFERROR(__xludf.DUMMYFUNCTION("""COMPUTED_VALUE"""),"Yes")</f>
        <v>Yes</v>
      </c>
      <c r="F21" s="13" t="str">
        <f>IFERROR(__xludf.DUMMYFUNCTION("""COMPUTED_VALUE"""),"Yes")</f>
        <v>Yes</v>
      </c>
      <c r="G21" s="13" t="str">
        <f>IFERROR(__xludf.DUMMYFUNCTION("""COMPUTED_VALUE"""),"Yes")</f>
        <v>Yes</v>
      </c>
      <c r="H21" s="13" t="str">
        <f>IFERROR(__xludf.DUMMYFUNCTION("""COMPUTED_VALUE"""),"Partial")</f>
        <v>Partial</v>
      </c>
      <c r="I21" s="13" t="str">
        <f>IFERROR(__xludf.DUMMYFUNCTION("""COMPUTED_VALUE"""),"No")</f>
        <v>No</v>
      </c>
      <c r="J21" s="13" t="str">
        <f>IFERROR(__xludf.DUMMYFUNCTION("""COMPUTED_VALUE"""),"Yes")</f>
        <v>Yes</v>
      </c>
      <c r="K21" s="13" t="str">
        <f>IFERROR(__xludf.DUMMYFUNCTION("""COMPUTED_VALUE"""),"Yes")</f>
        <v>Yes</v>
      </c>
      <c r="L21" s="13" t="str">
        <f>IFERROR(__xludf.DUMMYFUNCTION("""COMPUTED_VALUE"""),"Yes")</f>
        <v>Yes</v>
      </c>
      <c r="M21" s="13" t="str">
        <f>IFERROR(__xludf.DUMMYFUNCTION("""COMPUTED_VALUE"""),"Yes")</f>
        <v>Yes</v>
      </c>
      <c r="N21" s="13" t="str">
        <f>IFERROR(__xludf.DUMMYFUNCTION("""COMPUTED_VALUE"""),"Yes")</f>
        <v>Yes</v>
      </c>
      <c r="O21" s="13" t="str">
        <f>IFERROR(__xludf.DUMMYFUNCTION("""COMPUTED_VALUE"""),"No")</f>
        <v>No</v>
      </c>
      <c r="P21" s="13" t="str">
        <f>IFERROR(__xludf.DUMMYFUNCTION("""COMPUTED_VALUE"""),"Yes")</f>
        <v>Yes</v>
      </c>
      <c r="Q21" s="13" t="str">
        <f>IFERROR(__xludf.DUMMYFUNCTION("""COMPUTED_VALUE"""),"Partial")</f>
        <v>Partial</v>
      </c>
      <c r="R21" s="13" t="str">
        <f>IFERROR(__xludf.DUMMYFUNCTION("""COMPUTED_VALUE"""),"No")</f>
        <v>No</v>
      </c>
      <c r="S21" s="13" t="str">
        <f>IFERROR(__xludf.DUMMYFUNCTION("""COMPUTED_VALUE"""),"N/A")</f>
        <v>N/A</v>
      </c>
      <c r="T21" s="13" t="str">
        <f>IFERROR(__xludf.DUMMYFUNCTION("""COMPUTED_VALUE"""),"N/A")</f>
        <v>N/A</v>
      </c>
      <c r="U21" s="13" t="str">
        <f>IFERROR(__xludf.DUMMYFUNCTION("""COMPUTED_VALUE"""),"High")</f>
        <v>High</v>
      </c>
      <c r="V21" s="13" t="str">
        <f>IFERROR(__xludf.DUMMYFUNCTION("""COMPUTED_VALUE"""),"High")</f>
        <v>High</v>
      </c>
      <c r="W21" s="13" t="str">
        <f>IFERROR(__xludf.DUMMYFUNCTION("""COMPUTED_VALUE"""),"Some concerns")</f>
        <v>Some concerns</v>
      </c>
    </row>
    <row r="22" ht="16.5" customHeight="1">
      <c r="A22" s="5" t="str">
        <f>IFERROR(__xludf.DUMMYFUNCTION("""COMPUTED_VALUE"""),"SCOPUS-000629")</f>
        <v>SCOPUS-000629</v>
      </c>
      <c r="B22" s="13" t="str">
        <f>IFERROR(__xludf.DUMMYFUNCTION("""COMPUTED_VALUE"""),"Yes")</f>
        <v>Yes</v>
      </c>
      <c r="C22" s="13" t="str">
        <f>IFERROR(__xludf.DUMMYFUNCTION("""COMPUTED_VALUE"""),"Yes")</f>
        <v>Yes</v>
      </c>
      <c r="D22" s="13" t="str">
        <f>IFERROR(__xludf.DUMMYFUNCTION("""COMPUTED_VALUE"""),"Yes")</f>
        <v>Yes</v>
      </c>
      <c r="E22" s="13" t="str">
        <f>IFERROR(__xludf.DUMMYFUNCTION("""COMPUTED_VALUE"""),"Yes")</f>
        <v>Yes</v>
      </c>
      <c r="F22" s="13" t="str">
        <f>IFERROR(__xludf.DUMMYFUNCTION("""COMPUTED_VALUE"""),"Yes")</f>
        <v>Yes</v>
      </c>
      <c r="G22" s="13" t="str">
        <f>IFERROR(__xludf.DUMMYFUNCTION("""COMPUTED_VALUE"""),"Yes")</f>
        <v>Yes</v>
      </c>
      <c r="H22" s="13" t="str">
        <f>IFERROR(__xludf.DUMMYFUNCTION("""COMPUTED_VALUE"""),"Yes")</f>
        <v>Yes</v>
      </c>
      <c r="I22" s="13" t="str">
        <f>IFERROR(__xludf.DUMMYFUNCTION("""COMPUTED_VALUE"""),"No")</f>
        <v>No</v>
      </c>
      <c r="J22" s="13" t="str">
        <f>IFERROR(__xludf.DUMMYFUNCTION("""COMPUTED_VALUE"""),"Yes")</f>
        <v>Yes</v>
      </c>
      <c r="K22" s="13" t="str">
        <f>IFERROR(__xludf.DUMMYFUNCTION("""COMPUTED_VALUE"""),"Yes")</f>
        <v>Yes</v>
      </c>
      <c r="L22" s="13" t="str">
        <f>IFERROR(__xludf.DUMMYFUNCTION("""COMPUTED_VALUE"""),"Yes")</f>
        <v>Yes</v>
      </c>
      <c r="M22" s="13" t="str">
        <f>IFERROR(__xludf.DUMMYFUNCTION("""COMPUTED_VALUE"""),"Yes")</f>
        <v>Yes</v>
      </c>
      <c r="N22" s="13" t="str">
        <f>IFERROR(__xludf.DUMMYFUNCTION("""COMPUTED_VALUE"""),"Yes")</f>
        <v>Yes</v>
      </c>
      <c r="O22" s="13" t="str">
        <f>IFERROR(__xludf.DUMMYFUNCTION("""COMPUTED_VALUE"""),"Unclear")</f>
        <v>Unclear</v>
      </c>
      <c r="P22" s="13" t="str">
        <f>IFERROR(__xludf.DUMMYFUNCTION("""COMPUTED_VALUE"""),"Yes")</f>
        <v>Yes</v>
      </c>
      <c r="Q22" s="13" t="str">
        <f>IFERROR(__xludf.DUMMYFUNCTION("""COMPUTED_VALUE"""),"Yes")</f>
        <v>Yes</v>
      </c>
      <c r="R22" s="13" t="str">
        <f>IFERROR(__xludf.DUMMYFUNCTION("""COMPUTED_VALUE"""),"Unclear")</f>
        <v>Unclear</v>
      </c>
      <c r="S22" s="13" t="str">
        <f>IFERROR(__xludf.DUMMYFUNCTION("""COMPUTED_VALUE"""),"Yes")</f>
        <v>Yes</v>
      </c>
      <c r="T22" s="13" t="str">
        <f>IFERROR(__xludf.DUMMYFUNCTION("""COMPUTED_VALUE"""),"Yes")</f>
        <v>Yes</v>
      </c>
      <c r="U22" s="13" t="str">
        <f>IFERROR(__xludf.DUMMYFUNCTION("""COMPUTED_VALUE"""),"Some concerns")</f>
        <v>Some concerns</v>
      </c>
      <c r="V22" s="13" t="str">
        <f>IFERROR(__xludf.DUMMYFUNCTION("""COMPUTED_VALUE"""),"Some concerns")</f>
        <v>Some concerns</v>
      </c>
      <c r="W22" s="13" t="str">
        <f>IFERROR(__xludf.DUMMYFUNCTION("""COMPUTED_VALUE"""),"Low")</f>
        <v>Low</v>
      </c>
    </row>
    <row r="23" ht="16.5" customHeight="1">
      <c r="A23" s="5" t="str">
        <f>IFERROR(__xludf.DUMMYFUNCTION("""COMPUTED_VALUE"""),"SCOPUS-000475")</f>
        <v>SCOPUS-000475</v>
      </c>
      <c r="B23" s="13" t="str">
        <f>IFERROR(__xludf.DUMMYFUNCTION("""COMPUTED_VALUE"""),"Yes")</f>
        <v>Yes</v>
      </c>
      <c r="C23" s="13" t="str">
        <f>IFERROR(__xludf.DUMMYFUNCTION("""COMPUTED_VALUE"""),"Yes")</f>
        <v>Yes</v>
      </c>
      <c r="D23" s="13" t="str">
        <f>IFERROR(__xludf.DUMMYFUNCTION("""COMPUTED_VALUE"""),"Yes")</f>
        <v>Yes</v>
      </c>
      <c r="E23" s="13" t="str">
        <f>IFERROR(__xludf.DUMMYFUNCTION("""COMPUTED_VALUE"""),"Yes")</f>
        <v>Yes</v>
      </c>
      <c r="F23" s="13" t="str">
        <f>IFERROR(__xludf.DUMMYFUNCTION("""COMPUTED_VALUE"""),"Yes")</f>
        <v>Yes</v>
      </c>
      <c r="G23" s="13" t="str">
        <f>IFERROR(__xludf.DUMMYFUNCTION("""COMPUTED_VALUE"""),"Yes")</f>
        <v>Yes</v>
      </c>
      <c r="H23" s="13" t="str">
        <f>IFERROR(__xludf.DUMMYFUNCTION("""COMPUTED_VALUE"""),"Yes")</f>
        <v>Yes</v>
      </c>
      <c r="I23" s="13" t="str">
        <f>IFERROR(__xludf.DUMMYFUNCTION("""COMPUTED_VALUE"""),"No")</f>
        <v>No</v>
      </c>
      <c r="J23" s="13" t="str">
        <f>IFERROR(__xludf.DUMMYFUNCTION("""COMPUTED_VALUE"""),"Yes")</f>
        <v>Yes</v>
      </c>
      <c r="K23" s="13" t="str">
        <f>IFERROR(__xludf.DUMMYFUNCTION("""COMPUTED_VALUE"""),"Yes")</f>
        <v>Yes</v>
      </c>
      <c r="L23" s="13" t="str">
        <f>IFERROR(__xludf.DUMMYFUNCTION("""COMPUTED_VALUE"""),"Yes")</f>
        <v>Yes</v>
      </c>
      <c r="M23" s="13" t="str">
        <f>IFERROR(__xludf.DUMMYFUNCTION("""COMPUTED_VALUE"""),"Yes")</f>
        <v>Yes</v>
      </c>
      <c r="N23" s="13" t="str">
        <f>IFERROR(__xludf.DUMMYFUNCTION("""COMPUTED_VALUE"""),"Yes")</f>
        <v>Yes</v>
      </c>
      <c r="O23" s="13" t="str">
        <f>IFERROR(__xludf.DUMMYFUNCTION("""COMPUTED_VALUE"""),"Unclear")</f>
        <v>Unclear</v>
      </c>
      <c r="P23" s="13" t="str">
        <f>IFERROR(__xludf.DUMMYFUNCTION("""COMPUTED_VALUE"""),"Yes")</f>
        <v>Yes</v>
      </c>
      <c r="Q23" s="13" t="str">
        <f>IFERROR(__xludf.DUMMYFUNCTION("""COMPUTED_VALUE"""),"Yes")</f>
        <v>Yes</v>
      </c>
      <c r="R23" s="13" t="str">
        <f>IFERROR(__xludf.DUMMYFUNCTION("""COMPUTED_VALUE"""),"Unclear")</f>
        <v>Unclear</v>
      </c>
      <c r="S23" s="13" t="str">
        <f>IFERROR(__xludf.DUMMYFUNCTION("""COMPUTED_VALUE"""),"N/A")</f>
        <v>N/A</v>
      </c>
      <c r="T23" s="13" t="str">
        <f>IFERROR(__xludf.DUMMYFUNCTION("""COMPUTED_VALUE"""),"N/A")</f>
        <v>N/A</v>
      </c>
      <c r="U23" s="13" t="str">
        <f>IFERROR(__xludf.DUMMYFUNCTION("""COMPUTED_VALUE"""),"Some concerns")</f>
        <v>Some concerns</v>
      </c>
      <c r="V23" s="13" t="str">
        <f>IFERROR(__xludf.DUMMYFUNCTION("""COMPUTED_VALUE"""),"Some concerns")</f>
        <v>Some concerns</v>
      </c>
      <c r="W23" s="13" t="str">
        <f>IFERROR(__xludf.DUMMYFUNCTION("""COMPUTED_VALUE"""),"Low")</f>
        <v>Low</v>
      </c>
    </row>
    <row r="24" ht="16.5" customHeight="1">
      <c r="A24" s="5" t="str">
        <f>IFERROR(__xludf.DUMMYFUNCTION("""COMPUTED_VALUE"""),"SCOPUS-000399")</f>
        <v>SCOPUS-000399</v>
      </c>
      <c r="B24" s="13" t="str">
        <f>IFERROR(__xludf.DUMMYFUNCTION("""COMPUTED_VALUE"""),"Yes")</f>
        <v>Yes</v>
      </c>
      <c r="C24" s="13" t="str">
        <f>IFERROR(__xludf.DUMMYFUNCTION("""COMPUTED_VALUE"""),"Yes")</f>
        <v>Yes</v>
      </c>
      <c r="D24" s="13" t="str">
        <f>IFERROR(__xludf.DUMMYFUNCTION("""COMPUTED_VALUE"""),"Yes")</f>
        <v>Yes</v>
      </c>
      <c r="E24" s="13" t="str">
        <f>IFERROR(__xludf.DUMMYFUNCTION("""COMPUTED_VALUE"""),"Yes")</f>
        <v>Yes</v>
      </c>
      <c r="F24" s="13" t="str">
        <f>IFERROR(__xludf.DUMMYFUNCTION("""COMPUTED_VALUE"""),"Partial")</f>
        <v>Partial</v>
      </c>
      <c r="G24" s="13" t="str">
        <f>IFERROR(__xludf.DUMMYFUNCTION("""COMPUTED_VALUE"""),"Partial")</f>
        <v>Partial</v>
      </c>
      <c r="H24" s="13" t="str">
        <f>IFERROR(__xludf.DUMMYFUNCTION("""COMPUTED_VALUE"""),"Partial")</f>
        <v>Partial</v>
      </c>
      <c r="I24" s="13" t="str">
        <f>IFERROR(__xludf.DUMMYFUNCTION("""COMPUTED_VALUE"""),"No")</f>
        <v>No</v>
      </c>
      <c r="J24" s="13" t="str">
        <f>IFERROR(__xludf.DUMMYFUNCTION("""COMPUTED_VALUE"""),"Yes")</f>
        <v>Yes</v>
      </c>
      <c r="K24" s="13" t="str">
        <f>IFERROR(__xludf.DUMMYFUNCTION("""COMPUTED_VALUE"""),"Yes")</f>
        <v>Yes</v>
      </c>
      <c r="L24" s="13" t="str">
        <f>IFERROR(__xludf.DUMMYFUNCTION("""COMPUTED_VALUE"""),"Yes")</f>
        <v>Yes</v>
      </c>
      <c r="M24" s="13" t="str">
        <f>IFERROR(__xludf.DUMMYFUNCTION("""COMPUTED_VALUE"""),"Partial")</f>
        <v>Partial</v>
      </c>
      <c r="N24" s="13" t="str">
        <f>IFERROR(__xludf.DUMMYFUNCTION("""COMPUTED_VALUE"""),"Yes")</f>
        <v>Yes</v>
      </c>
      <c r="O24" s="13" t="str">
        <f>IFERROR(__xludf.DUMMYFUNCTION("""COMPUTED_VALUE"""),"Unclear")</f>
        <v>Unclear</v>
      </c>
      <c r="P24" s="13" t="str">
        <f>IFERROR(__xludf.DUMMYFUNCTION("""COMPUTED_VALUE"""),"Yes")</f>
        <v>Yes</v>
      </c>
      <c r="Q24" s="13" t="str">
        <f>IFERROR(__xludf.DUMMYFUNCTION("""COMPUTED_VALUE"""),"Partial")</f>
        <v>Partial</v>
      </c>
      <c r="R24" s="13" t="str">
        <f>IFERROR(__xludf.DUMMYFUNCTION("""COMPUTED_VALUE"""),"Unclear")</f>
        <v>Unclear</v>
      </c>
      <c r="S24" s="13" t="str">
        <f>IFERROR(__xludf.DUMMYFUNCTION("""COMPUTED_VALUE"""),"Yes")</f>
        <v>Yes</v>
      </c>
      <c r="T24" s="13" t="str">
        <f>IFERROR(__xludf.DUMMYFUNCTION("""COMPUTED_VALUE"""),"Partial")</f>
        <v>Partial</v>
      </c>
      <c r="U24" s="13" t="str">
        <f>IFERROR(__xludf.DUMMYFUNCTION("""COMPUTED_VALUE"""),"Some concerns")</f>
        <v>Some concerns</v>
      </c>
      <c r="V24" s="13" t="str">
        <f>IFERROR(__xludf.DUMMYFUNCTION("""COMPUTED_VALUE"""),"Some concerns")</f>
        <v>Some concerns</v>
      </c>
      <c r="W24" s="13" t="str">
        <f>IFERROR(__xludf.DUMMYFUNCTION("""COMPUTED_VALUE"""),"Some concerns")</f>
        <v>Some concerns</v>
      </c>
    </row>
    <row r="25" ht="16.5" customHeight="1">
      <c r="A25" s="5" t="str">
        <f>IFERROR(__xludf.DUMMYFUNCTION("""COMPUTED_VALUE"""),"SCOPUS-000323")</f>
        <v>SCOPUS-000323</v>
      </c>
      <c r="B25" s="13" t="str">
        <f>IFERROR(__xludf.DUMMYFUNCTION("""COMPUTED_VALUE"""),"Yes")</f>
        <v>Yes</v>
      </c>
      <c r="C25" s="13" t="str">
        <f>IFERROR(__xludf.DUMMYFUNCTION("""COMPUTED_VALUE"""),"Partial")</f>
        <v>Partial</v>
      </c>
      <c r="D25" s="13" t="str">
        <f>IFERROR(__xludf.DUMMYFUNCTION("""COMPUTED_VALUE"""),"Yes")</f>
        <v>Yes</v>
      </c>
      <c r="E25" s="13" t="str">
        <f>IFERROR(__xludf.DUMMYFUNCTION("""COMPUTED_VALUE"""),"Yes")</f>
        <v>Yes</v>
      </c>
      <c r="F25" s="13" t="str">
        <f>IFERROR(__xludf.DUMMYFUNCTION("""COMPUTED_VALUE"""),"Yes")</f>
        <v>Yes</v>
      </c>
      <c r="G25" s="13" t="str">
        <f>IFERROR(__xludf.DUMMYFUNCTION("""COMPUTED_VALUE"""),"Yes")</f>
        <v>Yes</v>
      </c>
      <c r="H25" s="13" t="str">
        <f>IFERROR(__xludf.DUMMYFUNCTION("""COMPUTED_VALUE"""),"Partial")</f>
        <v>Partial</v>
      </c>
      <c r="I25" s="13" t="str">
        <f>IFERROR(__xludf.DUMMYFUNCTION("""COMPUTED_VALUE"""),"No")</f>
        <v>No</v>
      </c>
      <c r="J25" s="13" t="str">
        <f>IFERROR(__xludf.DUMMYFUNCTION("""COMPUTED_VALUE"""),"Yes")</f>
        <v>Yes</v>
      </c>
      <c r="K25" s="13" t="str">
        <f>IFERROR(__xludf.DUMMYFUNCTION("""COMPUTED_VALUE"""),"Yes")</f>
        <v>Yes</v>
      </c>
      <c r="L25" s="13" t="str">
        <f>IFERROR(__xludf.DUMMYFUNCTION("""COMPUTED_VALUE"""),"Yes")</f>
        <v>Yes</v>
      </c>
      <c r="M25" s="13" t="str">
        <f>IFERROR(__xludf.DUMMYFUNCTION("""COMPUTED_VALUE"""),"Yes")</f>
        <v>Yes</v>
      </c>
      <c r="N25" s="13" t="str">
        <f>IFERROR(__xludf.DUMMYFUNCTION("""COMPUTED_VALUE"""),"Partial")</f>
        <v>Partial</v>
      </c>
      <c r="O25" s="13" t="str">
        <f>IFERROR(__xludf.DUMMYFUNCTION("""COMPUTED_VALUE"""),"Unclear")</f>
        <v>Unclear</v>
      </c>
      <c r="P25" s="13" t="str">
        <f>IFERROR(__xludf.DUMMYFUNCTION("""COMPUTED_VALUE"""),"Yes")</f>
        <v>Yes</v>
      </c>
      <c r="Q25" s="13" t="str">
        <f>IFERROR(__xludf.DUMMYFUNCTION("""COMPUTED_VALUE"""),"Yes")</f>
        <v>Yes</v>
      </c>
      <c r="R25" s="13" t="str">
        <f>IFERROR(__xludf.DUMMYFUNCTION("""COMPUTED_VALUE"""),"Unclear")</f>
        <v>Unclear</v>
      </c>
      <c r="S25" s="13" t="str">
        <f>IFERROR(__xludf.DUMMYFUNCTION("""COMPUTED_VALUE"""),"N/A")</f>
        <v>N/A</v>
      </c>
      <c r="T25" s="13" t="str">
        <f>IFERROR(__xludf.DUMMYFUNCTION("""COMPUTED_VALUE"""),"N/A")</f>
        <v>N/A</v>
      </c>
      <c r="U25" s="13" t="str">
        <f>IFERROR(__xludf.DUMMYFUNCTION("""COMPUTED_VALUE"""),"Some concerns")</f>
        <v>Some concerns</v>
      </c>
      <c r="V25" s="13" t="str">
        <f>IFERROR(__xludf.DUMMYFUNCTION("""COMPUTED_VALUE"""),"Some concerns")</f>
        <v>Some concerns</v>
      </c>
      <c r="W25" s="13" t="str">
        <f>IFERROR(__xludf.DUMMYFUNCTION("""COMPUTED_VALUE"""),"Some concerns")</f>
        <v>Some concerns</v>
      </c>
    </row>
    <row r="26" ht="16.5" customHeight="1">
      <c r="A26" s="5" t="str">
        <f>IFERROR(__xludf.DUMMYFUNCTION("""COMPUTED_VALUE"""),"SCOPUS-000295")</f>
        <v>SCOPUS-000295</v>
      </c>
      <c r="B26" s="13" t="str">
        <f>IFERROR(__xludf.DUMMYFUNCTION("""COMPUTED_VALUE"""),"Yes")</f>
        <v>Yes</v>
      </c>
      <c r="C26" s="13" t="str">
        <f>IFERROR(__xludf.DUMMYFUNCTION("""COMPUTED_VALUE"""),"Yes")</f>
        <v>Yes</v>
      </c>
      <c r="D26" s="13" t="str">
        <f>IFERROR(__xludf.DUMMYFUNCTION("""COMPUTED_VALUE"""),"Yes")</f>
        <v>Yes</v>
      </c>
      <c r="E26" s="13" t="str">
        <f>IFERROR(__xludf.DUMMYFUNCTION("""COMPUTED_VALUE"""),"Yes")</f>
        <v>Yes</v>
      </c>
      <c r="F26" s="13" t="str">
        <f>IFERROR(__xludf.DUMMYFUNCTION("""COMPUTED_VALUE"""),"Yes")</f>
        <v>Yes</v>
      </c>
      <c r="G26" s="13" t="str">
        <f>IFERROR(__xludf.DUMMYFUNCTION("""COMPUTED_VALUE"""),"Yes")</f>
        <v>Yes</v>
      </c>
      <c r="H26" s="13" t="str">
        <f>IFERROR(__xludf.DUMMYFUNCTION("""COMPUTED_VALUE"""),"Yes")</f>
        <v>Yes</v>
      </c>
      <c r="I26" s="13" t="str">
        <f>IFERROR(__xludf.DUMMYFUNCTION("""COMPUTED_VALUE"""),"No")</f>
        <v>No</v>
      </c>
      <c r="J26" s="13" t="str">
        <f>IFERROR(__xludf.DUMMYFUNCTION("""COMPUTED_VALUE"""),"Yes")</f>
        <v>Yes</v>
      </c>
      <c r="K26" s="13" t="str">
        <f>IFERROR(__xludf.DUMMYFUNCTION("""COMPUTED_VALUE"""),"Yes")</f>
        <v>Yes</v>
      </c>
      <c r="L26" s="13" t="str">
        <f>IFERROR(__xludf.DUMMYFUNCTION("""COMPUTED_VALUE"""),"Yes")</f>
        <v>Yes</v>
      </c>
      <c r="M26" s="13" t="str">
        <f>IFERROR(__xludf.DUMMYFUNCTION("""COMPUTED_VALUE"""),"Yes")</f>
        <v>Yes</v>
      </c>
      <c r="N26" s="13" t="str">
        <f>IFERROR(__xludf.DUMMYFUNCTION("""COMPUTED_VALUE"""),"Yes")</f>
        <v>Yes</v>
      </c>
      <c r="O26" s="13" t="str">
        <f>IFERROR(__xludf.DUMMYFUNCTION("""COMPUTED_VALUE"""),"Unclear")</f>
        <v>Unclear</v>
      </c>
      <c r="P26" s="13" t="str">
        <f>IFERROR(__xludf.DUMMYFUNCTION("""COMPUTED_VALUE"""),"Yes")</f>
        <v>Yes</v>
      </c>
      <c r="Q26" s="13" t="str">
        <f>IFERROR(__xludf.DUMMYFUNCTION("""COMPUTED_VALUE"""),"Partial")</f>
        <v>Partial</v>
      </c>
      <c r="R26" s="13" t="str">
        <f>IFERROR(__xludf.DUMMYFUNCTION("""COMPUTED_VALUE"""),"Unclear")</f>
        <v>Unclear</v>
      </c>
      <c r="S26" s="13" t="str">
        <f>IFERROR(__xludf.DUMMYFUNCTION("""COMPUTED_VALUE"""),"N/A")</f>
        <v>N/A</v>
      </c>
      <c r="T26" s="13" t="str">
        <f>IFERROR(__xludf.DUMMYFUNCTION("""COMPUTED_VALUE"""),"N/A")</f>
        <v>N/A</v>
      </c>
      <c r="U26" s="13" t="str">
        <f>IFERROR(__xludf.DUMMYFUNCTION("""COMPUTED_VALUE"""),"Some concerns")</f>
        <v>Some concerns</v>
      </c>
      <c r="V26" s="13" t="str">
        <f>IFERROR(__xludf.DUMMYFUNCTION("""COMPUTED_VALUE"""),"Some concerns")</f>
        <v>Some concerns</v>
      </c>
      <c r="W26" s="13" t="str">
        <f>IFERROR(__xludf.DUMMYFUNCTION("""COMPUTED_VALUE"""),"Low")</f>
        <v>Low</v>
      </c>
    </row>
    <row r="27" ht="16.5" customHeight="1">
      <c r="A27" s="5" t="str">
        <f>IFERROR(__xludf.DUMMYFUNCTION("""COMPUTED_VALUE"""),"SCOPUS-000611")</f>
        <v>SCOPUS-000611</v>
      </c>
      <c r="B27" s="13" t="str">
        <f>IFERROR(__xludf.DUMMYFUNCTION("""COMPUTED_VALUE"""),"Yes")</f>
        <v>Yes</v>
      </c>
      <c r="C27" s="13" t="str">
        <f>IFERROR(__xludf.DUMMYFUNCTION("""COMPUTED_VALUE"""),"Yes")</f>
        <v>Yes</v>
      </c>
      <c r="D27" s="13" t="str">
        <f>IFERROR(__xludf.DUMMYFUNCTION("""COMPUTED_VALUE"""),"Yes")</f>
        <v>Yes</v>
      </c>
      <c r="E27" s="13" t="str">
        <f>IFERROR(__xludf.DUMMYFUNCTION("""COMPUTED_VALUE"""),"Yes")</f>
        <v>Yes</v>
      </c>
      <c r="F27" s="13" t="str">
        <f>IFERROR(__xludf.DUMMYFUNCTION("""COMPUTED_VALUE"""),"Yes")</f>
        <v>Yes</v>
      </c>
      <c r="G27" s="13" t="str">
        <f>IFERROR(__xludf.DUMMYFUNCTION("""COMPUTED_VALUE"""),"Yes")</f>
        <v>Yes</v>
      </c>
      <c r="H27" s="13" t="str">
        <f>IFERROR(__xludf.DUMMYFUNCTION("""COMPUTED_VALUE"""),"Partial")</f>
        <v>Partial</v>
      </c>
      <c r="I27" s="13" t="str">
        <f>IFERROR(__xludf.DUMMYFUNCTION("""COMPUTED_VALUE"""),"No")</f>
        <v>No</v>
      </c>
      <c r="J27" s="13" t="str">
        <f>IFERROR(__xludf.DUMMYFUNCTION("""COMPUTED_VALUE"""),"Partial")</f>
        <v>Partial</v>
      </c>
      <c r="K27" s="13" t="str">
        <f>IFERROR(__xludf.DUMMYFUNCTION("""COMPUTED_VALUE"""),"Yes")</f>
        <v>Yes</v>
      </c>
      <c r="L27" s="13" t="str">
        <f>IFERROR(__xludf.DUMMYFUNCTION("""COMPUTED_VALUE"""),"Yes")</f>
        <v>Yes</v>
      </c>
      <c r="M27" s="13" t="str">
        <f>IFERROR(__xludf.DUMMYFUNCTION("""COMPUTED_VALUE"""),"Partial")</f>
        <v>Partial</v>
      </c>
      <c r="N27" s="13" t="str">
        <f>IFERROR(__xludf.DUMMYFUNCTION("""COMPUTED_VALUE"""),"Yes")</f>
        <v>Yes</v>
      </c>
      <c r="O27" s="13" t="str">
        <f>IFERROR(__xludf.DUMMYFUNCTION("""COMPUTED_VALUE"""),"No")</f>
        <v>No</v>
      </c>
      <c r="P27" s="13" t="str">
        <f>IFERROR(__xludf.DUMMYFUNCTION("""COMPUTED_VALUE"""),"Yes")</f>
        <v>Yes</v>
      </c>
      <c r="Q27" s="13" t="str">
        <f>IFERROR(__xludf.DUMMYFUNCTION("""COMPUTED_VALUE"""),"Yes")</f>
        <v>Yes</v>
      </c>
      <c r="R27" s="13" t="str">
        <f>IFERROR(__xludf.DUMMYFUNCTION("""COMPUTED_VALUE"""),"No")</f>
        <v>No</v>
      </c>
      <c r="S27" s="13" t="str">
        <f>IFERROR(__xludf.DUMMYFUNCTION("""COMPUTED_VALUE"""),"N/A")</f>
        <v>N/A</v>
      </c>
      <c r="T27" s="13" t="str">
        <f>IFERROR(__xludf.DUMMYFUNCTION("""COMPUTED_VALUE"""),"N/A")</f>
        <v>N/A</v>
      </c>
      <c r="U27" s="13" t="str">
        <f>IFERROR(__xludf.DUMMYFUNCTION("""COMPUTED_VALUE"""),"High")</f>
        <v>High</v>
      </c>
      <c r="V27" s="13" t="str">
        <f>IFERROR(__xludf.DUMMYFUNCTION("""COMPUTED_VALUE"""),"High")</f>
        <v>High</v>
      </c>
      <c r="W27" s="13" t="str">
        <f>IFERROR(__xludf.DUMMYFUNCTION("""COMPUTED_VALUE"""),"Some concerns")</f>
        <v>Some concerns</v>
      </c>
    </row>
    <row r="28" ht="16.5" customHeight="1">
      <c r="A28" s="5" t="str">
        <f>IFERROR(__xludf.DUMMYFUNCTION("""COMPUTED_VALUE"""),"SCOPUS-000738")</f>
        <v>SCOPUS-000738</v>
      </c>
      <c r="B28" s="13" t="str">
        <f>IFERROR(__xludf.DUMMYFUNCTION("""COMPUTED_VALUE"""),"Yes")</f>
        <v>Yes</v>
      </c>
      <c r="C28" s="13" t="str">
        <f>IFERROR(__xludf.DUMMYFUNCTION("""COMPUTED_VALUE"""),"Yes")</f>
        <v>Yes</v>
      </c>
      <c r="D28" s="13" t="str">
        <f>IFERROR(__xludf.DUMMYFUNCTION("""COMPUTED_VALUE"""),"Yes")</f>
        <v>Yes</v>
      </c>
      <c r="E28" s="13" t="str">
        <f>IFERROR(__xludf.DUMMYFUNCTION("""COMPUTED_VALUE"""),"Yes")</f>
        <v>Yes</v>
      </c>
      <c r="F28" s="13" t="str">
        <f>IFERROR(__xludf.DUMMYFUNCTION("""COMPUTED_VALUE"""),"Yes")</f>
        <v>Yes</v>
      </c>
      <c r="G28" s="13" t="str">
        <f>IFERROR(__xludf.DUMMYFUNCTION("""COMPUTED_VALUE"""),"Yes")</f>
        <v>Yes</v>
      </c>
      <c r="H28" s="13" t="str">
        <f>IFERROR(__xludf.DUMMYFUNCTION("""COMPUTED_VALUE"""),"Partial")</f>
        <v>Partial</v>
      </c>
      <c r="I28" s="13" t="str">
        <f>IFERROR(__xludf.DUMMYFUNCTION("""COMPUTED_VALUE"""),"No")</f>
        <v>No</v>
      </c>
      <c r="J28" s="13" t="str">
        <f>IFERROR(__xludf.DUMMYFUNCTION("""COMPUTED_VALUE"""),"Yes")</f>
        <v>Yes</v>
      </c>
      <c r="K28" s="13" t="str">
        <f>IFERROR(__xludf.DUMMYFUNCTION("""COMPUTED_VALUE"""),"Yes")</f>
        <v>Yes</v>
      </c>
      <c r="L28" s="13" t="str">
        <f>IFERROR(__xludf.DUMMYFUNCTION("""COMPUTED_VALUE"""),"Yes")</f>
        <v>Yes</v>
      </c>
      <c r="M28" s="13" t="str">
        <f>IFERROR(__xludf.DUMMYFUNCTION("""COMPUTED_VALUE"""),"Yes")</f>
        <v>Yes</v>
      </c>
      <c r="N28" s="13" t="str">
        <f>IFERROR(__xludf.DUMMYFUNCTION("""COMPUTED_VALUE"""),"Yes")</f>
        <v>Yes</v>
      </c>
      <c r="O28" s="13" t="str">
        <f>IFERROR(__xludf.DUMMYFUNCTION("""COMPUTED_VALUE"""),"Partial")</f>
        <v>Partial</v>
      </c>
      <c r="P28" s="13" t="str">
        <f>IFERROR(__xludf.DUMMYFUNCTION("""COMPUTED_VALUE"""),"Yes")</f>
        <v>Yes</v>
      </c>
      <c r="Q28" s="13" t="str">
        <f>IFERROR(__xludf.DUMMYFUNCTION("""COMPUTED_VALUE"""),"Yes")</f>
        <v>Yes</v>
      </c>
      <c r="R28" s="13" t="str">
        <f>IFERROR(__xludf.DUMMYFUNCTION("""COMPUTED_VALUE"""),"Partial")</f>
        <v>Partial</v>
      </c>
      <c r="S28" s="13" t="str">
        <f>IFERROR(__xludf.DUMMYFUNCTION("""COMPUTED_VALUE"""),"N/A")</f>
        <v>N/A</v>
      </c>
      <c r="T28" s="13" t="str">
        <f>IFERROR(__xludf.DUMMYFUNCTION("""COMPUTED_VALUE"""),"N/A")</f>
        <v>N/A</v>
      </c>
      <c r="U28" s="13" t="str">
        <f>IFERROR(__xludf.DUMMYFUNCTION("""COMPUTED_VALUE"""),"Some concerns")</f>
        <v>Some concerns</v>
      </c>
      <c r="V28" s="13" t="str">
        <f>IFERROR(__xludf.DUMMYFUNCTION("""COMPUTED_VALUE"""),"Some concerns")</f>
        <v>Some concerns</v>
      </c>
      <c r="W28" s="13" t="str">
        <f>IFERROR(__xludf.DUMMYFUNCTION("""COMPUTED_VALUE"""),"Low")</f>
        <v>Low</v>
      </c>
    </row>
    <row r="29" ht="16.5" customHeight="1">
      <c r="A29" s="5" t="str">
        <f>IFERROR(__xludf.DUMMYFUNCTION("""COMPUTED_VALUE"""),"SCOPUS-000114")</f>
        <v>SCOPUS-000114</v>
      </c>
      <c r="B29" s="13" t="str">
        <f>IFERROR(__xludf.DUMMYFUNCTION("""COMPUTED_VALUE"""),"Yes")</f>
        <v>Yes</v>
      </c>
      <c r="C29" s="13" t="str">
        <f>IFERROR(__xludf.DUMMYFUNCTION("""COMPUTED_VALUE"""),"Partial")</f>
        <v>Partial</v>
      </c>
      <c r="D29" s="13" t="str">
        <f>IFERROR(__xludf.DUMMYFUNCTION("""COMPUTED_VALUE"""),"Yes")</f>
        <v>Yes</v>
      </c>
      <c r="E29" s="13" t="str">
        <f>IFERROR(__xludf.DUMMYFUNCTION("""COMPUTED_VALUE"""),"Partial")</f>
        <v>Partial</v>
      </c>
      <c r="F29" s="13" t="str">
        <f>IFERROR(__xludf.DUMMYFUNCTION("""COMPUTED_VALUE"""),"Partial")</f>
        <v>Partial</v>
      </c>
      <c r="G29" s="13" t="str">
        <f>IFERROR(__xludf.DUMMYFUNCTION("""COMPUTED_VALUE"""),"Partial")</f>
        <v>Partial</v>
      </c>
      <c r="H29" s="13" t="str">
        <f>IFERROR(__xludf.DUMMYFUNCTION("""COMPUTED_VALUE"""),"Partial")</f>
        <v>Partial</v>
      </c>
      <c r="I29" s="13" t="str">
        <f>IFERROR(__xludf.DUMMYFUNCTION("""COMPUTED_VALUE"""),"No")</f>
        <v>No</v>
      </c>
      <c r="J29" s="13" t="str">
        <f>IFERROR(__xludf.DUMMYFUNCTION("""COMPUTED_VALUE"""),"Partial")</f>
        <v>Partial</v>
      </c>
      <c r="K29" s="13" t="str">
        <f>IFERROR(__xludf.DUMMYFUNCTION("""COMPUTED_VALUE"""),"Partial")</f>
        <v>Partial</v>
      </c>
      <c r="L29" s="13" t="str">
        <f>IFERROR(__xludf.DUMMYFUNCTION("""COMPUTED_VALUE"""),"Yes")</f>
        <v>Yes</v>
      </c>
      <c r="M29" s="13" t="str">
        <f>IFERROR(__xludf.DUMMYFUNCTION("""COMPUTED_VALUE"""),"Partial")</f>
        <v>Partial</v>
      </c>
      <c r="N29" s="13" t="str">
        <f>IFERROR(__xludf.DUMMYFUNCTION("""COMPUTED_VALUE"""),"Unclear")</f>
        <v>Unclear</v>
      </c>
      <c r="O29" s="13" t="str">
        <f>IFERROR(__xludf.DUMMYFUNCTION("""COMPUTED_VALUE"""),"Unclear")</f>
        <v>Unclear</v>
      </c>
      <c r="P29" s="13" t="str">
        <f>IFERROR(__xludf.DUMMYFUNCTION("""COMPUTED_VALUE"""),"Yes")</f>
        <v>Yes</v>
      </c>
      <c r="Q29" s="13" t="str">
        <f>IFERROR(__xludf.DUMMYFUNCTION("""COMPUTED_VALUE"""),"Partial")</f>
        <v>Partial</v>
      </c>
      <c r="R29" s="13" t="str">
        <f>IFERROR(__xludf.DUMMYFUNCTION("""COMPUTED_VALUE"""),"Unclear")</f>
        <v>Unclear</v>
      </c>
      <c r="S29" s="13" t="str">
        <f>IFERROR(__xludf.DUMMYFUNCTION("""COMPUTED_VALUE"""),"N/A")</f>
        <v>N/A</v>
      </c>
      <c r="T29" s="13" t="str">
        <f>IFERROR(__xludf.DUMMYFUNCTION("""COMPUTED_VALUE"""),"N/A")</f>
        <v>N/A</v>
      </c>
      <c r="U29" s="13" t="str">
        <f>IFERROR(__xludf.DUMMYFUNCTION("""COMPUTED_VALUE"""),"Some concerns")</f>
        <v>Some concerns</v>
      </c>
      <c r="V29" s="13" t="str">
        <f>IFERROR(__xludf.DUMMYFUNCTION("""COMPUTED_VALUE"""),"Some concerns")</f>
        <v>Some concerns</v>
      </c>
      <c r="W29" s="13" t="str">
        <f>IFERROR(__xludf.DUMMYFUNCTION("""COMPUTED_VALUE"""),"Some concerns")</f>
        <v>Some concerns</v>
      </c>
    </row>
    <row r="30" ht="16.5" customHeight="1">
      <c r="A30" s="5" t="str">
        <f>IFERROR(__xludf.DUMMYFUNCTION("""COMPUTED_VALUE"""),"SCOPUS-000366")</f>
        <v>SCOPUS-000366</v>
      </c>
      <c r="B30" s="13" t="str">
        <f>IFERROR(__xludf.DUMMYFUNCTION("""COMPUTED_VALUE"""),"Yes")</f>
        <v>Yes</v>
      </c>
      <c r="C30" s="13" t="str">
        <f>IFERROR(__xludf.DUMMYFUNCTION("""COMPUTED_VALUE"""),"Yes")</f>
        <v>Yes</v>
      </c>
      <c r="D30" s="13" t="str">
        <f>IFERROR(__xludf.DUMMYFUNCTION("""COMPUTED_VALUE"""),"Yes")</f>
        <v>Yes</v>
      </c>
      <c r="E30" s="13" t="str">
        <f>IFERROR(__xludf.DUMMYFUNCTION("""COMPUTED_VALUE"""),"Yes")</f>
        <v>Yes</v>
      </c>
      <c r="F30" s="13" t="str">
        <f>IFERROR(__xludf.DUMMYFUNCTION("""COMPUTED_VALUE"""),"Yes")</f>
        <v>Yes</v>
      </c>
      <c r="G30" s="13" t="str">
        <f>IFERROR(__xludf.DUMMYFUNCTION("""COMPUTED_VALUE"""),"Yes")</f>
        <v>Yes</v>
      </c>
      <c r="H30" s="13" t="str">
        <f>IFERROR(__xludf.DUMMYFUNCTION("""COMPUTED_VALUE"""),"Partial")</f>
        <v>Partial</v>
      </c>
      <c r="I30" s="13" t="str">
        <f>IFERROR(__xludf.DUMMYFUNCTION("""COMPUTED_VALUE"""),"No")</f>
        <v>No</v>
      </c>
      <c r="J30" s="13" t="str">
        <f>IFERROR(__xludf.DUMMYFUNCTION("""COMPUTED_VALUE"""),"Yes")</f>
        <v>Yes</v>
      </c>
      <c r="K30" s="13" t="str">
        <f>IFERROR(__xludf.DUMMYFUNCTION("""COMPUTED_VALUE"""),"Yes")</f>
        <v>Yes</v>
      </c>
      <c r="L30" s="13" t="str">
        <f>IFERROR(__xludf.DUMMYFUNCTION("""COMPUTED_VALUE"""),"Yes")</f>
        <v>Yes</v>
      </c>
      <c r="M30" s="13" t="str">
        <f>IFERROR(__xludf.DUMMYFUNCTION("""COMPUTED_VALUE"""),"Partial")</f>
        <v>Partial</v>
      </c>
      <c r="N30" s="13" t="str">
        <f>IFERROR(__xludf.DUMMYFUNCTION("""COMPUTED_VALUE"""),"Yes")</f>
        <v>Yes</v>
      </c>
      <c r="O30" s="13" t="str">
        <f>IFERROR(__xludf.DUMMYFUNCTION("""COMPUTED_VALUE"""),"Unclear")</f>
        <v>Unclear</v>
      </c>
      <c r="P30" s="13" t="str">
        <f>IFERROR(__xludf.DUMMYFUNCTION("""COMPUTED_VALUE"""),"Yes")</f>
        <v>Yes</v>
      </c>
      <c r="Q30" s="13" t="str">
        <f>IFERROR(__xludf.DUMMYFUNCTION("""COMPUTED_VALUE"""),"Partial")</f>
        <v>Partial</v>
      </c>
      <c r="R30" s="13" t="str">
        <f>IFERROR(__xludf.DUMMYFUNCTION("""COMPUTED_VALUE"""),"Unclear")</f>
        <v>Unclear</v>
      </c>
      <c r="S30" s="13" t="str">
        <f>IFERROR(__xludf.DUMMYFUNCTION("""COMPUTED_VALUE"""),"N/A")</f>
        <v>N/A</v>
      </c>
      <c r="T30" s="13" t="str">
        <f>IFERROR(__xludf.DUMMYFUNCTION("""COMPUTED_VALUE"""),"N/A")</f>
        <v>N/A</v>
      </c>
      <c r="U30" s="13" t="str">
        <f>IFERROR(__xludf.DUMMYFUNCTION("""COMPUTED_VALUE"""),"Some concerns")</f>
        <v>Some concerns</v>
      </c>
      <c r="V30" s="13" t="str">
        <f>IFERROR(__xludf.DUMMYFUNCTION("""COMPUTED_VALUE"""),"Some concerns")</f>
        <v>Some concerns</v>
      </c>
      <c r="W30" s="13" t="str">
        <f>IFERROR(__xludf.DUMMYFUNCTION("""COMPUTED_VALUE"""),"Some concerns")</f>
        <v>Some concerns</v>
      </c>
    </row>
    <row r="31" ht="16.5" customHeight="1">
      <c r="A31" s="5" t="str">
        <f>IFERROR(__xludf.DUMMYFUNCTION("""COMPUTED_VALUE"""),"SCOPUS-000286")</f>
        <v>SCOPUS-000286</v>
      </c>
      <c r="B31" s="13" t="str">
        <f>IFERROR(__xludf.DUMMYFUNCTION("""COMPUTED_VALUE"""),"Yes")</f>
        <v>Yes</v>
      </c>
      <c r="C31" s="13" t="str">
        <f>IFERROR(__xludf.DUMMYFUNCTION("""COMPUTED_VALUE"""),"Yes")</f>
        <v>Yes</v>
      </c>
      <c r="D31" s="13" t="str">
        <f>IFERROR(__xludf.DUMMYFUNCTION("""COMPUTED_VALUE"""),"Yes")</f>
        <v>Yes</v>
      </c>
      <c r="E31" s="13" t="str">
        <f>IFERROR(__xludf.DUMMYFUNCTION("""COMPUTED_VALUE"""),"Yes")</f>
        <v>Yes</v>
      </c>
      <c r="F31" s="13" t="str">
        <f>IFERROR(__xludf.DUMMYFUNCTION("""COMPUTED_VALUE"""),"Yes")</f>
        <v>Yes</v>
      </c>
      <c r="G31" s="13" t="str">
        <f>IFERROR(__xludf.DUMMYFUNCTION("""COMPUTED_VALUE"""),"Yes")</f>
        <v>Yes</v>
      </c>
      <c r="H31" s="13" t="str">
        <f>IFERROR(__xludf.DUMMYFUNCTION("""COMPUTED_VALUE"""),"Yes")</f>
        <v>Yes</v>
      </c>
      <c r="I31" s="13" t="str">
        <f>IFERROR(__xludf.DUMMYFUNCTION("""COMPUTED_VALUE"""),"No")</f>
        <v>No</v>
      </c>
      <c r="J31" s="13" t="str">
        <f>IFERROR(__xludf.DUMMYFUNCTION("""COMPUTED_VALUE"""),"Yes")</f>
        <v>Yes</v>
      </c>
      <c r="K31" s="13" t="str">
        <f>IFERROR(__xludf.DUMMYFUNCTION("""COMPUTED_VALUE"""),"Yes")</f>
        <v>Yes</v>
      </c>
      <c r="L31" s="13" t="str">
        <f>IFERROR(__xludf.DUMMYFUNCTION("""COMPUTED_VALUE"""),"Yes")</f>
        <v>Yes</v>
      </c>
      <c r="M31" s="13" t="str">
        <f>IFERROR(__xludf.DUMMYFUNCTION("""COMPUTED_VALUE"""),"Yes")</f>
        <v>Yes</v>
      </c>
      <c r="N31" s="13" t="str">
        <f>IFERROR(__xludf.DUMMYFUNCTION("""COMPUTED_VALUE"""),"Yes")</f>
        <v>Yes</v>
      </c>
      <c r="O31" s="13" t="str">
        <f>IFERROR(__xludf.DUMMYFUNCTION("""COMPUTED_VALUE"""),"Unclear")</f>
        <v>Unclear</v>
      </c>
      <c r="P31" s="13" t="str">
        <f>IFERROR(__xludf.DUMMYFUNCTION("""COMPUTED_VALUE"""),"Yes")</f>
        <v>Yes</v>
      </c>
      <c r="Q31" s="13" t="str">
        <f>IFERROR(__xludf.DUMMYFUNCTION("""COMPUTED_VALUE"""),"Yes")</f>
        <v>Yes</v>
      </c>
      <c r="R31" s="13" t="str">
        <f>IFERROR(__xludf.DUMMYFUNCTION("""COMPUTED_VALUE"""),"Unclear")</f>
        <v>Unclear</v>
      </c>
      <c r="S31" s="13" t="str">
        <f>IFERROR(__xludf.DUMMYFUNCTION("""COMPUTED_VALUE"""),"N/A")</f>
        <v>N/A</v>
      </c>
      <c r="T31" s="13" t="str">
        <f>IFERROR(__xludf.DUMMYFUNCTION("""COMPUTED_VALUE"""),"N/A")</f>
        <v>N/A</v>
      </c>
      <c r="U31" s="13" t="str">
        <f>IFERROR(__xludf.DUMMYFUNCTION("""COMPUTED_VALUE"""),"Some concerns")</f>
        <v>Some concerns</v>
      </c>
      <c r="V31" s="13" t="str">
        <f>IFERROR(__xludf.DUMMYFUNCTION("""COMPUTED_VALUE"""),"Some concerns")</f>
        <v>Some concerns</v>
      </c>
      <c r="W31" s="13" t="str">
        <f>IFERROR(__xludf.DUMMYFUNCTION("""COMPUTED_VALUE"""),"Low")</f>
        <v>Low</v>
      </c>
    </row>
    <row r="32" ht="16.5" customHeight="1">
      <c r="A32" s="5" t="str">
        <f>IFERROR(__xludf.DUMMYFUNCTION("""COMPUTED_VALUE"""),"SCOPUS-000283")</f>
        <v>SCOPUS-000283</v>
      </c>
      <c r="B32" s="13" t="str">
        <f>IFERROR(__xludf.DUMMYFUNCTION("""COMPUTED_VALUE"""),"Yes")</f>
        <v>Yes</v>
      </c>
      <c r="C32" s="13" t="str">
        <f>IFERROR(__xludf.DUMMYFUNCTION("""COMPUTED_VALUE"""),"Yes")</f>
        <v>Yes</v>
      </c>
      <c r="D32" s="13" t="str">
        <f>IFERROR(__xludf.DUMMYFUNCTION("""COMPUTED_VALUE"""),"Yes")</f>
        <v>Yes</v>
      </c>
      <c r="E32" s="13" t="str">
        <f>IFERROR(__xludf.DUMMYFUNCTION("""COMPUTED_VALUE"""),"Yes")</f>
        <v>Yes</v>
      </c>
      <c r="F32" s="13" t="str">
        <f>IFERROR(__xludf.DUMMYFUNCTION("""COMPUTED_VALUE"""),"Yes")</f>
        <v>Yes</v>
      </c>
      <c r="G32" s="13" t="str">
        <f>IFERROR(__xludf.DUMMYFUNCTION("""COMPUTED_VALUE"""),"Yes")</f>
        <v>Yes</v>
      </c>
      <c r="H32" s="13" t="str">
        <f>IFERROR(__xludf.DUMMYFUNCTION("""COMPUTED_VALUE"""),"Yes")</f>
        <v>Yes</v>
      </c>
      <c r="I32" s="13" t="str">
        <f>IFERROR(__xludf.DUMMYFUNCTION("""COMPUTED_VALUE"""),"No")</f>
        <v>No</v>
      </c>
      <c r="J32" s="13" t="str">
        <f>IFERROR(__xludf.DUMMYFUNCTION("""COMPUTED_VALUE"""),"Yes")</f>
        <v>Yes</v>
      </c>
      <c r="K32" s="13" t="str">
        <f>IFERROR(__xludf.DUMMYFUNCTION("""COMPUTED_VALUE"""),"Yes")</f>
        <v>Yes</v>
      </c>
      <c r="L32" s="13" t="str">
        <f>IFERROR(__xludf.DUMMYFUNCTION("""COMPUTED_VALUE"""),"Yes")</f>
        <v>Yes</v>
      </c>
      <c r="M32" s="13" t="str">
        <f>IFERROR(__xludf.DUMMYFUNCTION("""COMPUTED_VALUE"""),"Yes")</f>
        <v>Yes</v>
      </c>
      <c r="N32" s="13" t="str">
        <f>IFERROR(__xludf.DUMMYFUNCTION("""COMPUTED_VALUE"""),"Yes")</f>
        <v>Yes</v>
      </c>
      <c r="O32" s="13" t="str">
        <f>IFERROR(__xludf.DUMMYFUNCTION("""COMPUTED_VALUE"""),"No")</f>
        <v>No</v>
      </c>
      <c r="P32" s="13" t="str">
        <f>IFERROR(__xludf.DUMMYFUNCTION("""COMPUTED_VALUE"""),"Yes")</f>
        <v>Yes</v>
      </c>
      <c r="Q32" s="13" t="str">
        <f>IFERROR(__xludf.DUMMYFUNCTION("""COMPUTED_VALUE"""),"Partial")</f>
        <v>Partial</v>
      </c>
      <c r="R32" s="13" t="str">
        <f>IFERROR(__xludf.DUMMYFUNCTION("""COMPUTED_VALUE"""),"No")</f>
        <v>No</v>
      </c>
      <c r="S32" s="13" t="str">
        <f>IFERROR(__xludf.DUMMYFUNCTION("""COMPUTED_VALUE"""),"N/A")</f>
        <v>N/A</v>
      </c>
      <c r="T32" s="13" t="str">
        <f>IFERROR(__xludf.DUMMYFUNCTION("""COMPUTED_VALUE"""),"N/A")</f>
        <v>N/A</v>
      </c>
      <c r="U32" s="13" t="str">
        <f>IFERROR(__xludf.DUMMYFUNCTION("""COMPUTED_VALUE"""),"High")</f>
        <v>High</v>
      </c>
      <c r="V32" s="13" t="str">
        <f>IFERROR(__xludf.DUMMYFUNCTION("""COMPUTED_VALUE"""),"High")</f>
        <v>High</v>
      </c>
      <c r="W32" s="13" t="str">
        <f>IFERROR(__xludf.DUMMYFUNCTION("""COMPUTED_VALUE"""),"Some concerns")</f>
        <v>Some concerns</v>
      </c>
    </row>
    <row r="33" ht="16.5" customHeight="1">
      <c r="A33" s="5" t="str">
        <f>IFERROR(__xludf.DUMMYFUNCTION("""COMPUTED_VALUE"""),"SCOPUS-000276")</f>
        <v>SCOPUS-000276</v>
      </c>
      <c r="B33" s="13" t="str">
        <f>IFERROR(__xludf.DUMMYFUNCTION("""COMPUTED_VALUE"""),"Yes")</f>
        <v>Yes</v>
      </c>
      <c r="C33" s="13" t="str">
        <f>IFERROR(__xludf.DUMMYFUNCTION("""COMPUTED_VALUE"""),"Yes")</f>
        <v>Yes</v>
      </c>
      <c r="D33" s="13" t="str">
        <f>IFERROR(__xludf.DUMMYFUNCTION("""COMPUTED_VALUE"""),"Yes")</f>
        <v>Yes</v>
      </c>
      <c r="E33" s="13" t="str">
        <f>IFERROR(__xludf.DUMMYFUNCTION("""COMPUTED_VALUE"""),"Yes")</f>
        <v>Yes</v>
      </c>
      <c r="F33" s="13" t="str">
        <f>IFERROR(__xludf.DUMMYFUNCTION("""COMPUTED_VALUE"""),"Yes")</f>
        <v>Yes</v>
      </c>
      <c r="G33" s="13" t="str">
        <f>IFERROR(__xludf.DUMMYFUNCTION("""COMPUTED_VALUE"""),"Yes")</f>
        <v>Yes</v>
      </c>
      <c r="H33" s="13" t="str">
        <f>IFERROR(__xludf.DUMMYFUNCTION("""COMPUTED_VALUE"""),"Partial")</f>
        <v>Partial</v>
      </c>
      <c r="I33" s="13" t="str">
        <f>IFERROR(__xludf.DUMMYFUNCTION("""COMPUTED_VALUE"""),"No")</f>
        <v>No</v>
      </c>
      <c r="J33" s="13" t="str">
        <f>IFERROR(__xludf.DUMMYFUNCTION("""COMPUTED_VALUE"""),"Yes")</f>
        <v>Yes</v>
      </c>
      <c r="K33" s="13" t="str">
        <f>IFERROR(__xludf.DUMMYFUNCTION("""COMPUTED_VALUE"""),"Yes")</f>
        <v>Yes</v>
      </c>
      <c r="L33" s="13" t="str">
        <f>IFERROR(__xludf.DUMMYFUNCTION("""COMPUTED_VALUE"""),"Yes")</f>
        <v>Yes</v>
      </c>
      <c r="M33" s="13" t="str">
        <f>IFERROR(__xludf.DUMMYFUNCTION("""COMPUTED_VALUE"""),"Yes")</f>
        <v>Yes</v>
      </c>
      <c r="N33" s="13" t="str">
        <f>IFERROR(__xludf.DUMMYFUNCTION("""COMPUTED_VALUE"""),"Partial")</f>
        <v>Partial</v>
      </c>
      <c r="O33" s="13" t="str">
        <f>IFERROR(__xludf.DUMMYFUNCTION("""COMPUTED_VALUE"""),"Unclear")</f>
        <v>Unclear</v>
      </c>
      <c r="P33" s="13" t="str">
        <f>IFERROR(__xludf.DUMMYFUNCTION("""COMPUTED_VALUE"""),"Yes")</f>
        <v>Yes</v>
      </c>
      <c r="Q33" s="13" t="str">
        <f>IFERROR(__xludf.DUMMYFUNCTION("""COMPUTED_VALUE"""),"Yes")</f>
        <v>Yes</v>
      </c>
      <c r="R33" s="13" t="str">
        <f>IFERROR(__xludf.DUMMYFUNCTION("""COMPUTED_VALUE"""),"Unclear")</f>
        <v>Unclear</v>
      </c>
      <c r="S33" s="13" t="str">
        <f>IFERROR(__xludf.DUMMYFUNCTION("""COMPUTED_VALUE"""),"N/A")</f>
        <v>N/A</v>
      </c>
      <c r="T33" s="13" t="str">
        <f>IFERROR(__xludf.DUMMYFUNCTION("""COMPUTED_VALUE"""),"N/A")</f>
        <v>N/A</v>
      </c>
      <c r="U33" s="13" t="str">
        <f>IFERROR(__xludf.DUMMYFUNCTION("""COMPUTED_VALUE"""),"Some concerns")</f>
        <v>Some concerns</v>
      </c>
      <c r="V33" s="13" t="str">
        <f>IFERROR(__xludf.DUMMYFUNCTION("""COMPUTED_VALUE"""),"Some concerns")</f>
        <v>Some concerns</v>
      </c>
      <c r="W33" s="13" t="str">
        <f>IFERROR(__xludf.DUMMYFUNCTION("""COMPUTED_VALUE"""),"Some concerns")</f>
        <v>Some concerns</v>
      </c>
    </row>
    <row r="34" ht="16.5" customHeight="1">
      <c r="A34" s="5" t="str">
        <f>IFERROR(__xludf.DUMMYFUNCTION("""COMPUTED_VALUE"""),"SCOPUS-000246")</f>
        <v>SCOPUS-000246</v>
      </c>
      <c r="B34" s="13" t="str">
        <f>IFERROR(__xludf.DUMMYFUNCTION("""COMPUTED_VALUE"""),"Yes")</f>
        <v>Yes</v>
      </c>
      <c r="C34" s="13" t="str">
        <f>IFERROR(__xludf.DUMMYFUNCTION("""COMPUTED_VALUE"""),"Yes")</f>
        <v>Yes</v>
      </c>
      <c r="D34" s="13" t="str">
        <f>IFERROR(__xludf.DUMMYFUNCTION("""COMPUTED_VALUE"""),"Yes")</f>
        <v>Yes</v>
      </c>
      <c r="E34" s="13" t="str">
        <f>IFERROR(__xludf.DUMMYFUNCTION("""COMPUTED_VALUE"""),"Yes")</f>
        <v>Yes</v>
      </c>
      <c r="F34" s="13" t="str">
        <f>IFERROR(__xludf.DUMMYFUNCTION("""COMPUTED_VALUE"""),"Yes")</f>
        <v>Yes</v>
      </c>
      <c r="G34" s="13" t="str">
        <f>IFERROR(__xludf.DUMMYFUNCTION("""COMPUTED_VALUE"""),"Yes")</f>
        <v>Yes</v>
      </c>
      <c r="H34" s="13" t="str">
        <f>IFERROR(__xludf.DUMMYFUNCTION("""COMPUTED_VALUE"""),"Yes")</f>
        <v>Yes</v>
      </c>
      <c r="I34" s="13" t="str">
        <f>IFERROR(__xludf.DUMMYFUNCTION("""COMPUTED_VALUE"""),"No")</f>
        <v>No</v>
      </c>
      <c r="J34" s="13" t="str">
        <f>IFERROR(__xludf.DUMMYFUNCTION("""COMPUTED_VALUE"""),"Yes")</f>
        <v>Yes</v>
      </c>
      <c r="K34" s="13" t="str">
        <f>IFERROR(__xludf.DUMMYFUNCTION("""COMPUTED_VALUE"""),"Yes")</f>
        <v>Yes</v>
      </c>
      <c r="L34" s="13" t="str">
        <f>IFERROR(__xludf.DUMMYFUNCTION("""COMPUTED_VALUE"""),"Yes")</f>
        <v>Yes</v>
      </c>
      <c r="M34" s="13" t="str">
        <f>IFERROR(__xludf.DUMMYFUNCTION("""COMPUTED_VALUE"""),"Yes")</f>
        <v>Yes</v>
      </c>
      <c r="N34" s="13" t="str">
        <f>IFERROR(__xludf.DUMMYFUNCTION("""COMPUTED_VALUE"""),"Yes")</f>
        <v>Yes</v>
      </c>
      <c r="O34" s="13" t="str">
        <f>IFERROR(__xludf.DUMMYFUNCTION("""COMPUTED_VALUE"""),"Yes")</f>
        <v>Yes</v>
      </c>
      <c r="P34" s="13" t="str">
        <f>IFERROR(__xludf.DUMMYFUNCTION("""COMPUTED_VALUE"""),"Yes")</f>
        <v>Yes</v>
      </c>
      <c r="Q34" s="13" t="str">
        <f>IFERROR(__xludf.DUMMYFUNCTION("""COMPUTED_VALUE"""),"Yes")</f>
        <v>Yes</v>
      </c>
      <c r="R34" s="13" t="str">
        <f>IFERROR(__xludf.DUMMYFUNCTION("""COMPUTED_VALUE"""),"Yes")</f>
        <v>Yes</v>
      </c>
      <c r="S34" s="13" t="str">
        <f>IFERROR(__xludf.DUMMYFUNCTION("""COMPUTED_VALUE"""),"N/A")</f>
        <v>N/A</v>
      </c>
      <c r="T34" s="13" t="str">
        <f>IFERROR(__xludf.DUMMYFUNCTION("""COMPUTED_VALUE"""),"N/A")</f>
        <v>N/A</v>
      </c>
      <c r="U34" s="13" t="str">
        <f>IFERROR(__xludf.DUMMYFUNCTION("""COMPUTED_VALUE"""),"Low")</f>
        <v>Low</v>
      </c>
      <c r="V34" s="13" t="str">
        <f>IFERROR(__xludf.DUMMYFUNCTION("""COMPUTED_VALUE"""),"Low")</f>
        <v>Low</v>
      </c>
      <c r="W34" s="13" t="str">
        <f>IFERROR(__xludf.DUMMYFUNCTION("""COMPUTED_VALUE"""),"Low")</f>
        <v>Low</v>
      </c>
    </row>
    <row r="35" ht="16.5" customHeight="1">
      <c r="A35" s="5" t="str">
        <f>IFERROR(__xludf.DUMMYFUNCTION("""COMPUTED_VALUE"""),"SCOPUS-000599")</f>
        <v>SCOPUS-000599</v>
      </c>
      <c r="B35" s="13" t="str">
        <f>IFERROR(__xludf.DUMMYFUNCTION("""COMPUTED_VALUE"""),"Yes")</f>
        <v>Yes</v>
      </c>
      <c r="C35" s="13" t="str">
        <f>IFERROR(__xludf.DUMMYFUNCTION("""COMPUTED_VALUE"""),"Partial")</f>
        <v>Partial</v>
      </c>
      <c r="D35" s="13" t="str">
        <f>IFERROR(__xludf.DUMMYFUNCTION("""COMPUTED_VALUE"""),"Yes")</f>
        <v>Yes</v>
      </c>
      <c r="E35" s="13" t="str">
        <f>IFERROR(__xludf.DUMMYFUNCTION("""COMPUTED_VALUE"""),"Yes")</f>
        <v>Yes</v>
      </c>
      <c r="F35" s="13" t="str">
        <f>IFERROR(__xludf.DUMMYFUNCTION("""COMPUTED_VALUE"""),"Yes")</f>
        <v>Yes</v>
      </c>
      <c r="G35" s="13" t="str">
        <f>IFERROR(__xludf.DUMMYFUNCTION("""COMPUTED_VALUE"""),"Yes")</f>
        <v>Yes</v>
      </c>
      <c r="H35" s="13" t="str">
        <f>IFERROR(__xludf.DUMMYFUNCTION("""COMPUTED_VALUE"""),"Partial")</f>
        <v>Partial</v>
      </c>
      <c r="I35" s="13" t="str">
        <f>IFERROR(__xludf.DUMMYFUNCTION("""COMPUTED_VALUE"""),"Partial")</f>
        <v>Partial</v>
      </c>
      <c r="J35" s="13" t="str">
        <f>IFERROR(__xludf.DUMMYFUNCTION("""COMPUTED_VALUE"""),"Yes")</f>
        <v>Yes</v>
      </c>
      <c r="K35" s="13" t="str">
        <f>IFERROR(__xludf.DUMMYFUNCTION("""COMPUTED_VALUE"""),"Yes")</f>
        <v>Yes</v>
      </c>
      <c r="L35" s="13" t="str">
        <f>IFERROR(__xludf.DUMMYFUNCTION("""COMPUTED_VALUE"""),"Yes")</f>
        <v>Yes</v>
      </c>
      <c r="M35" s="13" t="str">
        <f>IFERROR(__xludf.DUMMYFUNCTION("""COMPUTED_VALUE"""),"Yes")</f>
        <v>Yes</v>
      </c>
      <c r="N35" s="13" t="str">
        <f>IFERROR(__xludf.DUMMYFUNCTION("""COMPUTED_VALUE"""),"Yes")</f>
        <v>Yes</v>
      </c>
      <c r="O35" s="13" t="str">
        <f>IFERROR(__xludf.DUMMYFUNCTION("""COMPUTED_VALUE"""),"Unclear")</f>
        <v>Unclear</v>
      </c>
      <c r="P35" s="13" t="str">
        <f>IFERROR(__xludf.DUMMYFUNCTION("""COMPUTED_VALUE"""),"Yes")</f>
        <v>Yes</v>
      </c>
      <c r="Q35" s="13" t="str">
        <f>IFERROR(__xludf.DUMMYFUNCTION("""COMPUTED_VALUE"""),"Partial")</f>
        <v>Partial</v>
      </c>
      <c r="R35" s="13" t="str">
        <f>IFERROR(__xludf.DUMMYFUNCTION("""COMPUTED_VALUE"""),"Unclear")</f>
        <v>Unclear</v>
      </c>
      <c r="S35" s="13" t="str">
        <f>IFERROR(__xludf.DUMMYFUNCTION("""COMPUTED_VALUE"""),"N/A")</f>
        <v>N/A</v>
      </c>
      <c r="T35" s="13" t="str">
        <f>IFERROR(__xludf.DUMMYFUNCTION("""COMPUTED_VALUE"""),"N/A")</f>
        <v>N/A</v>
      </c>
      <c r="U35" s="13" t="str">
        <f>IFERROR(__xludf.DUMMYFUNCTION("""COMPUTED_VALUE"""),"Some concerns")</f>
        <v>Some concerns</v>
      </c>
      <c r="V35" s="13" t="str">
        <f>IFERROR(__xludf.DUMMYFUNCTION("""COMPUTED_VALUE"""),"Some concerns")</f>
        <v>Some concerns</v>
      </c>
      <c r="W35" s="13" t="str">
        <f>IFERROR(__xludf.DUMMYFUNCTION("""COMPUTED_VALUE"""),"Some concerns")</f>
        <v>Some concerns</v>
      </c>
    </row>
    <row r="36" ht="16.5" customHeight="1">
      <c r="A36" s="5" t="str">
        <f>IFERROR(__xludf.DUMMYFUNCTION("""COMPUTED_VALUE"""),"SCOPUS-000280")</f>
        <v>SCOPUS-000280</v>
      </c>
      <c r="B36" s="13" t="str">
        <f>IFERROR(__xludf.DUMMYFUNCTION("""COMPUTED_VALUE"""),"Yes")</f>
        <v>Yes</v>
      </c>
      <c r="C36" s="13" t="str">
        <f>IFERROR(__xludf.DUMMYFUNCTION("""COMPUTED_VALUE"""),"Yes")</f>
        <v>Yes</v>
      </c>
      <c r="D36" s="13" t="str">
        <f>IFERROR(__xludf.DUMMYFUNCTION("""COMPUTED_VALUE"""),"Yes")</f>
        <v>Yes</v>
      </c>
      <c r="E36" s="13" t="str">
        <f>IFERROR(__xludf.DUMMYFUNCTION("""COMPUTED_VALUE"""),"Yes")</f>
        <v>Yes</v>
      </c>
      <c r="F36" s="13" t="str">
        <f>IFERROR(__xludf.DUMMYFUNCTION("""COMPUTED_VALUE"""),"Yes")</f>
        <v>Yes</v>
      </c>
      <c r="G36" s="13" t="str">
        <f>IFERROR(__xludf.DUMMYFUNCTION("""COMPUTED_VALUE"""),"Yes")</f>
        <v>Yes</v>
      </c>
      <c r="H36" s="13" t="str">
        <f>IFERROR(__xludf.DUMMYFUNCTION("""COMPUTED_VALUE"""),"Partial")</f>
        <v>Partial</v>
      </c>
      <c r="I36" s="13" t="str">
        <f>IFERROR(__xludf.DUMMYFUNCTION("""COMPUTED_VALUE"""),"No")</f>
        <v>No</v>
      </c>
      <c r="J36" s="13" t="str">
        <f>IFERROR(__xludf.DUMMYFUNCTION("""COMPUTED_VALUE"""),"Yes")</f>
        <v>Yes</v>
      </c>
      <c r="K36" s="13" t="str">
        <f>IFERROR(__xludf.DUMMYFUNCTION("""COMPUTED_VALUE"""),"Yes")</f>
        <v>Yes</v>
      </c>
      <c r="L36" s="13" t="str">
        <f>IFERROR(__xludf.DUMMYFUNCTION("""COMPUTED_VALUE"""),"Yes")</f>
        <v>Yes</v>
      </c>
      <c r="M36" s="13" t="str">
        <f>IFERROR(__xludf.DUMMYFUNCTION("""COMPUTED_VALUE"""),"Yes")</f>
        <v>Yes</v>
      </c>
      <c r="N36" s="13" t="str">
        <f>IFERROR(__xludf.DUMMYFUNCTION("""COMPUTED_VALUE"""),"Yes")</f>
        <v>Yes</v>
      </c>
      <c r="O36" s="13" t="str">
        <f>IFERROR(__xludf.DUMMYFUNCTION("""COMPUTED_VALUE"""),"Unclear")</f>
        <v>Unclear</v>
      </c>
      <c r="P36" s="13" t="str">
        <f>IFERROR(__xludf.DUMMYFUNCTION("""COMPUTED_VALUE"""),"Yes")</f>
        <v>Yes</v>
      </c>
      <c r="Q36" s="13" t="str">
        <f>IFERROR(__xludf.DUMMYFUNCTION("""COMPUTED_VALUE"""),"Yes")</f>
        <v>Yes</v>
      </c>
      <c r="R36" s="13" t="str">
        <f>IFERROR(__xludf.DUMMYFUNCTION("""COMPUTED_VALUE"""),"Unclear")</f>
        <v>Unclear</v>
      </c>
      <c r="S36" s="13" t="str">
        <f>IFERROR(__xludf.DUMMYFUNCTION("""COMPUTED_VALUE"""),"N/A")</f>
        <v>N/A</v>
      </c>
      <c r="T36" s="13" t="str">
        <f>IFERROR(__xludf.DUMMYFUNCTION("""COMPUTED_VALUE"""),"N/A")</f>
        <v>N/A</v>
      </c>
      <c r="U36" s="13" t="str">
        <f>IFERROR(__xludf.DUMMYFUNCTION("""COMPUTED_VALUE"""),"Some concerns")</f>
        <v>Some concerns</v>
      </c>
      <c r="V36" s="13" t="str">
        <f>IFERROR(__xludf.DUMMYFUNCTION("""COMPUTED_VALUE"""),"Some concerns")</f>
        <v>Some concerns</v>
      </c>
      <c r="W36" s="13" t="str">
        <f>IFERROR(__xludf.DUMMYFUNCTION("""COMPUTED_VALUE"""),"Low")</f>
        <v>Low</v>
      </c>
    </row>
    <row r="37" ht="16.5" customHeight="1">
      <c r="A37" s="5" t="str">
        <f>IFERROR(__xludf.DUMMYFUNCTION("""COMPUTED_VALUE"""),"SCOPUS-000063")</f>
        <v>SCOPUS-000063</v>
      </c>
      <c r="B37" s="13" t="str">
        <f>IFERROR(__xludf.DUMMYFUNCTION("""COMPUTED_VALUE"""),"Yes")</f>
        <v>Yes</v>
      </c>
      <c r="C37" s="13" t="str">
        <f>IFERROR(__xludf.DUMMYFUNCTION("""COMPUTED_VALUE"""),"Yes")</f>
        <v>Yes</v>
      </c>
      <c r="D37" s="13" t="str">
        <f>IFERROR(__xludf.DUMMYFUNCTION("""COMPUTED_VALUE"""),"Yes")</f>
        <v>Yes</v>
      </c>
      <c r="E37" s="13" t="str">
        <f>IFERROR(__xludf.DUMMYFUNCTION("""COMPUTED_VALUE"""),"Yes")</f>
        <v>Yes</v>
      </c>
      <c r="F37" s="13" t="str">
        <f>IFERROR(__xludf.DUMMYFUNCTION("""COMPUTED_VALUE"""),"Yes")</f>
        <v>Yes</v>
      </c>
      <c r="G37" s="13" t="str">
        <f>IFERROR(__xludf.DUMMYFUNCTION("""COMPUTED_VALUE"""),"Yes")</f>
        <v>Yes</v>
      </c>
      <c r="H37" s="13" t="str">
        <f>IFERROR(__xludf.DUMMYFUNCTION("""COMPUTED_VALUE"""),"Partial")</f>
        <v>Partial</v>
      </c>
      <c r="I37" s="13" t="str">
        <f>IFERROR(__xludf.DUMMYFUNCTION("""COMPUTED_VALUE"""),"Yes")</f>
        <v>Yes</v>
      </c>
      <c r="J37" s="13" t="str">
        <f>IFERROR(__xludf.DUMMYFUNCTION("""COMPUTED_VALUE"""),"Yes")</f>
        <v>Yes</v>
      </c>
      <c r="K37" s="13" t="str">
        <f>IFERROR(__xludf.DUMMYFUNCTION("""COMPUTED_VALUE"""),"Yes")</f>
        <v>Yes</v>
      </c>
      <c r="L37" s="13" t="str">
        <f>IFERROR(__xludf.DUMMYFUNCTION("""COMPUTED_VALUE"""),"Yes")</f>
        <v>Yes</v>
      </c>
      <c r="M37" s="13" t="str">
        <f>IFERROR(__xludf.DUMMYFUNCTION("""COMPUTED_VALUE"""),"Partial")</f>
        <v>Partial</v>
      </c>
      <c r="N37" s="13" t="str">
        <f>IFERROR(__xludf.DUMMYFUNCTION("""COMPUTED_VALUE"""),"Yes")</f>
        <v>Yes</v>
      </c>
      <c r="O37" s="13" t="str">
        <f>IFERROR(__xludf.DUMMYFUNCTION("""COMPUTED_VALUE"""),"Unclear")</f>
        <v>Unclear</v>
      </c>
      <c r="P37" s="13" t="str">
        <f>IFERROR(__xludf.DUMMYFUNCTION("""COMPUTED_VALUE"""),"Yes")</f>
        <v>Yes</v>
      </c>
      <c r="Q37" s="13" t="str">
        <f>IFERROR(__xludf.DUMMYFUNCTION("""COMPUTED_VALUE"""),"Partial")</f>
        <v>Partial</v>
      </c>
      <c r="R37" s="13" t="str">
        <f>IFERROR(__xludf.DUMMYFUNCTION("""COMPUTED_VALUE"""),"Unclear")</f>
        <v>Unclear</v>
      </c>
      <c r="S37" s="13" t="str">
        <f>IFERROR(__xludf.DUMMYFUNCTION("""COMPUTED_VALUE"""),"Yes")</f>
        <v>Yes</v>
      </c>
      <c r="T37" s="13" t="str">
        <f>IFERROR(__xludf.DUMMYFUNCTION("""COMPUTED_VALUE"""),"Yes")</f>
        <v>Yes</v>
      </c>
      <c r="U37" s="13" t="str">
        <f>IFERROR(__xludf.DUMMYFUNCTION("""COMPUTED_VALUE"""),"Some concerns")</f>
        <v>Some concerns</v>
      </c>
      <c r="V37" s="13" t="str">
        <f>IFERROR(__xludf.DUMMYFUNCTION("""COMPUTED_VALUE"""),"Some concerns")</f>
        <v>Some concerns</v>
      </c>
      <c r="W37" s="13" t="str">
        <f>IFERROR(__xludf.DUMMYFUNCTION("""COMPUTED_VALUE"""),"Some concerns")</f>
        <v>Some concerns</v>
      </c>
    </row>
    <row r="38" ht="16.5" customHeight="1">
      <c r="A38" s="5" t="str">
        <f>IFERROR(__xludf.DUMMYFUNCTION("""COMPUTED_VALUE"""),"SCOPUS-000017")</f>
        <v>SCOPUS-000017</v>
      </c>
      <c r="B38" s="13" t="str">
        <f>IFERROR(__xludf.DUMMYFUNCTION("""COMPUTED_VALUE"""),"Yes")</f>
        <v>Yes</v>
      </c>
      <c r="C38" s="13" t="str">
        <f>IFERROR(__xludf.DUMMYFUNCTION("""COMPUTED_VALUE"""),"Yes")</f>
        <v>Yes</v>
      </c>
      <c r="D38" s="13" t="str">
        <f>IFERROR(__xludf.DUMMYFUNCTION("""COMPUTED_VALUE"""),"Yes")</f>
        <v>Yes</v>
      </c>
      <c r="E38" s="13" t="str">
        <f>IFERROR(__xludf.DUMMYFUNCTION("""COMPUTED_VALUE"""),"Yes")</f>
        <v>Yes</v>
      </c>
      <c r="F38" s="13" t="str">
        <f>IFERROR(__xludf.DUMMYFUNCTION("""COMPUTED_VALUE"""),"Yes")</f>
        <v>Yes</v>
      </c>
      <c r="G38" s="13" t="str">
        <f>IFERROR(__xludf.DUMMYFUNCTION("""COMPUTED_VALUE"""),"Yes")</f>
        <v>Yes</v>
      </c>
      <c r="H38" s="13" t="str">
        <f>IFERROR(__xludf.DUMMYFUNCTION("""COMPUTED_VALUE"""),"Partial")</f>
        <v>Partial</v>
      </c>
      <c r="I38" s="13" t="str">
        <f>IFERROR(__xludf.DUMMYFUNCTION("""COMPUTED_VALUE"""),"No")</f>
        <v>No</v>
      </c>
      <c r="J38" s="13" t="str">
        <f>IFERROR(__xludf.DUMMYFUNCTION("""COMPUTED_VALUE"""),"Yes")</f>
        <v>Yes</v>
      </c>
      <c r="K38" s="13" t="str">
        <f>IFERROR(__xludf.DUMMYFUNCTION("""COMPUTED_VALUE"""),"Yes")</f>
        <v>Yes</v>
      </c>
      <c r="L38" s="13" t="str">
        <f>IFERROR(__xludf.DUMMYFUNCTION("""COMPUTED_VALUE"""),"Yes")</f>
        <v>Yes</v>
      </c>
      <c r="M38" s="13" t="str">
        <f>IFERROR(__xludf.DUMMYFUNCTION("""COMPUTED_VALUE"""),"Yes")</f>
        <v>Yes</v>
      </c>
      <c r="N38" s="13" t="str">
        <f>IFERROR(__xludf.DUMMYFUNCTION("""COMPUTED_VALUE"""),"Yes")</f>
        <v>Yes</v>
      </c>
      <c r="O38" s="13" t="str">
        <f>IFERROR(__xludf.DUMMYFUNCTION("""COMPUTED_VALUE"""),"Unclear")</f>
        <v>Unclear</v>
      </c>
      <c r="P38" s="13" t="str">
        <f>IFERROR(__xludf.DUMMYFUNCTION("""COMPUTED_VALUE"""),"Yes")</f>
        <v>Yes</v>
      </c>
      <c r="Q38" s="13" t="str">
        <f>IFERROR(__xludf.DUMMYFUNCTION("""COMPUTED_VALUE"""),"Partial")</f>
        <v>Partial</v>
      </c>
      <c r="R38" s="13" t="str">
        <f>IFERROR(__xludf.DUMMYFUNCTION("""COMPUTED_VALUE"""),"Unclear")</f>
        <v>Unclear</v>
      </c>
      <c r="S38" s="13" t="str">
        <f>IFERROR(__xludf.DUMMYFUNCTION("""COMPUTED_VALUE"""),"N/A")</f>
        <v>N/A</v>
      </c>
      <c r="T38" s="13" t="str">
        <f>IFERROR(__xludf.DUMMYFUNCTION("""COMPUTED_VALUE"""),"N/A")</f>
        <v>N/A</v>
      </c>
      <c r="U38" s="13" t="str">
        <f>IFERROR(__xludf.DUMMYFUNCTION("""COMPUTED_VALUE"""),"Some concerns")</f>
        <v>Some concerns</v>
      </c>
      <c r="V38" s="13" t="str">
        <f>IFERROR(__xludf.DUMMYFUNCTION("""COMPUTED_VALUE"""),"Some concerns")</f>
        <v>Some concerns</v>
      </c>
      <c r="W38" s="13" t="str">
        <f>IFERROR(__xludf.DUMMYFUNCTION("""COMPUTED_VALUE"""),"Low")</f>
        <v>Low</v>
      </c>
    </row>
    <row r="39" ht="16.5" customHeight="1">
      <c r="A39" s="5" t="str">
        <f>IFERROR(__xludf.DUMMYFUNCTION("""COMPUTED_VALUE"""),"SCOPUS-000244")</f>
        <v>SCOPUS-000244</v>
      </c>
      <c r="B39" s="13" t="str">
        <f>IFERROR(__xludf.DUMMYFUNCTION("""COMPUTED_VALUE"""),"Yes")</f>
        <v>Yes</v>
      </c>
      <c r="C39" s="13" t="str">
        <f>IFERROR(__xludf.DUMMYFUNCTION("""COMPUTED_VALUE"""),"Yes")</f>
        <v>Yes</v>
      </c>
      <c r="D39" s="13" t="str">
        <f>IFERROR(__xludf.DUMMYFUNCTION("""COMPUTED_VALUE"""),"Yes")</f>
        <v>Yes</v>
      </c>
      <c r="E39" s="13" t="str">
        <f>IFERROR(__xludf.DUMMYFUNCTION("""COMPUTED_VALUE"""),"Yes")</f>
        <v>Yes</v>
      </c>
      <c r="F39" s="13" t="str">
        <f>IFERROR(__xludf.DUMMYFUNCTION("""COMPUTED_VALUE"""),"Yes")</f>
        <v>Yes</v>
      </c>
      <c r="G39" s="13" t="str">
        <f>IFERROR(__xludf.DUMMYFUNCTION("""COMPUTED_VALUE"""),"Yes")</f>
        <v>Yes</v>
      </c>
      <c r="H39" s="13" t="str">
        <f>IFERROR(__xludf.DUMMYFUNCTION("""COMPUTED_VALUE"""),"Partial")</f>
        <v>Partial</v>
      </c>
      <c r="I39" s="13" t="str">
        <f>IFERROR(__xludf.DUMMYFUNCTION("""COMPUTED_VALUE"""),"No")</f>
        <v>No</v>
      </c>
      <c r="J39" s="13" t="str">
        <f>IFERROR(__xludf.DUMMYFUNCTION("""COMPUTED_VALUE"""),"Yes")</f>
        <v>Yes</v>
      </c>
      <c r="K39" s="13" t="str">
        <f>IFERROR(__xludf.DUMMYFUNCTION("""COMPUTED_VALUE"""),"Yes")</f>
        <v>Yes</v>
      </c>
      <c r="L39" s="13" t="str">
        <f>IFERROR(__xludf.DUMMYFUNCTION("""COMPUTED_VALUE"""),"Yes")</f>
        <v>Yes</v>
      </c>
      <c r="M39" s="13" t="str">
        <f>IFERROR(__xludf.DUMMYFUNCTION("""COMPUTED_VALUE"""),"Yes")</f>
        <v>Yes</v>
      </c>
      <c r="N39" s="13" t="str">
        <f>IFERROR(__xludf.DUMMYFUNCTION("""COMPUTED_VALUE"""),"Yes")</f>
        <v>Yes</v>
      </c>
      <c r="O39" s="13" t="str">
        <f>IFERROR(__xludf.DUMMYFUNCTION("""COMPUTED_VALUE"""),"Unclear")</f>
        <v>Unclear</v>
      </c>
      <c r="P39" s="13" t="str">
        <f>IFERROR(__xludf.DUMMYFUNCTION("""COMPUTED_VALUE"""),"Yes")</f>
        <v>Yes</v>
      </c>
      <c r="Q39" s="13" t="str">
        <f>IFERROR(__xludf.DUMMYFUNCTION("""COMPUTED_VALUE"""),"Yes")</f>
        <v>Yes</v>
      </c>
      <c r="R39" s="13" t="str">
        <f>IFERROR(__xludf.DUMMYFUNCTION("""COMPUTED_VALUE"""),"Unclear")</f>
        <v>Unclear</v>
      </c>
      <c r="S39" s="13" t="str">
        <f>IFERROR(__xludf.DUMMYFUNCTION("""COMPUTED_VALUE"""),"N/A")</f>
        <v>N/A</v>
      </c>
      <c r="T39" s="13" t="str">
        <f>IFERROR(__xludf.DUMMYFUNCTION("""COMPUTED_VALUE"""),"N/A")</f>
        <v>N/A</v>
      </c>
      <c r="U39" s="13" t="str">
        <f>IFERROR(__xludf.DUMMYFUNCTION("""COMPUTED_VALUE"""),"Some concerns")</f>
        <v>Some concerns</v>
      </c>
      <c r="V39" s="13" t="str">
        <f>IFERROR(__xludf.DUMMYFUNCTION("""COMPUTED_VALUE"""),"Some concerns")</f>
        <v>Some concerns</v>
      </c>
      <c r="W39" s="13" t="str">
        <f>IFERROR(__xludf.DUMMYFUNCTION("""COMPUTED_VALUE"""),"Low")</f>
        <v>Low</v>
      </c>
    </row>
    <row r="40" ht="16.5" customHeight="1">
      <c r="A40" s="5" t="str">
        <f>IFERROR(__xludf.DUMMYFUNCTION("""COMPUTED_VALUE"""),"SCOPUS-000064")</f>
        <v>SCOPUS-000064</v>
      </c>
      <c r="B40" s="13" t="str">
        <f>IFERROR(__xludf.DUMMYFUNCTION("""COMPUTED_VALUE"""),"Yes")</f>
        <v>Yes</v>
      </c>
      <c r="C40" s="13" t="str">
        <f>IFERROR(__xludf.DUMMYFUNCTION("""COMPUTED_VALUE"""),"Yes")</f>
        <v>Yes</v>
      </c>
      <c r="D40" s="13" t="str">
        <f>IFERROR(__xludf.DUMMYFUNCTION("""COMPUTED_VALUE"""),"Yes")</f>
        <v>Yes</v>
      </c>
      <c r="E40" s="13" t="str">
        <f>IFERROR(__xludf.DUMMYFUNCTION("""COMPUTED_VALUE"""),"Yes")</f>
        <v>Yes</v>
      </c>
      <c r="F40" s="13" t="str">
        <f>IFERROR(__xludf.DUMMYFUNCTION("""COMPUTED_VALUE"""),"Yes")</f>
        <v>Yes</v>
      </c>
      <c r="G40" s="13" t="str">
        <f>IFERROR(__xludf.DUMMYFUNCTION("""COMPUTED_VALUE"""),"Yes")</f>
        <v>Yes</v>
      </c>
      <c r="H40" s="13" t="str">
        <f>IFERROR(__xludf.DUMMYFUNCTION("""COMPUTED_VALUE"""),"Partial")</f>
        <v>Partial</v>
      </c>
      <c r="I40" s="13" t="str">
        <f>IFERROR(__xludf.DUMMYFUNCTION("""COMPUTED_VALUE"""),"Yes")</f>
        <v>Yes</v>
      </c>
      <c r="J40" s="13" t="str">
        <f>IFERROR(__xludf.DUMMYFUNCTION("""COMPUTED_VALUE"""),"Yes")</f>
        <v>Yes</v>
      </c>
      <c r="K40" s="13" t="str">
        <f>IFERROR(__xludf.DUMMYFUNCTION("""COMPUTED_VALUE"""),"Yes")</f>
        <v>Yes</v>
      </c>
      <c r="L40" s="13" t="str">
        <f>IFERROR(__xludf.DUMMYFUNCTION("""COMPUTED_VALUE"""),"Yes")</f>
        <v>Yes</v>
      </c>
      <c r="M40" s="13" t="str">
        <f>IFERROR(__xludf.DUMMYFUNCTION("""COMPUTED_VALUE"""),"Yes")</f>
        <v>Yes</v>
      </c>
      <c r="N40" s="13" t="str">
        <f>IFERROR(__xludf.DUMMYFUNCTION("""COMPUTED_VALUE"""),"Yes")</f>
        <v>Yes</v>
      </c>
      <c r="O40" s="13" t="str">
        <f>IFERROR(__xludf.DUMMYFUNCTION("""COMPUTED_VALUE"""),"Yes")</f>
        <v>Yes</v>
      </c>
      <c r="P40" s="13" t="str">
        <f>IFERROR(__xludf.DUMMYFUNCTION("""COMPUTED_VALUE"""),"Yes")</f>
        <v>Yes</v>
      </c>
      <c r="Q40" s="13" t="str">
        <f>IFERROR(__xludf.DUMMYFUNCTION("""COMPUTED_VALUE"""),"Partial")</f>
        <v>Partial</v>
      </c>
      <c r="R40" s="13" t="str">
        <f>IFERROR(__xludf.DUMMYFUNCTION("""COMPUTED_VALUE"""),"Yes")</f>
        <v>Yes</v>
      </c>
      <c r="S40" s="13" t="str">
        <f>IFERROR(__xludf.DUMMYFUNCTION("""COMPUTED_VALUE"""),"N/A")</f>
        <v>N/A</v>
      </c>
      <c r="T40" s="13" t="str">
        <f>IFERROR(__xludf.DUMMYFUNCTION("""COMPUTED_VALUE"""),"N/A")</f>
        <v>N/A</v>
      </c>
      <c r="U40" s="13" t="str">
        <f>IFERROR(__xludf.DUMMYFUNCTION("""COMPUTED_VALUE"""),"Low")</f>
        <v>Low</v>
      </c>
      <c r="V40" s="13" t="str">
        <f>IFERROR(__xludf.DUMMYFUNCTION("""COMPUTED_VALUE"""),"Low")</f>
        <v>Low</v>
      </c>
      <c r="W40" s="13" t="str">
        <f>IFERROR(__xludf.DUMMYFUNCTION("""COMPUTED_VALUE"""),"Low")</f>
        <v>Low</v>
      </c>
    </row>
    <row r="41" ht="16.5" customHeight="1">
      <c r="A41" s="5" t="str">
        <f>IFERROR(__xludf.DUMMYFUNCTION("""COMPUTED_VALUE"""),"SCOPUS-000320")</f>
        <v>SCOPUS-000320</v>
      </c>
      <c r="B41" s="13" t="str">
        <f>IFERROR(__xludf.DUMMYFUNCTION("""COMPUTED_VALUE"""),"Yes")</f>
        <v>Yes</v>
      </c>
      <c r="C41" s="13" t="str">
        <f>IFERROR(__xludf.DUMMYFUNCTION("""COMPUTED_VALUE"""),"Yes")</f>
        <v>Yes</v>
      </c>
      <c r="D41" s="13" t="str">
        <f>IFERROR(__xludf.DUMMYFUNCTION("""COMPUTED_VALUE"""),"Yes")</f>
        <v>Yes</v>
      </c>
      <c r="E41" s="13" t="str">
        <f>IFERROR(__xludf.DUMMYFUNCTION("""COMPUTED_VALUE"""),"Yes")</f>
        <v>Yes</v>
      </c>
      <c r="F41" s="13" t="str">
        <f>IFERROR(__xludf.DUMMYFUNCTION("""COMPUTED_VALUE"""),"Yes")</f>
        <v>Yes</v>
      </c>
      <c r="G41" s="13" t="str">
        <f>IFERROR(__xludf.DUMMYFUNCTION("""COMPUTED_VALUE"""),"Yes")</f>
        <v>Yes</v>
      </c>
      <c r="H41" s="13" t="str">
        <f>IFERROR(__xludf.DUMMYFUNCTION("""COMPUTED_VALUE"""),"Partial")</f>
        <v>Partial</v>
      </c>
      <c r="I41" s="13" t="str">
        <f>IFERROR(__xludf.DUMMYFUNCTION("""COMPUTED_VALUE"""),"No")</f>
        <v>No</v>
      </c>
      <c r="J41" s="13" t="str">
        <f>IFERROR(__xludf.DUMMYFUNCTION("""COMPUTED_VALUE"""),"Yes")</f>
        <v>Yes</v>
      </c>
      <c r="K41" s="13" t="str">
        <f>IFERROR(__xludf.DUMMYFUNCTION("""COMPUTED_VALUE"""),"Yes")</f>
        <v>Yes</v>
      </c>
      <c r="L41" s="13" t="str">
        <f>IFERROR(__xludf.DUMMYFUNCTION("""COMPUTED_VALUE"""),"Yes")</f>
        <v>Yes</v>
      </c>
      <c r="M41" s="13" t="str">
        <f>IFERROR(__xludf.DUMMYFUNCTION("""COMPUTED_VALUE"""),"Yes")</f>
        <v>Yes</v>
      </c>
      <c r="N41" s="13" t="str">
        <f>IFERROR(__xludf.DUMMYFUNCTION("""COMPUTED_VALUE"""),"Yes")</f>
        <v>Yes</v>
      </c>
      <c r="O41" s="13" t="str">
        <f>IFERROR(__xludf.DUMMYFUNCTION("""COMPUTED_VALUE"""),"No")</f>
        <v>No</v>
      </c>
      <c r="P41" s="13" t="str">
        <f>IFERROR(__xludf.DUMMYFUNCTION("""COMPUTED_VALUE"""),"Yes")</f>
        <v>Yes</v>
      </c>
      <c r="Q41" s="13" t="str">
        <f>IFERROR(__xludf.DUMMYFUNCTION("""COMPUTED_VALUE"""),"Partial")</f>
        <v>Partial</v>
      </c>
      <c r="R41" s="13" t="str">
        <f>IFERROR(__xludf.DUMMYFUNCTION("""COMPUTED_VALUE"""),"No")</f>
        <v>No</v>
      </c>
      <c r="S41" s="13" t="str">
        <f>IFERROR(__xludf.DUMMYFUNCTION("""COMPUTED_VALUE"""),"N/A")</f>
        <v>N/A</v>
      </c>
      <c r="T41" s="13" t="str">
        <f>IFERROR(__xludf.DUMMYFUNCTION("""COMPUTED_VALUE"""),"N/A")</f>
        <v>N/A</v>
      </c>
      <c r="U41" s="13" t="str">
        <f>IFERROR(__xludf.DUMMYFUNCTION("""COMPUTED_VALUE"""),"High")</f>
        <v>High</v>
      </c>
      <c r="V41" s="13" t="str">
        <f>IFERROR(__xludf.DUMMYFUNCTION("""COMPUTED_VALUE"""),"High")</f>
        <v>High</v>
      </c>
      <c r="W41" s="13" t="str">
        <f>IFERROR(__xludf.DUMMYFUNCTION("""COMPUTED_VALUE"""),"Some concerns")</f>
        <v>Some concerns</v>
      </c>
    </row>
    <row r="42" ht="16.5" customHeight="1">
      <c r="A42" s="5" t="str">
        <f>IFERROR(__xludf.DUMMYFUNCTION("""COMPUTED_VALUE"""),"SCOPUS-000086")</f>
        <v>SCOPUS-000086</v>
      </c>
      <c r="B42" s="13" t="str">
        <f>IFERROR(__xludf.DUMMYFUNCTION("""COMPUTED_VALUE"""),"Yes")</f>
        <v>Yes</v>
      </c>
      <c r="C42" s="13" t="str">
        <f>IFERROR(__xludf.DUMMYFUNCTION("""COMPUTED_VALUE"""),"Yes")</f>
        <v>Yes</v>
      </c>
      <c r="D42" s="13" t="str">
        <f>IFERROR(__xludf.DUMMYFUNCTION("""COMPUTED_VALUE"""),"Yes")</f>
        <v>Yes</v>
      </c>
      <c r="E42" s="13" t="str">
        <f>IFERROR(__xludf.DUMMYFUNCTION("""COMPUTED_VALUE"""),"Yes")</f>
        <v>Yes</v>
      </c>
      <c r="F42" s="13" t="str">
        <f>IFERROR(__xludf.DUMMYFUNCTION("""COMPUTED_VALUE"""),"Yes")</f>
        <v>Yes</v>
      </c>
      <c r="G42" s="13" t="str">
        <f>IFERROR(__xludf.DUMMYFUNCTION("""COMPUTED_VALUE"""),"Yes")</f>
        <v>Yes</v>
      </c>
      <c r="H42" s="13" t="str">
        <f>IFERROR(__xludf.DUMMYFUNCTION("""COMPUTED_VALUE"""),"Partial")</f>
        <v>Partial</v>
      </c>
      <c r="I42" s="13" t="str">
        <f>IFERROR(__xludf.DUMMYFUNCTION("""COMPUTED_VALUE"""),"Partial")</f>
        <v>Partial</v>
      </c>
      <c r="J42" s="13" t="str">
        <f>IFERROR(__xludf.DUMMYFUNCTION("""COMPUTED_VALUE"""),"Yes")</f>
        <v>Yes</v>
      </c>
      <c r="K42" s="13" t="str">
        <f>IFERROR(__xludf.DUMMYFUNCTION("""COMPUTED_VALUE"""),"Yes")</f>
        <v>Yes</v>
      </c>
      <c r="L42" s="13" t="str">
        <f>IFERROR(__xludf.DUMMYFUNCTION("""COMPUTED_VALUE"""),"Yes")</f>
        <v>Yes</v>
      </c>
      <c r="M42" s="13" t="str">
        <f>IFERROR(__xludf.DUMMYFUNCTION("""COMPUTED_VALUE"""),"Yes")</f>
        <v>Yes</v>
      </c>
      <c r="N42" s="13" t="str">
        <f>IFERROR(__xludf.DUMMYFUNCTION("""COMPUTED_VALUE"""),"Yes")</f>
        <v>Yes</v>
      </c>
      <c r="O42" s="13" t="str">
        <f>IFERROR(__xludf.DUMMYFUNCTION("""COMPUTED_VALUE"""),"Yes")</f>
        <v>Yes</v>
      </c>
      <c r="P42" s="13" t="str">
        <f>IFERROR(__xludf.DUMMYFUNCTION("""COMPUTED_VALUE"""),"Yes")</f>
        <v>Yes</v>
      </c>
      <c r="Q42" s="13" t="str">
        <f>IFERROR(__xludf.DUMMYFUNCTION("""COMPUTED_VALUE"""),"Yes")</f>
        <v>Yes</v>
      </c>
      <c r="R42" s="13" t="str">
        <f>IFERROR(__xludf.DUMMYFUNCTION("""COMPUTED_VALUE"""),"Yes")</f>
        <v>Yes</v>
      </c>
      <c r="S42" s="13" t="str">
        <f>IFERROR(__xludf.DUMMYFUNCTION("""COMPUTED_VALUE"""),"N/A")</f>
        <v>N/A</v>
      </c>
      <c r="T42" s="13" t="str">
        <f>IFERROR(__xludf.DUMMYFUNCTION("""COMPUTED_VALUE"""),"N/A")</f>
        <v>N/A</v>
      </c>
      <c r="U42" s="13" t="str">
        <f>IFERROR(__xludf.DUMMYFUNCTION("""COMPUTED_VALUE"""),"Low")</f>
        <v>Low</v>
      </c>
      <c r="V42" s="13" t="str">
        <f>IFERROR(__xludf.DUMMYFUNCTION("""COMPUTED_VALUE"""),"Low")</f>
        <v>Low</v>
      </c>
      <c r="W42" s="13" t="str">
        <f>IFERROR(__xludf.DUMMYFUNCTION("""COMPUTED_VALUE"""),"Low")</f>
        <v>Low</v>
      </c>
    </row>
    <row r="43" ht="16.5" customHeight="1">
      <c r="A43" s="5" t="str">
        <f>IFERROR(__xludf.DUMMYFUNCTION("""COMPUTED_VALUE"""),"SCOPUS-000652")</f>
        <v>SCOPUS-000652</v>
      </c>
      <c r="B43" s="13" t="str">
        <f>IFERROR(__xludf.DUMMYFUNCTION("""COMPUTED_VALUE"""),"Yes")</f>
        <v>Yes</v>
      </c>
      <c r="C43" s="13" t="str">
        <f>IFERROR(__xludf.DUMMYFUNCTION("""COMPUTED_VALUE"""),"Partial")</f>
        <v>Partial</v>
      </c>
      <c r="D43" s="13" t="str">
        <f>IFERROR(__xludf.DUMMYFUNCTION("""COMPUTED_VALUE"""),"Yes")</f>
        <v>Yes</v>
      </c>
      <c r="E43" s="13" t="str">
        <f>IFERROR(__xludf.DUMMYFUNCTION("""COMPUTED_VALUE"""),"Yes")</f>
        <v>Yes</v>
      </c>
      <c r="F43" s="13" t="str">
        <f>IFERROR(__xludf.DUMMYFUNCTION("""COMPUTED_VALUE"""),"Yes")</f>
        <v>Yes</v>
      </c>
      <c r="G43" s="13" t="str">
        <f>IFERROR(__xludf.DUMMYFUNCTION("""COMPUTED_VALUE"""),"Yes")</f>
        <v>Yes</v>
      </c>
      <c r="H43" s="13" t="str">
        <f>IFERROR(__xludf.DUMMYFUNCTION("""COMPUTED_VALUE"""),"Partial")</f>
        <v>Partial</v>
      </c>
      <c r="I43" s="13" t="str">
        <f>IFERROR(__xludf.DUMMYFUNCTION("""COMPUTED_VALUE"""),"No")</f>
        <v>No</v>
      </c>
      <c r="J43" s="13" t="str">
        <f>IFERROR(__xludf.DUMMYFUNCTION("""COMPUTED_VALUE"""),"Yes")</f>
        <v>Yes</v>
      </c>
      <c r="K43" s="13" t="str">
        <f>IFERROR(__xludf.DUMMYFUNCTION("""COMPUTED_VALUE"""),"Yes")</f>
        <v>Yes</v>
      </c>
      <c r="L43" s="13" t="str">
        <f>IFERROR(__xludf.DUMMYFUNCTION("""COMPUTED_VALUE"""),"Yes")</f>
        <v>Yes</v>
      </c>
      <c r="M43" s="13" t="str">
        <f>IFERROR(__xludf.DUMMYFUNCTION("""COMPUTED_VALUE"""),"Partial")</f>
        <v>Partial</v>
      </c>
      <c r="N43" s="13" t="str">
        <f>IFERROR(__xludf.DUMMYFUNCTION("""COMPUTED_VALUE"""),"Yes")</f>
        <v>Yes</v>
      </c>
      <c r="O43" s="13" t="str">
        <f>IFERROR(__xludf.DUMMYFUNCTION("""COMPUTED_VALUE"""),"Unclear")</f>
        <v>Unclear</v>
      </c>
      <c r="P43" s="13" t="str">
        <f>IFERROR(__xludf.DUMMYFUNCTION("""COMPUTED_VALUE"""),"Yes")</f>
        <v>Yes</v>
      </c>
      <c r="Q43" s="13" t="str">
        <f>IFERROR(__xludf.DUMMYFUNCTION("""COMPUTED_VALUE"""),"Partial")</f>
        <v>Partial</v>
      </c>
      <c r="R43" s="13" t="str">
        <f>IFERROR(__xludf.DUMMYFUNCTION("""COMPUTED_VALUE"""),"Unclear")</f>
        <v>Unclear</v>
      </c>
      <c r="S43" s="13" t="str">
        <f>IFERROR(__xludf.DUMMYFUNCTION("""COMPUTED_VALUE"""),"N/A")</f>
        <v>N/A</v>
      </c>
      <c r="T43" s="13" t="str">
        <f>IFERROR(__xludf.DUMMYFUNCTION("""COMPUTED_VALUE"""),"N/A")</f>
        <v>N/A</v>
      </c>
      <c r="U43" s="13" t="str">
        <f>IFERROR(__xludf.DUMMYFUNCTION("""COMPUTED_VALUE"""),"Some concerns")</f>
        <v>Some concerns</v>
      </c>
      <c r="V43" s="13" t="str">
        <f>IFERROR(__xludf.DUMMYFUNCTION("""COMPUTED_VALUE"""),"Some concerns")</f>
        <v>Some concerns</v>
      </c>
      <c r="W43" s="13" t="str">
        <f>IFERROR(__xludf.DUMMYFUNCTION("""COMPUTED_VALUE"""),"Some concerns")</f>
        <v>Some concerns</v>
      </c>
    </row>
    <row r="44" ht="16.5" customHeight="1">
      <c r="A44" s="5" t="str">
        <f>IFERROR(__xludf.DUMMYFUNCTION("""COMPUTED_VALUE"""),"SCOPUS-000146")</f>
        <v>SCOPUS-000146</v>
      </c>
      <c r="B44" s="13" t="str">
        <f>IFERROR(__xludf.DUMMYFUNCTION("""COMPUTED_VALUE"""),"Yes")</f>
        <v>Yes</v>
      </c>
      <c r="C44" s="13" t="str">
        <f>IFERROR(__xludf.DUMMYFUNCTION("""COMPUTED_VALUE"""),"Yes")</f>
        <v>Yes</v>
      </c>
      <c r="D44" s="13" t="str">
        <f>IFERROR(__xludf.DUMMYFUNCTION("""COMPUTED_VALUE"""),"Yes")</f>
        <v>Yes</v>
      </c>
      <c r="E44" s="13" t="str">
        <f>IFERROR(__xludf.DUMMYFUNCTION("""COMPUTED_VALUE"""),"Yes")</f>
        <v>Yes</v>
      </c>
      <c r="F44" s="13" t="str">
        <f>IFERROR(__xludf.DUMMYFUNCTION("""COMPUTED_VALUE"""),"Yes")</f>
        <v>Yes</v>
      </c>
      <c r="G44" s="13" t="str">
        <f>IFERROR(__xludf.DUMMYFUNCTION("""COMPUTED_VALUE"""),"Yes")</f>
        <v>Yes</v>
      </c>
      <c r="H44" s="13" t="str">
        <f>IFERROR(__xludf.DUMMYFUNCTION("""COMPUTED_VALUE"""),"Partial")</f>
        <v>Partial</v>
      </c>
      <c r="I44" s="13" t="str">
        <f>IFERROR(__xludf.DUMMYFUNCTION("""COMPUTED_VALUE"""),"No")</f>
        <v>No</v>
      </c>
      <c r="J44" s="13" t="str">
        <f>IFERROR(__xludf.DUMMYFUNCTION("""COMPUTED_VALUE"""),"Yes")</f>
        <v>Yes</v>
      </c>
      <c r="K44" s="13" t="str">
        <f>IFERROR(__xludf.DUMMYFUNCTION("""COMPUTED_VALUE"""),"Yes")</f>
        <v>Yes</v>
      </c>
      <c r="L44" s="13" t="str">
        <f>IFERROR(__xludf.DUMMYFUNCTION("""COMPUTED_VALUE"""),"Yes")</f>
        <v>Yes</v>
      </c>
      <c r="M44" s="13" t="str">
        <f>IFERROR(__xludf.DUMMYFUNCTION("""COMPUTED_VALUE"""),"Partial")</f>
        <v>Partial</v>
      </c>
      <c r="N44" s="13" t="str">
        <f>IFERROR(__xludf.DUMMYFUNCTION("""COMPUTED_VALUE"""),"Yes")</f>
        <v>Yes</v>
      </c>
      <c r="O44" s="13" t="str">
        <f>IFERROR(__xludf.DUMMYFUNCTION("""COMPUTED_VALUE"""),"Unclear")</f>
        <v>Unclear</v>
      </c>
      <c r="P44" s="13" t="str">
        <f>IFERROR(__xludf.DUMMYFUNCTION("""COMPUTED_VALUE"""),"Yes")</f>
        <v>Yes</v>
      </c>
      <c r="Q44" s="13" t="str">
        <f>IFERROR(__xludf.DUMMYFUNCTION("""COMPUTED_VALUE"""),"Partial")</f>
        <v>Partial</v>
      </c>
      <c r="R44" s="13" t="str">
        <f>IFERROR(__xludf.DUMMYFUNCTION("""COMPUTED_VALUE"""),"Unclear")</f>
        <v>Unclear</v>
      </c>
      <c r="S44" s="13" t="str">
        <f>IFERROR(__xludf.DUMMYFUNCTION("""COMPUTED_VALUE"""),"N/A")</f>
        <v>N/A</v>
      </c>
      <c r="T44" s="13" t="str">
        <f>IFERROR(__xludf.DUMMYFUNCTION("""COMPUTED_VALUE"""),"N/A")</f>
        <v>N/A</v>
      </c>
      <c r="U44" s="13" t="str">
        <f>IFERROR(__xludf.DUMMYFUNCTION("""COMPUTED_VALUE"""),"Some concerns")</f>
        <v>Some concerns</v>
      </c>
      <c r="V44" s="13" t="str">
        <f>IFERROR(__xludf.DUMMYFUNCTION("""COMPUTED_VALUE"""),"Some concerns")</f>
        <v>Some concerns</v>
      </c>
      <c r="W44" s="13" t="str">
        <f>IFERROR(__xludf.DUMMYFUNCTION("""COMPUTED_VALUE"""),"Some concerns")</f>
        <v>Some concerns</v>
      </c>
    </row>
    <row r="45" ht="16.5" customHeight="1">
      <c r="A45" s="5" t="str">
        <f>IFERROR(__xludf.DUMMYFUNCTION("""COMPUTED_VALUE"""),"SCOPUS-000407")</f>
        <v>SCOPUS-000407</v>
      </c>
      <c r="B45" s="13" t="str">
        <f>IFERROR(__xludf.DUMMYFUNCTION("""COMPUTED_VALUE"""),"Yes")</f>
        <v>Yes</v>
      </c>
      <c r="C45" s="13" t="str">
        <f>IFERROR(__xludf.DUMMYFUNCTION("""COMPUTED_VALUE"""),"Partial")</f>
        <v>Partial</v>
      </c>
      <c r="D45" s="13" t="str">
        <f>IFERROR(__xludf.DUMMYFUNCTION("""COMPUTED_VALUE"""),"Yes")</f>
        <v>Yes</v>
      </c>
      <c r="E45" s="13" t="str">
        <f>IFERROR(__xludf.DUMMYFUNCTION("""COMPUTED_VALUE"""),"Yes")</f>
        <v>Yes</v>
      </c>
      <c r="F45" s="13" t="str">
        <f>IFERROR(__xludf.DUMMYFUNCTION("""COMPUTED_VALUE"""),"Yes")</f>
        <v>Yes</v>
      </c>
      <c r="G45" s="13" t="str">
        <f>IFERROR(__xludf.DUMMYFUNCTION("""COMPUTED_VALUE"""),"Yes")</f>
        <v>Yes</v>
      </c>
      <c r="H45" s="13" t="str">
        <f>IFERROR(__xludf.DUMMYFUNCTION("""COMPUTED_VALUE"""),"Partial")</f>
        <v>Partial</v>
      </c>
      <c r="I45" s="13" t="str">
        <f>IFERROR(__xludf.DUMMYFUNCTION("""COMPUTED_VALUE"""),"No")</f>
        <v>No</v>
      </c>
      <c r="J45" s="13" t="str">
        <f>IFERROR(__xludf.DUMMYFUNCTION("""COMPUTED_VALUE"""),"Yes")</f>
        <v>Yes</v>
      </c>
      <c r="K45" s="13" t="str">
        <f>IFERROR(__xludf.DUMMYFUNCTION("""COMPUTED_VALUE"""),"Yes")</f>
        <v>Yes</v>
      </c>
      <c r="L45" s="13" t="str">
        <f>IFERROR(__xludf.DUMMYFUNCTION("""COMPUTED_VALUE"""),"Yes")</f>
        <v>Yes</v>
      </c>
      <c r="M45" s="13" t="str">
        <f>IFERROR(__xludf.DUMMYFUNCTION("""COMPUTED_VALUE"""),"Partial")</f>
        <v>Partial</v>
      </c>
      <c r="N45" s="13" t="str">
        <f>IFERROR(__xludf.DUMMYFUNCTION("""COMPUTED_VALUE"""),"Unclear")</f>
        <v>Unclear</v>
      </c>
      <c r="O45" s="13" t="str">
        <f>IFERROR(__xludf.DUMMYFUNCTION("""COMPUTED_VALUE"""),"Unclear")</f>
        <v>Unclear</v>
      </c>
      <c r="P45" s="13" t="str">
        <f>IFERROR(__xludf.DUMMYFUNCTION("""COMPUTED_VALUE"""),"Yes")</f>
        <v>Yes</v>
      </c>
      <c r="Q45" s="13" t="str">
        <f>IFERROR(__xludf.DUMMYFUNCTION("""COMPUTED_VALUE"""),"Partial")</f>
        <v>Partial</v>
      </c>
      <c r="R45" s="13" t="str">
        <f>IFERROR(__xludf.DUMMYFUNCTION("""COMPUTED_VALUE"""),"Unclear")</f>
        <v>Unclear</v>
      </c>
      <c r="S45" s="13" t="str">
        <f>IFERROR(__xludf.DUMMYFUNCTION("""COMPUTED_VALUE"""),"N/A")</f>
        <v>N/A</v>
      </c>
      <c r="T45" s="13" t="str">
        <f>IFERROR(__xludf.DUMMYFUNCTION("""COMPUTED_VALUE"""),"N/A")</f>
        <v>N/A</v>
      </c>
      <c r="U45" s="13" t="str">
        <f>IFERROR(__xludf.DUMMYFUNCTION("""COMPUTED_VALUE"""),"Some concerns")</f>
        <v>Some concerns</v>
      </c>
      <c r="V45" s="13" t="str">
        <f>IFERROR(__xludf.DUMMYFUNCTION("""COMPUTED_VALUE"""),"Some concerns")</f>
        <v>Some concerns</v>
      </c>
      <c r="W45" s="13" t="str">
        <f>IFERROR(__xludf.DUMMYFUNCTION("""COMPUTED_VALUE"""),"Some concerns")</f>
        <v>Some concerns</v>
      </c>
    </row>
    <row r="46" ht="16.5" customHeight="1">
      <c r="A46" s="5" t="str">
        <f>IFERROR(__xludf.DUMMYFUNCTION("""COMPUTED_VALUE"""),"SCOPUS-000352")</f>
        <v>SCOPUS-000352</v>
      </c>
      <c r="B46" s="13" t="str">
        <f>IFERROR(__xludf.DUMMYFUNCTION("""COMPUTED_VALUE"""),"Yes")</f>
        <v>Yes</v>
      </c>
      <c r="C46" s="13" t="str">
        <f>IFERROR(__xludf.DUMMYFUNCTION("""COMPUTED_VALUE"""),"Yes")</f>
        <v>Yes</v>
      </c>
      <c r="D46" s="13" t="str">
        <f>IFERROR(__xludf.DUMMYFUNCTION("""COMPUTED_VALUE"""),"Yes")</f>
        <v>Yes</v>
      </c>
      <c r="E46" s="13" t="str">
        <f>IFERROR(__xludf.DUMMYFUNCTION("""COMPUTED_VALUE"""),"Yes")</f>
        <v>Yes</v>
      </c>
      <c r="F46" s="13" t="str">
        <f>IFERROR(__xludf.DUMMYFUNCTION("""COMPUTED_VALUE"""),"Yes")</f>
        <v>Yes</v>
      </c>
      <c r="G46" s="13" t="str">
        <f>IFERROR(__xludf.DUMMYFUNCTION("""COMPUTED_VALUE"""),"Yes")</f>
        <v>Yes</v>
      </c>
      <c r="H46" s="13" t="str">
        <f>IFERROR(__xludf.DUMMYFUNCTION("""COMPUTED_VALUE"""),"Partial")</f>
        <v>Partial</v>
      </c>
      <c r="I46" s="13" t="str">
        <f>IFERROR(__xludf.DUMMYFUNCTION("""COMPUTED_VALUE"""),"No")</f>
        <v>No</v>
      </c>
      <c r="J46" s="13" t="str">
        <f>IFERROR(__xludf.DUMMYFUNCTION("""COMPUTED_VALUE"""),"Yes")</f>
        <v>Yes</v>
      </c>
      <c r="K46" s="13" t="str">
        <f>IFERROR(__xludf.DUMMYFUNCTION("""COMPUTED_VALUE"""),"Yes")</f>
        <v>Yes</v>
      </c>
      <c r="L46" s="13" t="str">
        <f>IFERROR(__xludf.DUMMYFUNCTION("""COMPUTED_VALUE"""),"Yes")</f>
        <v>Yes</v>
      </c>
      <c r="M46" s="13" t="str">
        <f>IFERROR(__xludf.DUMMYFUNCTION("""COMPUTED_VALUE"""),"Yes")</f>
        <v>Yes</v>
      </c>
      <c r="N46" s="13" t="str">
        <f>IFERROR(__xludf.DUMMYFUNCTION("""COMPUTED_VALUE"""),"Yes")</f>
        <v>Yes</v>
      </c>
      <c r="O46" s="13" t="str">
        <f>IFERROR(__xludf.DUMMYFUNCTION("""COMPUTED_VALUE"""),"Unclear")</f>
        <v>Unclear</v>
      </c>
      <c r="P46" s="13" t="str">
        <f>IFERROR(__xludf.DUMMYFUNCTION("""COMPUTED_VALUE"""),"Yes")</f>
        <v>Yes</v>
      </c>
      <c r="Q46" s="13" t="str">
        <f>IFERROR(__xludf.DUMMYFUNCTION("""COMPUTED_VALUE"""),"Partial")</f>
        <v>Partial</v>
      </c>
      <c r="R46" s="13" t="str">
        <f>IFERROR(__xludf.DUMMYFUNCTION("""COMPUTED_VALUE"""),"Unclear")</f>
        <v>Unclear</v>
      </c>
      <c r="S46" s="13" t="str">
        <f>IFERROR(__xludf.DUMMYFUNCTION("""COMPUTED_VALUE"""),"N/A")</f>
        <v>N/A</v>
      </c>
      <c r="T46" s="13" t="str">
        <f>IFERROR(__xludf.DUMMYFUNCTION("""COMPUTED_VALUE"""),"N/A")</f>
        <v>N/A</v>
      </c>
      <c r="U46" s="13" t="str">
        <f>IFERROR(__xludf.DUMMYFUNCTION("""COMPUTED_VALUE"""),"Some concerns")</f>
        <v>Some concerns</v>
      </c>
      <c r="V46" s="13" t="str">
        <f>IFERROR(__xludf.DUMMYFUNCTION("""COMPUTED_VALUE"""),"Some concerns")</f>
        <v>Some concerns</v>
      </c>
      <c r="W46" s="13" t="str">
        <f>IFERROR(__xludf.DUMMYFUNCTION("""COMPUTED_VALUE"""),"Low")</f>
        <v>Low</v>
      </c>
    </row>
    <row r="47" ht="16.5" customHeight="1">
      <c r="A47" s="5" t="str">
        <f>IFERROR(__xludf.DUMMYFUNCTION("""COMPUTED_VALUE"""),"SCOPUS-000175")</f>
        <v>SCOPUS-000175</v>
      </c>
      <c r="B47" s="13" t="str">
        <f>IFERROR(__xludf.DUMMYFUNCTION("""COMPUTED_VALUE"""),"Yes")</f>
        <v>Yes</v>
      </c>
      <c r="C47" s="13" t="str">
        <f>IFERROR(__xludf.DUMMYFUNCTION("""COMPUTED_VALUE"""),"Yes")</f>
        <v>Yes</v>
      </c>
      <c r="D47" s="13" t="str">
        <f>IFERROR(__xludf.DUMMYFUNCTION("""COMPUTED_VALUE"""),"Yes")</f>
        <v>Yes</v>
      </c>
      <c r="E47" s="13" t="str">
        <f>IFERROR(__xludf.DUMMYFUNCTION("""COMPUTED_VALUE"""),"Yes")</f>
        <v>Yes</v>
      </c>
      <c r="F47" s="13" t="str">
        <f>IFERROR(__xludf.DUMMYFUNCTION("""COMPUTED_VALUE"""),"Yes")</f>
        <v>Yes</v>
      </c>
      <c r="G47" s="13" t="str">
        <f>IFERROR(__xludf.DUMMYFUNCTION("""COMPUTED_VALUE"""),"Yes")</f>
        <v>Yes</v>
      </c>
      <c r="H47" s="13" t="str">
        <f>IFERROR(__xludf.DUMMYFUNCTION("""COMPUTED_VALUE"""),"Partial")</f>
        <v>Partial</v>
      </c>
      <c r="I47" s="13" t="str">
        <f>IFERROR(__xludf.DUMMYFUNCTION("""COMPUTED_VALUE"""),"No")</f>
        <v>No</v>
      </c>
      <c r="J47" s="13" t="str">
        <f>IFERROR(__xludf.DUMMYFUNCTION("""COMPUTED_VALUE"""),"Yes")</f>
        <v>Yes</v>
      </c>
      <c r="K47" s="13" t="str">
        <f>IFERROR(__xludf.DUMMYFUNCTION("""COMPUTED_VALUE"""),"Yes")</f>
        <v>Yes</v>
      </c>
      <c r="L47" s="13" t="str">
        <f>IFERROR(__xludf.DUMMYFUNCTION("""COMPUTED_VALUE"""),"Yes")</f>
        <v>Yes</v>
      </c>
      <c r="M47" s="13" t="str">
        <f>IFERROR(__xludf.DUMMYFUNCTION("""COMPUTED_VALUE"""),"Yes")</f>
        <v>Yes</v>
      </c>
      <c r="N47" s="13" t="str">
        <f>IFERROR(__xludf.DUMMYFUNCTION("""COMPUTED_VALUE"""),"Yes")</f>
        <v>Yes</v>
      </c>
      <c r="O47" s="13" t="str">
        <f>IFERROR(__xludf.DUMMYFUNCTION("""COMPUTED_VALUE"""),"Unclear")</f>
        <v>Unclear</v>
      </c>
      <c r="P47" s="13" t="str">
        <f>IFERROR(__xludf.DUMMYFUNCTION("""COMPUTED_VALUE"""),"Yes")</f>
        <v>Yes</v>
      </c>
      <c r="Q47" s="13" t="str">
        <f>IFERROR(__xludf.DUMMYFUNCTION("""COMPUTED_VALUE"""),"Partial")</f>
        <v>Partial</v>
      </c>
      <c r="R47" s="13" t="str">
        <f>IFERROR(__xludf.DUMMYFUNCTION("""COMPUTED_VALUE"""),"Unclear")</f>
        <v>Unclear</v>
      </c>
      <c r="S47" s="13" t="str">
        <f>IFERROR(__xludf.DUMMYFUNCTION("""COMPUTED_VALUE"""),"N/A")</f>
        <v>N/A</v>
      </c>
      <c r="T47" s="13" t="str">
        <f>IFERROR(__xludf.DUMMYFUNCTION("""COMPUTED_VALUE"""),"N/A")</f>
        <v>N/A</v>
      </c>
      <c r="U47" s="13" t="str">
        <f>IFERROR(__xludf.DUMMYFUNCTION("""COMPUTED_VALUE"""),"Some concerns")</f>
        <v>Some concerns</v>
      </c>
      <c r="V47" s="13" t="str">
        <f>IFERROR(__xludf.DUMMYFUNCTION("""COMPUTED_VALUE"""),"Some concerns")</f>
        <v>Some concerns</v>
      </c>
      <c r="W47" s="13" t="str">
        <f>IFERROR(__xludf.DUMMYFUNCTION("""COMPUTED_VALUE"""),"Low")</f>
        <v>Low</v>
      </c>
    </row>
    <row r="48" ht="16.5" customHeight="1">
      <c r="A48" s="5" t="str">
        <f>IFERROR(__xludf.DUMMYFUNCTION("""COMPUTED_VALUE"""),"SCOPUS-000574")</f>
        <v>SCOPUS-000574</v>
      </c>
      <c r="B48" s="13" t="str">
        <f>IFERROR(__xludf.DUMMYFUNCTION("""COMPUTED_VALUE"""),"Yes")</f>
        <v>Yes</v>
      </c>
      <c r="C48" s="13" t="str">
        <f>IFERROR(__xludf.DUMMYFUNCTION("""COMPUTED_VALUE"""),"Yes")</f>
        <v>Yes</v>
      </c>
      <c r="D48" s="13" t="str">
        <f>IFERROR(__xludf.DUMMYFUNCTION("""COMPUTED_VALUE"""),"Yes")</f>
        <v>Yes</v>
      </c>
      <c r="E48" s="13" t="str">
        <f>IFERROR(__xludf.DUMMYFUNCTION("""COMPUTED_VALUE"""),"Yes")</f>
        <v>Yes</v>
      </c>
      <c r="F48" s="13" t="str">
        <f>IFERROR(__xludf.DUMMYFUNCTION("""COMPUTED_VALUE"""),"Yes")</f>
        <v>Yes</v>
      </c>
      <c r="G48" s="13" t="str">
        <f>IFERROR(__xludf.DUMMYFUNCTION("""COMPUTED_VALUE"""),"Yes")</f>
        <v>Yes</v>
      </c>
      <c r="H48" s="13" t="str">
        <f>IFERROR(__xludf.DUMMYFUNCTION("""COMPUTED_VALUE"""),"Partial")</f>
        <v>Partial</v>
      </c>
      <c r="I48" s="13" t="str">
        <f>IFERROR(__xludf.DUMMYFUNCTION("""COMPUTED_VALUE"""),"No")</f>
        <v>No</v>
      </c>
      <c r="J48" s="13" t="str">
        <f>IFERROR(__xludf.DUMMYFUNCTION("""COMPUTED_VALUE"""),"Yes")</f>
        <v>Yes</v>
      </c>
      <c r="K48" s="13" t="str">
        <f>IFERROR(__xludf.DUMMYFUNCTION("""COMPUTED_VALUE"""),"Yes")</f>
        <v>Yes</v>
      </c>
      <c r="L48" s="13" t="str">
        <f>IFERROR(__xludf.DUMMYFUNCTION("""COMPUTED_VALUE"""),"Yes")</f>
        <v>Yes</v>
      </c>
      <c r="M48" s="13" t="str">
        <f>IFERROR(__xludf.DUMMYFUNCTION("""COMPUTED_VALUE"""),"Yes")</f>
        <v>Yes</v>
      </c>
      <c r="N48" s="13" t="str">
        <f>IFERROR(__xludf.DUMMYFUNCTION("""COMPUTED_VALUE"""),"Yes")</f>
        <v>Yes</v>
      </c>
      <c r="O48" s="13" t="str">
        <f>IFERROR(__xludf.DUMMYFUNCTION("""COMPUTED_VALUE"""),"Yes")</f>
        <v>Yes</v>
      </c>
      <c r="P48" s="13" t="str">
        <f>IFERROR(__xludf.DUMMYFUNCTION("""COMPUTED_VALUE"""),"Yes")</f>
        <v>Yes</v>
      </c>
      <c r="Q48" s="13" t="str">
        <f>IFERROR(__xludf.DUMMYFUNCTION("""COMPUTED_VALUE"""),"Yes")</f>
        <v>Yes</v>
      </c>
      <c r="R48" s="13" t="str">
        <f>IFERROR(__xludf.DUMMYFUNCTION("""COMPUTED_VALUE"""),"Yes")</f>
        <v>Yes</v>
      </c>
      <c r="S48" s="13" t="str">
        <f>IFERROR(__xludf.DUMMYFUNCTION("""COMPUTED_VALUE"""),"N/A")</f>
        <v>N/A</v>
      </c>
      <c r="T48" s="13" t="str">
        <f>IFERROR(__xludf.DUMMYFUNCTION("""COMPUTED_VALUE"""),"N/A")</f>
        <v>N/A</v>
      </c>
      <c r="U48" s="13" t="str">
        <f>IFERROR(__xludf.DUMMYFUNCTION("""COMPUTED_VALUE"""),"Low")</f>
        <v>Low</v>
      </c>
      <c r="V48" s="13" t="str">
        <f>IFERROR(__xludf.DUMMYFUNCTION("""COMPUTED_VALUE"""),"Low")</f>
        <v>Low</v>
      </c>
      <c r="W48" s="13" t="str">
        <f>IFERROR(__xludf.DUMMYFUNCTION("""COMPUTED_VALUE"""),"Low")</f>
        <v>Low</v>
      </c>
    </row>
    <row r="49" ht="16.5" customHeight="1">
      <c r="A49" s="5" t="str">
        <f>IFERROR(__xludf.DUMMYFUNCTION("""COMPUTED_VALUE"""),"SCOPUS-000358")</f>
        <v>SCOPUS-000358</v>
      </c>
      <c r="B49" s="13" t="str">
        <f>IFERROR(__xludf.DUMMYFUNCTION("""COMPUTED_VALUE"""),"Yes")</f>
        <v>Yes</v>
      </c>
      <c r="C49" s="13" t="str">
        <f>IFERROR(__xludf.DUMMYFUNCTION("""COMPUTED_VALUE"""),"Partial")</f>
        <v>Partial</v>
      </c>
      <c r="D49" s="13" t="str">
        <f>IFERROR(__xludf.DUMMYFUNCTION("""COMPUTED_VALUE"""),"Yes")</f>
        <v>Yes</v>
      </c>
      <c r="E49" s="13" t="str">
        <f>IFERROR(__xludf.DUMMYFUNCTION("""COMPUTED_VALUE"""),"Yes")</f>
        <v>Yes</v>
      </c>
      <c r="F49" s="13" t="str">
        <f>IFERROR(__xludf.DUMMYFUNCTION("""COMPUTED_VALUE"""),"Yes")</f>
        <v>Yes</v>
      </c>
      <c r="G49" s="13" t="str">
        <f>IFERROR(__xludf.DUMMYFUNCTION("""COMPUTED_VALUE"""),"Yes")</f>
        <v>Yes</v>
      </c>
      <c r="H49" s="13" t="str">
        <f>IFERROR(__xludf.DUMMYFUNCTION("""COMPUTED_VALUE"""),"Partial")</f>
        <v>Partial</v>
      </c>
      <c r="I49" s="13" t="str">
        <f>IFERROR(__xludf.DUMMYFUNCTION("""COMPUTED_VALUE"""),"No")</f>
        <v>No</v>
      </c>
      <c r="J49" s="13" t="str">
        <f>IFERROR(__xludf.DUMMYFUNCTION("""COMPUTED_VALUE"""),"Yes")</f>
        <v>Yes</v>
      </c>
      <c r="K49" s="13" t="str">
        <f>IFERROR(__xludf.DUMMYFUNCTION("""COMPUTED_VALUE"""),"Yes")</f>
        <v>Yes</v>
      </c>
      <c r="L49" s="13" t="str">
        <f>IFERROR(__xludf.DUMMYFUNCTION("""COMPUTED_VALUE"""),"Yes")</f>
        <v>Yes</v>
      </c>
      <c r="M49" s="13" t="str">
        <f>IFERROR(__xludf.DUMMYFUNCTION("""COMPUTED_VALUE"""),"Partial")</f>
        <v>Partial</v>
      </c>
      <c r="N49" s="13" t="str">
        <f>IFERROR(__xludf.DUMMYFUNCTION("""COMPUTED_VALUE"""),"Unclear")</f>
        <v>Unclear</v>
      </c>
      <c r="O49" s="13" t="str">
        <f>IFERROR(__xludf.DUMMYFUNCTION("""COMPUTED_VALUE"""),"Unclear")</f>
        <v>Unclear</v>
      </c>
      <c r="P49" s="13" t="str">
        <f>IFERROR(__xludf.DUMMYFUNCTION("""COMPUTED_VALUE"""),"Yes")</f>
        <v>Yes</v>
      </c>
      <c r="Q49" s="13" t="str">
        <f>IFERROR(__xludf.DUMMYFUNCTION("""COMPUTED_VALUE"""),"Partial")</f>
        <v>Partial</v>
      </c>
      <c r="R49" s="13" t="str">
        <f>IFERROR(__xludf.DUMMYFUNCTION("""COMPUTED_VALUE"""),"Unclear")</f>
        <v>Unclear</v>
      </c>
      <c r="S49" s="13" t="str">
        <f>IFERROR(__xludf.DUMMYFUNCTION("""COMPUTED_VALUE"""),"N/A")</f>
        <v>N/A</v>
      </c>
      <c r="T49" s="13" t="str">
        <f>IFERROR(__xludf.DUMMYFUNCTION("""COMPUTED_VALUE"""),"N/A")</f>
        <v>N/A</v>
      </c>
      <c r="U49" s="13" t="str">
        <f>IFERROR(__xludf.DUMMYFUNCTION("""COMPUTED_VALUE"""),"Some concerns")</f>
        <v>Some concerns</v>
      </c>
      <c r="V49" s="13" t="str">
        <f>IFERROR(__xludf.DUMMYFUNCTION("""COMPUTED_VALUE"""),"Some concerns")</f>
        <v>Some concerns</v>
      </c>
      <c r="W49" s="13" t="str">
        <f>IFERROR(__xludf.DUMMYFUNCTION("""COMPUTED_VALUE"""),"Some concerns")</f>
        <v>Some concerns</v>
      </c>
    </row>
    <row r="50" ht="16.5" customHeight="1">
      <c r="A50" s="5" t="str">
        <f>IFERROR(__xludf.DUMMYFUNCTION("""COMPUTED_VALUE"""),"SCOPUS-000265")</f>
        <v>SCOPUS-000265</v>
      </c>
      <c r="B50" s="13" t="str">
        <f>IFERROR(__xludf.DUMMYFUNCTION("""COMPUTED_VALUE"""),"Yes")</f>
        <v>Yes</v>
      </c>
      <c r="C50" s="13" t="str">
        <f>IFERROR(__xludf.DUMMYFUNCTION("""COMPUTED_VALUE"""),"Partial")</f>
        <v>Partial</v>
      </c>
      <c r="D50" s="13" t="str">
        <f>IFERROR(__xludf.DUMMYFUNCTION("""COMPUTED_VALUE"""),"Yes")</f>
        <v>Yes</v>
      </c>
      <c r="E50" s="13" t="str">
        <f>IFERROR(__xludf.DUMMYFUNCTION("""COMPUTED_VALUE"""),"Yes")</f>
        <v>Yes</v>
      </c>
      <c r="F50" s="13" t="str">
        <f>IFERROR(__xludf.DUMMYFUNCTION("""COMPUTED_VALUE"""),"Yes")</f>
        <v>Yes</v>
      </c>
      <c r="G50" s="13" t="str">
        <f>IFERROR(__xludf.DUMMYFUNCTION("""COMPUTED_VALUE"""),"Yes")</f>
        <v>Yes</v>
      </c>
      <c r="H50" s="13" t="str">
        <f>IFERROR(__xludf.DUMMYFUNCTION("""COMPUTED_VALUE"""),"Partial")</f>
        <v>Partial</v>
      </c>
      <c r="I50" s="13" t="str">
        <f>IFERROR(__xludf.DUMMYFUNCTION("""COMPUTED_VALUE"""),"No")</f>
        <v>No</v>
      </c>
      <c r="J50" s="13" t="str">
        <f>IFERROR(__xludf.DUMMYFUNCTION("""COMPUTED_VALUE"""),"Yes")</f>
        <v>Yes</v>
      </c>
      <c r="K50" s="13" t="str">
        <f>IFERROR(__xludf.DUMMYFUNCTION("""COMPUTED_VALUE"""),"Yes")</f>
        <v>Yes</v>
      </c>
      <c r="L50" s="13" t="str">
        <f>IFERROR(__xludf.DUMMYFUNCTION("""COMPUTED_VALUE"""),"Yes")</f>
        <v>Yes</v>
      </c>
      <c r="M50" s="13" t="str">
        <f>IFERROR(__xludf.DUMMYFUNCTION("""COMPUTED_VALUE"""),"Partial")</f>
        <v>Partial</v>
      </c>
      <c r="N50" s="13" t="str">
        <f>IFERROR(__xludf.DUMMYFUNCTION("""COMPUTED_VALUE"""),"Unclear")</f>
        <v>Unclear</v>
      </c>
      <c r="O50" s="13" t="str">
        <f>IFERROR(__xludf.DUMMYFUNCTION("""COMPUTED_VALUE"""),"Unclear")</f>
        <v>Unclear</v>
      </c>
      <c r="P50" s="13" t="str">
        <f>IFERROR(__xludf.DUMMYFUNCTION("""COMPUTED_VALUE"""),"Yes")</f>
        <v>Yes</v>
      </c>
      <c r="Q50" s="13" t="str">
        <f>IFERROR(__xludf.DUMMYFUNCTION("""COMPUTED_VALUE"""),"Partial")</f>
        <v>Partial</v>
      </c>
      <c r="R50" s="13" t="str">
        <f>IFERROR(__xludf.DUMMYFUNCTION("""COMPUTED_VALUE"""),"Unclear")</f>
        <v>Unclear</v>
      </c>
      <c r="S50" s="13" t="str">
        <f>IFERROR(__xludf.DUMMYFUNCTION("""COMPUTED_VALUE"""),"N/A")</f>
        <v>N/A</v>
      </c>
      <c r="T50" s="13" t="str">
        <f>IFERROR(__xludf.DUMMYFUNCTION("""COMPUTED_VALUE"""),"N/A")</f>
        <v>N/A</v>
      </c>
      <c r="U50" s="13" t="str">
        <f>IFERROR(__xludf.DUMMYFUNCTION("""COMPUTED_VALUE"""),"Some concerns")</f>
        <v>Some concerns</v>
      </c>
      <c r="V50" s="13" t="str">
        <f>IFERROR(__xludf.DUMMYFUNCTION("""COMPUTED_VALUE"""),"Some concerns")</f>
        <v>Some concerns</v>
      </c>
      <c r="W50" s="13" t="str">
        <f>IFERROR(__xludf.DUMMYFUNCTION("""COMPUTED_VALUE"""),"Some concerns")</f>
        <v>Some concerns</v>
      </c>
    </row>
    <row r="51" ht="16.5" customHeight="1">
      <c r="A51" s="5" t="str">
        <f>IFERROR(__xludf.DUMMYFUNCTION("""COMPUTED_VALUE"""),"SCOPUS-000563")</f>
        <v>SCOPUS-000563</v>
      </c>
      <c r="B51" s="13" t="str">
        <f>IFERROR(__xludf.DUMMYFUNCTION("""COMPUTED_VALUE"""),"Yes")</f>
        <v>Yes</v>
      </c>
      <c r="C51" s="13" t="str">
        <f>IFERROR(__xludf.DUMMYFUNCTION("""COMPUTED_VALUE"""),"Yes")</f>
        <v>Yes</v>
      </c>
      <c r="D51" s="13" t="str">
        <f>IFERROR(__xludf.DUMMYFUNCTION("""COMPUTED_VALUE"""),"Yes")</f>
        <v>Yes</v>
      </c>
      <c r="E51" s="13" t="str">
        <f>IFERROR(__xludf.DUMMYFUNCTION("""COMPUTED_VALUE"""),"Yes")</f>
        <v>Yes</v>
      </c>
      <c r="F51" s="13" t="str">
        <f>IFERROR(__xludf.DUMMYFUNCTION("""COMPUTED_VALUE"""),"Yes")</f>
        <v>Yes</v>
      </c>
      <c r="G51" s="13" t="str">
        <f>IFERROR(__xludf.DUMMYFUNCTION("""COMPUTED_VALUE"""),"Yes")</f>
        <v>Yes</v>
      </c>
      <c r="H51" s="13" t="str">
        <f>IFERROR(__xludf.DUMMYFUNCTION("""COMPUTED_VALUE"""),"Partial")</f>
        <v>Partial</v>
      </c>
      <c r="I51" s="13" t="str">
        <f>IFERROR(__xludf.DUMMYFUNCTION("""COMPUTED_VALUE"""),"No")</f>
        <v>No</v>
      </c>
      <c r="J51" s="13" t="str">
        <f>IFERROR(__xludf.DUMMYFUNCTION("""COMPUTED_VALUE"""),"Yes")</f>
        <v>Yes</v>
      </c>
      <c r="K51" s="13" t="str">
        <f>IFERROR(__xludf.DUMMYFUNCTION("""COMPUTED_VALUE"""),"Yes")</f>
        <v>Yes</v>
      </c>
      <c r="L51" s="13" t="str">
        <f>IFERROR(__xludf.DUMMYFUNCTION("""COMPUTED_VALUE"""),"Yes")</f>
        <v>Yes</v>
      </c>
      <c r="M51" s="13" t="str">
        <f>IFERROR(__xludf.DUMMYFUNCTION("""COMPUTED_VALUE"""),"Yes")</f>
        <v>Yes</v>
      </c>
      <c r="N51" s="13" t="str">
        <f>IFERROR(__xludf.DUMMYFUNCTION("""COMPUTED_VALUE"""),"Yes")</f>
        <v>Yes</v>
      </c>
      <c r="O51" s="13" t="str">
        <f>IFERROR(__xludf.DUMMYFUNCTION("""COMPUTED_VALUE"""),"Yes")</f>
        <v>Yes</v>
      </c>
      <c r="P51" s="13" t="str">
        <f>IFERROR(__xludf.DUMMYFUNCTION("""COMPUTED_VALUE"""),"Yes")</f>
        <v>Yes</v>
      </c>
      <c r="Q51" s="13" t="str">
        <f>IFERROR(__xludf.DUMMYFUNCTION("""COMPUTED_VALUE"""),"Yes")</f>
        <v>Yes</v>
      </c>
      <c r="R51" s="13" t="str">
        <f>IFERROR(__xludf.DUMMYFUNCTION("""COMPUTED_VALUE"""),"Yes")</f>
        <v>Yes</v>
      </c>
      <c r="S51" s="13" t="str">
        <f>IFERROR(__xludf.DUMMYFUNCTION("""COMPUTED_VALUE"""),"N/A")</f>
        <v>N/A</v>
      </c>
      <c r="T51" s="13" t="str">
        <f>IFERROR(__xludf.DUMMYFUNCTION("""COMPUTED_VALUE"""),"N/A")</f>
        <v>N/A</v>
      </c>
      <c r="U51" s="13" t="str">
        <f>IFERROR(__xludf.DUMMYFUNCTION("""COMPUTED_VALUE"""),"Low")</f>
        <v>Low</v>
      </c>
      <c r="V51" s="13" t="str">
        <f>IFERROR(__xludf.DUMMYFUNCTION("""COMPUTED_VALUE"""),"Low")</f>
        <v>Low</v>
      </c>
      <c r="W51" s="13" t="str">
        <f>IFERROR(__xludf.DUMMYFUNCTION("""COMPUTED_VALUE"""),"Low")</f>
        <v>Low</v>
      </c>
    </row>
    <row r="52" ht="16.5" customHeight="1">
      <c r="A52" s="5" t="str">
        <f>IFERROR(__xludf.DUMMYFUNCTION("""COMPUTED_VALUE"""),"SCOPUS-000433")</f>
        <v>SCOPUS-000433</v>
      </c>
      <c r="B52" s="13" t="str">
        <f>IFERROR(__xludf.DUMMYFUNCTION("""COMPUTED_VALUE"""),"Yes")</f>
        <v>Yes</v>
      </c>
      <c r="C52" s="13" t="str">
        <f>IFERROR(__xludf.DUMMYFUNCTION("""COMPUTED_VALUE"""),"Yes")</f>
        <v>Yes</v>
      </c>
      <c r="D52" s="13" t="str">
        <f>IFERROR(__xludf.DUMMYFUNCTION("""COMPUTED_VALUE"""),"Yes")</f>
        <v>Yes</v>
      </c>
      <c r="E52" s="13" t="str">
        <f>IFERROR(__xludf.DUMMYFUNCTION("""COMPUTED_VALUE"""),"Yes")</f>
        <v>Yes</v>
      </c>
      <c r="F52" s="13" t="str">
        <f>IFERROR(__xludf.DUMMYFUNCTION("""COMPUTED_VALUE"""),"Yes")</f>
        <v>Yes</v>
      </c>
      <c r="G52" s="13" t="str">
        <f>IFERROR(__xludf.DUMMYFUNCTION("""COMPUTED_VALUE"""),"Yes")</f>
        <v>Yes</v>
      </c>
      <c r="H52" s="13" t="str">
        <f>IFERROR(__xludf.DUMMYFUNCTION("""COMPUTED_VALUE"""),"Partial")</f>
        <v>Partial</v>
      </c>
      <c r="I52" s="13" t="str">
        <f>IFERROR(__xludf.DUMMYFUNCTION("""COMPUTED_VALUE"""),"No")</f>
        <v>No</v>
      </c>
      <c r="J52" s="13" t="str">
        <f>IFERROR(__xludf.DUMMYFUNCTION("""COMPUTED_VALUE"""),"Yes")</f>
        <v>Yes</v>
      </c>
      <c r="K52" s="13" t="str">
        <f>IFERROR(__xludf.DUMMYFUNCTION("""COMPUTED_VALUE"""),"Yes")</f>
        <v>Yes</v>
      </c>
      <c r="L52" s="13" t="str">
        <f>IFERROR(__xludf.DUMMYFUNCTION("""COMPUTED_VALUE"""),"Yes")</f>
        <v>Yes</v>
      </c>
      <c r="M52" s="13" t="str">
        <f>IFERROR(__xludf.DUMMYFUNCTION("""COMPUTED_VALUE"""),"Partial")</f>
        <v>Partial</v>
      </c>
      <c r="N52" s="13" t="str">
        <f>IFERROR(__xludf.DUMMYFUNCTION("""COMPUTED_VALUE"""),"Yes")</f>
        <v>Yes</v>
      </c>
      <c r="O52" s="13" t="str">
        <f>IFERROR(__xludf.DUMMYFUNCTION("""COMPUTED_VALUE"""),"No")</f>
        <v>No</v>
      </c>
      <c r="P52" s="13" t="str">
        <f>IFERROR(__xludf.DUMMYFUNCTION("""COMPUTED_VALUE"""),"Yes")</f>
        <v>Yes</v>
      </c>
      <c r="Q52" s="13" t="str">
        <f>IFERROR(__xludf.DUMMYFUNCTION("""COMPUTED_VALUE"""),"Partial")</f>
        <v>Partial</v>
      </c>
      <c r="R52" s="13" t="str">
        <f>IFERROR(__xludf.DUMMYFUNCTION("""COMPUTED_VALUE"""),"No")</f>
        <v>No</v>
      </c>
      <c r="S52" s="13" t="str">
        <f>IFERROR(__xludf.DUMMYFUNCTION("""COMPUTED_VALUE"""),"N/A")</f>
        <v>N/A</v>
      </c>
      <c r="T52" s="13" t="str">
        <f>IFERROR(__xludf.DUMMYFUNCTION("""COMPUTED_VALUE"""),"N/A")</f>
        <v>N/A</v>
      </c>
      <c r="U52" s="13" t="str">
        <f>IFERROR(__xludf.DUMMYFUNCTION("""COMPUTED_VALUE"""),"High")</f>
        <v>High</v>
      </c>
      <c r="V52" s="13" t="str">
        <f>IFERROR(__xludf.DUMMYFUNCTION("""COMPUTED_VALUE"""),"High")</f>
        <v>High</v>
      </c>
      <c r="W52" s="13" t="str">
        <f>IFERROR(__xludf.DUMMYFUNCTION("""COMPUTED_VALUE"""),"Some concerns")</f>
        <v>Some concerns</v>
      </c>
    </row>
    <row r="53" ht="16.5" customHeight="1">
      <c r="A53" s="5" t="str">
        <f>IFERROR(__xludf.DUMMYFUNCTION("""COMPUTED_VALUE"""),"SCOPUS-000333")</f>
        <v>SCOPUS-000333</v>
      </c>
      <c r="B53" s="13" t="str">
        <f>IFERROR(__xludf.DUMMYFUNCTION("""COMPUTED_VALUE"""),"Yes")</f>
        <v>Yes</v>
      </c>
      <c r="C53" s="13" t="str">
        <f>IFERROR(__xludf.DUMMYFUNCTION("""COMPUTED_VALUE"""),"Yes")</f>
        <v>Yes</v>
      </c>
      <c r="D53" s="13" t="str">
        <f>IFERROR(__xludf.DUMMYFUNCTION("""COMPUTED_VALUE"""),"Yes")</f>
        <v>Yes</v>
      </c>
      <c r="E53" s="13" t="str">
        <f>IFERROR(__xludf.DUMMYFUNCTION("""COMPUTED_VALUE"""),"Yes")</f>
        <v>Yes</v>
      </c>
      <c r="F53" s="13" t="str">
        <f>IFERROR(__xludf.DUMMYFUNCTION("""COMPUTED_VALUE"""),"Yes")</f>
        <v>Yes</v>
      </c>
      <c r="G53" s="13" t="str">
        <f>IFERROR(__xludf.DUMMYFUNCTION("""COMPUTED_VALUE"""),"Yes")</f>
        <v>Yes</v>
      </c>
      <c r="H53" s="13" t="str">
        <f>IFERROR(__xludf.DUMMYFUNCTION("""COMPUTED_VALUE"""),"Yes")</f>
        <v>Yes</v>
      </c>
      <c r="I53" s="13" t="str">
        <f>IFERROR(__xludf.DUMMYFUNCTION("""COMPUTED_VALUE"""),"No")</f>
        <v>No</v>
      </c>
      <c r="J53" s="13" t="str">
        <f>IFERROR(__xludf.DUMMYFUNCTION("""COMPUTED_VALUE"""),"Yes")</f>
        <v>Yes</v>
      </c>
      <c r="K53" s="13" t="str">
        <f>IFERROR(__xludf.DUMMYFUNCTION("""COMPUTED_VALUE"""),"Yes")</f>
        <v>Yes</v>
      </c>
      <c r="L53" s="13" t="str">
        <f>IFERROR(__xludf.DUMMYFUNCTION("""COMPUTED_VALUE"""),"Yes")</f>
        <v>Yes</v>
      </c>
      <c r="M53" s="13" t="str">
        <f>IFERROR(__xludf.DUMMYFUNCTION("""COMPUTED_VALUE"""),"Yes")</f>
        <v>Yes</v>
      </c>
      <c r="N53" s="13" t="str">
        <f>IFERROR(__xludf.DUMMYFUNCTION("""COMPUTED_VALUE"""),"Yes")</f>
        <v>Yes</v>
      </c>
      <c r="O53" s="13" t="str">
        <f>IFERROR(__xludf.DUMMYFUNCTION("""COMPUTED_VALUE"""),"Yes")</f>
        <v>Yes</v>
      </c>
      <c r="P53" s="13" t="str">
        <f>IFERROR(__xludf.DUMMYFUNCTION("""COMPUTED_VALUE"""),"Yes")</f>
        <v>Yes</v>
      </c>
      <c r="Q53" s="13" t="str">
        <f>IFERROR(__xludf.DUMMYFUNCTION("""COMPUTED_VALUE"""),"Yes")</f>
        <v>Yes</v>
      </c>
      <c r="R53" s="13" t="str">
        <f>IFERROR(__xludf.DUMMYFUNCTION("""COMPUTED_VALUE"""),"Yes")</f>
        <v>Yes</v>
      </c>
      <c r="S53" s="13" t="str">
        <f>IFERROR(__xludf.DUMMYFUNCTION("""COMPUTED_VALUE"""),"Yes")</f>
        <v>Yes</v>
      </c>
      <c r="T53" s="13" t="str">
        <f>IFERROR(__xludf.DUMMYFUNCTION("""COMPUTED_VALUE"""),"Yes")</f>
        <v>Yes</v>
      </c>
      <c r="U53" s="13" t="str">
        <f>IFERROR(__xludf.DUMMYFUNCTION("""COMPUTED_VALUE"""),"Low")</f>
        <v>Low</v>
      </c>
      <c r="V53" s="13" t="str">
        <f>IFERROR(__xludf.DUMMYFUNCTION("""COMPUTED_VALUE"""),"Low")</f>
        <v>Low</v>
      </c>
      <c r="W53" s="13" t="str">
        <f>IFERROR(__xludf.DUMMYFUNCTION("""COMPUTED_VALUE"""),"Low")</f>
        <v>Low</v>
      </c>
    </row>
    <row r="54" ht="16.5" customHeight="1">
      <c r="A54" s="5" t="str">
        <f>IFERROR(__xludf.DUMMYFUNCTION("""COMPUTED_VALUE"""),"SCOPUS-000391")</f>
        <v>SCOPUS-000391</v>
      </c>
      <c r="B54" s="13" t="str">
        <f>IFERROR(__xludf.DUMMYFUNCTION("""COMPUTED_VALUE"""),"Yes")</f>
        <v>Yes</v>
      </c>
      <c r="C54" s="13" t="str">
        <f>IFERROR(__xludf.DUMMYFUNCTION("""COMPUTED_VALUE"""),"Yes")</f>
        <v>Yes</v>
      </c>
      <c r="D54" s="13" t="str">
        <f>IFERROR(__xludf.DUMMYFUNCTION("""COMPUTED_VALUE"""),"Yes")</f>
        <v>Yes</v>
      </c>
      <c r="E54" s="13" t="str">
        <f>IFERROR(__xludf.DUMMYFUNCTION("""COMPUTED_VALUE"""),"Yes")</f>
        <v>Yes</v>
      </c>
      <c r="F54" s="13" t="str">
        <f>IFERROR(__xludf.DUMMYFUNCTION("""COMPUTED_VALUE"""),"Yes")</f>
        <v>Yes</v>
      </c>
      <c r="G54" s="13" t="str">
        <f>IFERROR(__xludf.DUMMYFUNCTION("""COMPUTED_VALUE"""),"Yes")</f>
        <v>Yes</v>
      </c>
      <c r="H54" s="13" t="str">
        <f>IFERROR(__xludf.DUMMYFUNCTION("""COMPUTED_VALUE"""),"Partial")</f>
        <v>Partial</v>
      </c>
      <c r="I54" s="13" t="str">
        <f>IFERROR(__xludf.DUMMYFUNCTION("""COMPUTED_VALUE"""),"No")</f>
        <v>No</v>
      </c>
      <c r="J54" s="13" t="str">
        <f>IFERROR(__xludf.DUMMYFUNCTION("""COMPUTED_VALUE"""),"Yes")</f>
        <v>Yes</v>
      </c>
      <c r="K54" s="13" t="str">
        <f>IFERROR(__xludf.DUMMYFUNCTION("""COMPUTED_VALUE"""),"Yes")</f>
        <v>Yes</v>
      </c>
      <c r="L54" s="13" t="str">
        <f>IFERROR(__xludf.DUMMYFUNCTION("""COMPUTED_VALUE"""),"Yes")</f>
        <v>Yes</v>
      </c>
      <c r="M54" s="13" t="str">
        <f>IFERROR(__xludf.DUMMYFUNCTION("""COMPUTED_VALUE"""),"Yes")</f>
        <v>Yes</v>
      </c>
      <c r="N54" s="13" t="str">
        <f>IFERROR(__xludf.DUMMYFUNCTION("""COMPUTED_VALUE"""),"Yes")</f>
        <v>Yes</v>
      </c>
      <c r="O54" s="13" t="str">
        <f>IFERROR(__xludf.DUMMYFUNCTION("""COMPUTED_VALUE"""),"Unclear")</f>
        <v>Unclear</v>
      </c>
      <c r="P54" s="13" t="str">
        <f>IFERROR(__xludf.DUMMYFUNCTION("""COMPUTED_VALUE"""),"Yes")</f>
        <v>Yes</v>
      </c>
      <c r="Q54" s="13" t="str">
        <f>IFERROR(__xludf.DUMMYFUNCTION("""COMPUTED_VALUE"""),"Partial")</f>
        <v>Partial</v>
      </c>
      <c r="R54" s="13" t="str">
        <f>IFERROR(__xludf.DUMMYFUNCTION("""COMPUTED_VALUE"""),"Unclear")</f>
        <v>Unclear</v>
      </c>
      <c r="S54" s="13" t="str">
        <f>IFERROR(__xludf.DUMMYFUNCTION("""COMPUTED_VALUE"""),"Yes")</f>
        <v>Yes</v>
      </c>
      <c r="T54" s="13" t="str">
        <f>IFERROR(__xludf.DUMMYFUNCTION("""COMPUTED_VALUE"""),"Yes")</f>
        <v>Yes</v>
      </c>
      <c r="U54" s="13" t="str">
        <f>IFERROR(__xludf.DUMMYFUNCTION("""COMPUTED_VALUE"""),"Some concerns")</f>
        <v>Some concerns</v>
      </c>
      <c r="V54" s="13" t="str">
        <f>IFERROR(__xludf.DUMMYFUNCTION("""COMPUTED_VALUE"""),"Some concerns")</f>
        <v>Some concerns</v>
      </c>
      <c r="W54" s="13" t="str">
        <f>IFERROR(__xludf.DUMMYFUNCTION("""COMPUTED_VALUE"""),"Some concerns")</f>
        <v>Some concerns</v>
      </c>
    </row>
    <row r="55" ht="16.5" customHeight="1">
      <c r="A55" s="5" t="str">
        <f>IFERROR(__xludf.DUMMYFUNCTION("""COMPUTED_VALUE"""),"SCOPUS-000637")</f>
        <v>SCOPUS-000637</v>
      </c>
      <c r="B55" s="13" t="str">
        <f>IFERROR(__xludf.DUMMYFUNCTION("""COMPUTED_VALUE"""),"Yes")</f>
        <v>Yes</v>
      </c>
      <c r="C55" s="13" t="str">
        <f>IFERROR(__xludf.DUMMYFUNCTION("""COMPUTED_VALUE"""),"Yes")</f>
        <v>Yes</v>
      </c>
      <c r="D55" s="13" t="str">
        <f>IFERROR(__xludf.DUMMYFUNCTION("""COMPUTED_VALUE"""),"Yes")</f>
        <v>Yes</v>
      </c>
      <c r="E55" s="13" t="str">
        <f>IFERROR(__xludf.DUMMYFUNCTION("""COMPUTED_VALUE"""),"Yes")</f>
        <v>Yes</v>
      </c>
      <c r="F55" s="13" t="str">
        <f>IFERROR(__xludf.DUMMYFUNCTION("""COMPUTED_VALUE"""),"Yes")</f>
        <v>Yes</v>
      </c>
      <c r="G55" s="13" t="str">
        <f>IFERROR(__xludf.DUMMYFUNCTION("""COMPUTED_VALUE"""),"Yes")</f>
        <v>Yes</v>
      </c>
      <c r="H55" s="13" t="str">
        <f>IFERROR(__xludf.DUMMYFUNCTION("""COMPUTED_VALUE"""),"Partial")</f>
        <v>Partial</v>
      </c>
      <c r="I55" s="13" t="str">
        <f>IFERROR(__xludf.DUMMYFUNCTION("""COMPUTED_VALUE"""),"No")</f>
        <v>No</v>
      </c>
      <c r="J55" s="13" t="str">
        <f>IFERROR(__xludf.DUMMYFUNCTION("""COMPUTED_VALUE"""),"Yes")</f>
        <v>Yes</v>
      </c>
      <c r="K55" s="13" t="str">
        <f>IFERROR(__xludf.DUMMYFUNCTION("""COMPUTED_VALUE"""),"Yes")</f>
        <v>Yes</v>
      </c>
      <c r="L55" s="13" t="str">
        <f>IFERROR(__xludf.DUMMYFUNCTION("""COMPUTED_VALUE"""),"Yes")</f>
        <v>Yes</v>
      </c>
      <c r="M55" s="13" t="str">
        <f>IFERROR(__xludf.DUMMYFUNCTION("""COMPUTED_VALUE"""),"Yes")</f>
        <v>Yes</v>
      </c>
      <c r="N55" s="13" t="str">
        <f>IFERROR(__xludf.DUMMYFUNCTION("""COMPUTED_VALUE"""),"Yes")</f>
        <v>Yes</v>
      </c>
      <c r="O55" s="13" t="str">
        <f>IFERROR(__xludf.DUMMYFUNCTION("""COMPUTED_VALUE"""),"Unclear")</f>
        <v>Unclear</v>
      </c>
      <c r="P55" s="13" t="str">
        <f>IFERROR(__xludf.DUMMYFUNCTION("""COMPUTED_VALUE"""),"Yes")</f>
        <v>Yes</v>
      </c>
      <c r="Q55" s="13" t="str">
        <f>IFERROR(__xludf.DUMMYFUNCTION("""COMPUTED_VALUE"""),"Partial")</f>
        <v>Partial</v>
      </c>
      <c r="R55" s="13" t="str">
        <f>IFERROR(__xludf.DUMMYFUNCTION("""COMPUTED_VALUE"""),"Unclear")</f>
        <v>Unclear</v>
      </c>
      <c r="S55" s="13" t="str">
        <f>IFERROR(__xludf.DUMMYFUNCTION("""COMPUTED_VALUE"""),"Yes")</f>
        <v>Yes</v>
      </c>
      <c r="T55" s="13" t="str">
        <f>IFERROR(__xludf.DUMMYFUNCTION("""COMPUTED_VALUE"""),"Yes")</f>
        <v>Yes</v>
      </c>
      <c r="U55" s="13" t="str">
        <f>IFERROR(__xludf.DUMMYFUNCTION("""COMPUTED_VALUE"""),"Some concerns")</f>
        <v>Some concerns</v>
      </c>
      <c r="V55" s="13" t="str">
        <f>IFERROR(__xludf.DUMMYFUNCTION("""COMPUTED_VALUE"""),"Some concerns")</f>
        <v>Some concerns</v>
      </c>
      <c r="W55" s="13" t="str">
        <f>IFERROR(__xludf.DUMMYFUNCTION("""COMPUTED_VALUE"""),"Low")</f>
        <v>Low</v>
      </c>
    </row>
    <row r="56" ht="16.5" customHeight="1">
      <c r="A56" s="5" t="str">
        <f>IFERROR(__xludf.DUMMYFUNCTION("""COMPUTED_VALUE"""),"SCOPUS-000700")</f>
        <v>SCOPUS-000700</v>
      </c>
      <c r="B56" s="13" t="str">
        <f>IFERROR(__xludf.DUMMYFUNCTION("""COMPUTED_VALUE"""),"Yes")</f>
        <v>Yes</v>
      </c>
      <c r="C56" s="13" t="str">
        <f>IFERROR(__xludf.DUMMYFUNCTION("""COMPUTED_VALUE"""),"Yes")</f>
        <v>Yes</v>
      </c>
      <c r="D56" s="13" t="str">
        <f>IFERROR(__xludf.DUMMYFUNCTION("""COMPUTED_VALUE"""),"Yes")</f>
        <v>Yes</v>
      </c>
      <c r="E56" s="13" t="str">
        <f>IFERROR(__xludf.DUMMYFUNCTION("""COMPUTED_VALUE"""),"Yes")</f>
        <v>Yes</v>
      </c>
      <c r="F56" s="13" t="str">
        <f>IFERROR(__xludf.DUMMYFUNCTION("""COMPUTED_VALUE"""),"Yes")</f>
        <v>Yes</v>
      </c>
      <c r="G56" s="13" t="str">
        <f>IFERROR(__xludf.DUMMYFUNCTION("""COMPUTED_VALUE"""),"Yes")</f>
        <v>Yes</v>
      </c>
      <c r="H56" s="13" t="str">
        <f>IFERROR(__xludf.DUMMYFUNCTION("""COMPUTED_VALUE"""),"Partial")</f>
        <v>Partial</v>
      </c>
      <c r="I56" s="13" t="str">
        <f>IFERROR(__xludf.DUMMYFUNCTION("""COMPUTED_VALUE"""),"No")</f>
        <v>No</v>
      </c>
      <c r="J56" s="13" t="str">
        <f>IFERROR(__xludf.DUMMYFUNCTION("""COMPUTED_VALUE"""),"Yes")</f>
        <v>Yes</v>
      </c>
      <c r="K56" s="13" t="str">
        <f>IFERROR(__xludf.DUMMYFUNCTION("""COMPUTED_VALUE"""),"Yes")</f>
        <v>Yes</v>
      </c>
      <c r="L56" s="13" t="str">
        <f>IFERROR(__xludf.DUMMYFUNCTION("""COMPUTED_VALUE"""),"Yes")</f>
        <v>Yes</v>
      </c>
      <c r="M56" s="13" t="str">
        <f>IFERROR(__xludf.DUMMYFUNCTION("""COMPUTED_VALUE"""),"Yes")</f>
        <v>Yes</v>
      </c>
      <c r="N56" s="13" t="str">
        <f>IFERROR(__xludf.DUMMYFUNCTION("""COMPUTED_VALUE"""),"Yes")</f>
        <v>Yes</v>
      </c>
      <c r="O56" s="13" t="str">
        <f>IFERROR(__xludf.DUMMYFUNCTION("""COMPUTED_VALUE"""),"Unclear")</f>
        <v>Unclear</v>
      </c>
      <c r="P56" s="13" t="str">
        <f>IFERROR(__xludf.DUMMYFUNCTION("""COMPUTED_VALUE"""),"Yes")</f>
        <v>Yes</v>
      </c>
      <c r="Q56" s="13" t="str">
        <f>IFERROR(__xludf.DUMMYFUNCTION("""COMPUTED_VALUE"""),"Partial")</f>
        <v>Partial</v>
      </c>
      <c r="R56" s="13" t="str">
        <f>IFERROR(__xludf.DUMMYFUNCTION("""COMPUTED_VALUE"""),"Unclear")</f>
        <v>Unclear</v>
      </c>
      <c r="S56" s="13" t="str">
        <f>IFERROR(__xludf.DUMMYFUNCTION("""COMPUTED_VALUE"""),"Yes")</f>
        <v>Yes</v>
      </c>
      <c r="T56" s="13" t="str">
        <f>IFERROR(__xludf.DUMMYFUNCTION("""COMPUTED_VALUE"""),"Partial")</f>
        <v>Partial</v>
      </c>
      <c r="U56" s="13" t="str">
        <f>IFERROR(__xludf.DUMMYFUNCTION("""COMPUTED_VALUE"""),"Some concerns")</f>
        <v>Some concerns</v>
      </c>
      <c r="V56" s="13" t="str">
        <f>IFERROR(__xludf.DUMMYFUNCTION("""COMPUTED_VALUE"""),"Some concerns")</f>
        <v>Some concerns</v>
      </c>
      <c r="W56" s="13" t="str">
        <f>IFERROR(__xludf.DUMMYFUNCTION("""COMPUTED_VALUE"""),"Low")</f>
        <v>Low</v>
      </c>
    </row>
    <row r="57" ht="16.5" customHeight="1">
      <c r="A57" s="5" t="str">
        <f>IFERROR(__xludf.DUMMYFUNCTION("""COMPUTED_VALUE"""),"SCOPUS-000719")</f>
        <v>SCOPUS-000719</v>
      </c>
      <c r="B57" s="13" t="str">
        <f>IFERROR(__xludf.DUMMYFUNCTION("""COMPUTED_VALUE"""),"Yes")</f>
        <v>Yes</v>
      </c>
      <c r="C57" s="13" t="str">
        <f>IFERROR(__xludf.DUMMYFUNCTION("""COMPUTED_VALUE"""),"Yes")</f>
        <v>Yes</v>
      </c>
      <c r="D57" s="13" t="str">
        <f>IFERROR(__xludf.DUMMYFUNCTION("""COMPUTED_VALUE"""),"Yes")</f>
        <v>Yes</v>
      </c>
      <c r="E57" s="13" t="str">
        <f>IFERROR(__xludf.DUMMYFUNCTION("""COMPUTED_VALUE"""),"Yes")</f>
        <v>Yes</v>
      </c>
      <c r="F57" s="13" t="str">
        <f>IFERROR(__xludf.DUMMYFUNCTION("""COMPUTED_VALUE"""),"Yes")</f>
        <v>Yes</v>
      </c>
      <c r="G57" s="13" t="str">
        <f>IFERROR(__xludf.DUMMYFUNCTION("""COMPUTED_VALUE"""),"Yes")</f>
        <v>Yes</v>
      </c>
      <c r="H57" s="13" t="str">
        <f>IFERROR(__xludf.DUMMYFUNCTION("""COMPUTED_VALUE"""),"Partial")</f>
        <v>Partial</v>
      </c>
      <c r="I57" s="13" t="str">
        <f>IFERROR(__xludf.DUMMYFUNCTION("""COMPUTED_VALUE"""),"No")</f>
        <v>No</v>
      </c>
      <c r="J57" s="13" t="str">
        <f>IFERROR(__xludf.DUMMYFUNCTION("""COMPUTED_VALUE"""),"Yes")</f>
        <v>Yes</v>
      </c>
      <c r="K57" s="13" t="str">
        <f>IFERROR(__xludf.DUMMYFUNCTION("""COMPUTED_VALUE"""),"Yes")</f>
        <v>Yes</v>
      </c>
      <c r="L57" s="13" t="str">
        <f>IFERROR(__xludf.DUMMYFUNCTION("""COMPUTED_VALUE"""),"Yes")</f>
        <v>Yes</v>
      </c>
      <c r="M57" s="13" t="str">
        <f>IFERROR(__xludf.DUMMYFUNCTION("""COMPUTED_VALUE"""),"Yes")</f>
        <v>Yes</v>
      </c>
      <c r="N57" s="13" t="str">
        <f>IFERROR(__xludf.DUMMYFUNCTION("""COMPUTED_VALUE"""),"Yes")</f>
        <v>Yes</v>
      </c>
      <c r="O57" s="13" t="str">
        <f>IFERROR(__xludf.DUMMYFUNCTION("""COMPUTED_VALUE"""),"Unclear")</f>
        <v>Unclear</v>
      </c>
      <c r="P57" s="13" t="str">
        <f>IFERROR(__xludf.DUMMYFUNCTION("""COMPUTED_VALUE"""),"Yes")</f>
        <v>Yes</v>
      </c>
      <c r="Q57" s="13" t="str">
        <f>IFERROR(__xludf.DUMMYFUNCTION("""COMPUTED_VALUE"""),"Partial")</f>
        <v>Partial</v>
      </c>
      <c r="R57" s="13" t="str">
        <f>IFERROR(__xludf.DUMMYFUNCTION("""COMPUTED_VALUE"""),"Unclear")</f>
        <v>Unclear</v>
      </c>
      <c r="S57" s="13" t="str">
        <f>IFERROR(__xludf.DUMMYFUNCTION("""COMPUTED_VALUE"""),"N/A")</f>
        <v>N/A</v>
      </c>
      <c r="T57" s="13" t="str">
        <f>IFERROR(__xludf.DUMMYFUNCTION("""COMPUTED_VALUE"""),"N/A")</f>
        <v>N/A</v>
      </c>
      <c r="U57" s="13" t="str">
        <f>IFERROR(__xludf.DUMMYFUNCTION("""COMPUTED_VALUE"""),"Some concerns")</f>
        <v>Some concerns</v>
      </c>
      <c r="V57" s="13" t="str">
        <f>IFERROR(__xludf.DUMMYFUNCTION("""COMPUTED_VALUE"""),"Some concerns")</f>
        <v>Some concerns</v>
      </c>
      <c r="W57" s="13" t="str">
        <f>IFERROR(__xludf.DUMMYFUNCTION("""COMPUTED_VALUE"""),"Low")</f>
        <v>Low</v>
      </c>
    </row>
    <row r="58" ht="16.5" customHeight="1">
      <c r="A58" s="5" t="str">
        <f>IFERROR(__xludf.DUMMYFUNCTION("""COMPUTED_VALUE"""),"SCOPUS-000713")</f>
        <v>SCOPUS-000713</v>
      </c>
      <c r="B58" s="13" t="str">
        <f>IFERROR(__xludf.DUMMYFUNCTION("""COMPUTED_VALUE"""),"Yes")</f>
        <v>Yes</v>
      </c>
      <c r="C58" s="13" t="str">
        <f>IFERROR(__xludf.DUMMYFUNCTION("""COMPUTED_VALUE"""),"Partial")</f>
        <v>Partial</v>
      </c>
      <c r="D58" s="13" t="str">
        <f>IFERROR(__xludf.DUMMYFUNCTION("""COMPUTED_VALUE"""),"Yes")</f>
        <v>Yes</v>
      </c>
      <c r="E58" s="13" t="str">
        <f>IFERROR(__xludf.DUMMYFUNCTION("""COMPUTED_VALUE"""),"Yes")</f>
        <v>Yes</v>
      </c>
      <c r="F58" s="13" t="str">
        <f>IFERROR(__xludf.DUMMYFUNCTION("""COMPUTED_VALUE"""),"Yes")</f>
        <v>Yes</v>
      </c>
      <c r="G58" s="13" t="str">
        <f>IFERROR(__xludf.DUMMYFUNCTION("""COMPUTED_VALUE"""),"Yes")</f>
        <v>Yes</v>
      </c>
      <c r="H58" s="13" t="str">
        <f>IFERROR(__xludf.DUMMYFUNCTION("""COMPUTED_VALUE"""),"Partial")</f>
        <v>Partial</v>
      </c>
      <c r="I58" s="13" t="str">
        <f>IFERROR(__xludf.DUMMYFUNCTION("""COMPUTED_VALUE"""),"No")</f>
        <v>No</v>
      </c>
      <c r="J58" s="13" t="str">
        <f>IFERROR(__xludf.DUMMYFUNCTION("""COMPUTED_VALUE"""),"Yes")</f>
        <v>Yes</v>
      </c>
      <c r="K58" s="13" t="str">
        <f>IFERROR(__xludf.DUMMYFUNCTION("""COMPUTED_VALUE"""),"Yes")</f>
        <v>Yes</v>
      </c>
      <c r="L58" s="13" t="str">
        <f>IFERROR(__xludf.DUMMYFUNCTION("""COMPUTED_VALUE"""),"Yes")</f>
        <v>Yes</v>
      </c>
      <c r="M58" s="13" t="str">
        <f>IFERROR(__xludf.DUMMYFUNCTION("""COMPUTED_VALUE"""),"Partial")</f>
        <v>Partial</v>
      </c>
      <c r="N58" s="13" t="str">
        <f>IFERROR(__xludf.DUMMYFUNCTION("""COMPUTED_VALUE"""),"Unclear")</f>
        <v>Unclear</v>
      </c>
      <c r="O58" s="13" t="str">
        <f>IFERROR(__xludf.DUMMYFUNCTION("""COMPUTED_VALUE"""),"Unclear")</f>
        <v>Unclear</v>
      </c>
      <c r="P58" s="13" t="str">
        <f>IFERROR(__xludf.DUMMYFUNCTION("""COMPUTED_VALUE"""),"Yes")</f>
        <v>Yes</v>
      </c>
      <c r="Q58" s="13" t="str">
        <f>IFERROR(__xludf.DUMMYFUNCTION("""COMPUTED_VALUE"""),"Partial")</f>
        <v>Partial</v>
      </c>
      <c r="R58" s="13" t="str">
        <f>IFERROR(__xludf.DUMMYFUNCTION("""COMPUTED_VALUE"""),"Unclear")</f>
        <v>Unclear</v>
      </c>
      <c r="S58" s="13" t="str">
        <f>IFERROR(__xludf.DUMMYFUNCTION("""COMPUTED_VALUE"""),"N/A")</f>
        <v>N/A</v>
      </c>
      <c r="T58" s="13" t="str">
        <f>IFERROR(__xludf.DUMMYFUNCTION("""COMPUTED_VALUE"""),"N/A")</f>
        <v>N/A</v>
      </c>
      <c r="U58" s="13" t="str">
        <f>IFERROR(__xludf.DUMMYFUNCTION("""COMPUTED_VALUE"""),"Some concerns")</f>
        <v>Some concerns</v>
      </c>
      <c r="V58" s="13" t="str">
        <f>IFERROR(__xludf.DUMMYFUNCTION("""COMPUTED_VALUE"""),"Some concerns")</f>
        <v>Some concerns</v>
      </c>
      <c r="W58" s="13" t="str">
        <f>IFERROR(__xludf.DUMMYFUNCTION("""COMPUTED_VALUE"""),"Some concerns")</f>
        <v>Some concerns</v>
      </c>
    </row>
    <row r="59" ht="16.5" customHeight="1">
      <c r="A59" s="5" t="str">
        <f>IFERROR(__xludf.DUMMYFUNCTION("""COMPUTED_VALUE"""),"SCOPUS-000448")</f>
        <v>SCOPUS-000448</v>
      </c>
      <c r="B59" s="13" t="str">
        <f>IFERROR(__xludf.DUMMYFUNCTION("""COMPUTED_VALUE"""),"Yes")</f>
        <v>Yes</v>
      </c>
      <c r="C59" s="13" t="str">
        <f>IFERROR(__xludf.DUMMYFUNCTION("""COMPUTED_VALUE"""),"Yes")</f>
        <v>Yes</v>
      </c>
      <c r="D59" s="13" t="str">
        <f>IFERROR(__xludf.DUMMYFUNCTION("""COMPUTED_VALUE"""),"Yes")</f>
        <v>Yes</v>
      </c>
      <c r="E59" s="13" t="str">
        <f>IFERROR(__xludf.DUMMYFUNCTION("""COMPUTED_VALUE"""),"Yes")</f>
        <v>Yes</v>
      </c>
      <c r="F59" s="13" t="str">
        <f>IFERROR(__xludf.DUMMYFUNCTION("""COMPUTED_VALUE"""),"Yes")</f>
        <v>Yes</v>
      </c>
      <c r="G59" s="13" t="str">
        <f>IFERROR(__xludf.DUMMYFUNCTION("""COMPUTED_VALUE"""),"Yes")</f>
        <v>Yes</v>
      </c>
      <c r="H59" s="13" t="str">
        <f>IFERROR(__xludf.DUMMYFUNCTION("""COMPUTED_VALUE"""),"Partial")</f>
        <v>Partial</v>
      </c>
      <c r="I59" s="13" t="str">
        <f>IFERROR(__xludf.DUMMYFUNCTION("""COMPUTED_VALUE"""),"No")</f>
        <v>No</v>
      </c>
      <c r="J59" s="13" t="str">
        <f>IFERROR(__xludf.DUMMYFUNCTION("""COMPUTED_VALUE"""),"Yes")</f>
        <v>Yes</v>
      </c>
      <c r="K59" s="13" t="str">
        <f>IFERROR(__xludf.DUMMYFUNCTION("""COMPUTED_VALUE"""),"Yes")</f>
        <v>Yes</v>
      </c>
      <c r="L59" s="13" t="str">
        <f>IFERROR(__xludf.DUMMYFUNCTION("""COMPUTED_VALUE"""),"Yes")</f>
        <v>Yes</v>
      </c>
      <c r="M59" s="13" t="str">
        <f>IFERROR(__xludf.DUMMYFUNCTION("""COMPUTED_VALUE"""),"Yes")</f>
        <v>Yes</v>
      </c>
      <c r="N59" s="13" t="str">
        <f>IFERROR(__xludf.DUMMYFUNCTION("""COMPUTED_VALUE"""),"Unclear")</f>
        <v>Unclear</v>
      </c>
      <c r="O59" s="13" t="str">
        <f>IFERROR(__xludf.DUMMYFUNCTION("""COMPUTED_VALUE"""),"Unclear")</f>
        <v>Unclear</v>
      </c>
      <c r="P59" s="13" t="str">
        <f>IFERROR(__xludf.DUMMYFUNCTION("""COMPUTED_VALUE"""),"Yes")</f>
        <v>Yes</v>
      </c>
      <c r="Q59" s="13" t="str">
        <f>IFERROR(__xludf.DUMMYFUNCTION("""COMPUTED_VALUE"""),"Partial")</f>
        <v>Partial</v>
      </c>
      <c r="R59" s="13" t="str">
        <f>IFERROR(__xludf.DUMMYFUNCTION("""COMPUTED_VALUE"""),"Unclear")</f>
        <v>Unclear</v>
      </c>
      <c r="S59" s="13" t="str">
        <f>IFERROR(__xludf.DUMMYFUNCTION("""COMPUTED_VALUE"""),"N/A")</f>
        <v>N/A</v>
      </c>
      <c r="T59" s="13" t="str">
        <f>IFERROR(__xludf.DUMMYFUNCTION("""COMPUTED_VALUE"""),"N/A")</f>
        <v>N/A</v>
      </c>
      <c r="U59" s="13" t="str">
        <f>IFERROR(__xludf.DUMMYFUNCTION("""COMPUTED_VALUE"""),"Some concerns")</f>
        <v>Some concerns</v>
      </c>
      <c r="V59" s="13" t="str">
        <f>IFERROR(__xludf.DUMMYFUNCTION("""COMPUTED_VALUE"""),"Some concerns")</f>
        <v>Some concerns</v>
      </c>
      <c r="W59" s="13" t="str">
        <f>IFERROR(__xludf.DUMMYFUNCTION("""COMPUTED_VALUE"""),"Some concerns")</f>
        <v>Some concerns</v>
      </c>
    </row>
    <row r="60" ht="16.5" customHeight="1">
      <c r="A60" s="5" t="str">
        <f>IFERROR(__xludf.DUMMYFUNCTION("""COMPUTED_VALUE"""),"SCOPUS-000375")</f>
        <v>SCOPUS-000375</v>
      </c>
      <c r="B60" s="13" t="str">
        <f>IFERROR(__xludf.DUMMYFUNCTION("""COMPUTED_VALUE"""),"Yes")</f>
        <v>Yes</v>
      </c>
      <c r="C60" s="13" t="str">
        <f>IFERROR(__xludf.DUMMYFUNCTION("""COMPUTED_VALUE"""),"Partial")</f>
        <v>Partial</v>
      </c>
      <c r="D60" s="13" t="str">
        <f>IFERROR(__xludf.DUMMYFUNCTION("""COMPUTED_VALUE"""),"Yes")</f>
        <v>Yes</v>
      </c>
      <c r="E60" s="13" t="str">
        <f>IFERROR(__xludf.DUMMYFUNCTION("""COMPUTED_VALUE"""),"Yes")</f>
        <v>Yes</v>
      </c>
      <c r="F60" s="13" t="str">
        <f>IFERROR(__xludf.DUMMYFUNCTION("""COMPUTED_VALUE"""),"Yes")</f>
        <v>Yes</v>
      </c>
      <c r="G60" s="13" t="str">
        <f>IFERROR(__xludf.DUMMYFUNCTION("""COMPUTED_VALUE"""),"Yes")</f>
        <v>Yes</v>
      </c>
      <c r="H60" s="13" t="str">
        <f>IFERROR(__xludf.DUMMYFUNCTION("""COMPUTED_VALUE"""),"Partial")</f>
        <v>Partial</v>
      </c>
      <c r="I60" s="13" t="str">
        <f>IFERROR(__xludf.DUMMYFUNCTION("""COMPUTED_VALUE"""),"No")</f>
        <v>No</v>
      </c>
      <c r="J60" s="13" t="str">
        <f>IFERROR(__xludf.DUMMYFUNCTION("""COMPUTED_VALUE"""),"Yes")</f>
        <v>Yes</v>
      </c>
      <c r="K60" s="13" t="str">
        <f>IFERROR(__xludf.DUMMYFUNCTION("""COMPUTED_VALUE"""),"Yes")</f>
        <v>Yes</v>
      </c>
      <c r="L60" s="13" t="str">
        <f>IFERROR(__xludf.DUMMYFUNCTION("""COMPUTED_VALUE"""),"Yes")</f>
        <v>Yes</v>
      </c>
      <c r="M60" s="13" t="str">
        <f>IFERROR(__xludf.DUMMYFUNCTION("""COMPUTED_VALUE"""),"Partial")</f>
        <v>Partial</v>
      </c>
      <c r="N60" s="13" t="str">
        <f>IFERROR(__xludf.DUMMYFUNCTION("""COMPUTED_VALUE"""),"Unclear")</f>
        <v>Unclear</v>
      </c>
      <c r="O60" s="13" t="str">
        <f>IFERROR(__xludf.DUMMYFUNCTION("""COMPUTED_VALUE"""),"Unclear")</f>
        <v>Unclear</v>
      </c>
      <c r="P60" s="13" t="str">
        <f>IFERROR(__xludf.DUMMYFUNCTION("""COMPUTED_VALUE"""),"Yes")</f>
        <v>Yes</v>
      </c>
      <c r="Q60" s="13" t="str">
        <f>IFERROR(__xludf.DUMMYFUNCTION("""COMPUTED_VALUE"""),"Partial")</f>
        <v>Partial</v>
      </c>
      <c r="R60" s="13" t="str">
        <f>IFERROR(__xludf.DUMMYFUNCTION("""COMPUTED_VALUE"""),"Unclear")</f>
        <v>Unclear</v>
      </c>
      <c r="S60" s="13" t="str">
        <f>IFERROR(__xludf.DUMMYFUNCTION("""COMPUTED_VALUE"""),"N/A")</f>
        <v>N/A</v>
      </c>
      <c r="T60" s="13" t="str">
        <f>IFERROR(__xludf.DUMMYFUNCTION("""COMPUTED_VALUE"""),"N/A")</f>
        <v>N/A</v>
      </c>
      <c r="U60" s="13" t="str">
        <f>IFERROR(__xludf.DUMMYFUNCTION("""COMPUTED_VALUE"""),"Some concerns")</f>
        <v>Some concerns</v>
      </c>
      <c r="V60" s="13" t="str">
        <f>IFERROR(__xludf.DUMMYFUNCTION("""COMPUTED_VALUE"""),"Some concerns")</f>
        <v>Some concerns</v>
      </c>
      <c r="W60" s="13" t="str">
        <f>IFERROR(__xludf.DUMMYFUNCTION("""COMPUTED_VALUE"""),"Some concerns")</f>
        <v>Some concerns</v>
      </c>
    </row>
    <row r="61" ht="16.5" customHeight="1">
      <c r="A61" s="5" t="str">
        <f>IFERROR(__xludf.DUMMYFUNCTION("""COMPUTED_VALUE"""),"SCOPUS-000261")</f>
        <v>SCOPUS-000261</v>
      </c>
      <c r="B61" s="13" t="str">
        <f>IFERROR(__xludf.DUMMYFUNCTION("""COMPUTED_VALUE"""),"Yes")</f>
        <v>Yes</v>
      </c>
      <c r="C61" s="13" t="str">
        <f>IFERROR(__xludf.DUMMYFUNCTION("""COMPUTED_VALUE"""),"Yes")</f>
        <v>Yes</v>
      </c>
      <c r="D61" s="13" t="str">
        <f>IFERROR(__xludf.DUMMYFUNCTION("""COMPUTED_VALUE"""),"Yes")</f>
        <v>Yes</v>
      </c>
      <c r="E61" s="13" t="str">
        <f>IFERROR(__xludf.DUMMYFUNCTION("""COMPUTED_VALUE"""),"Yes")</f>
        <v>Yes</v>
      </c>
      <c r="F61" s="13" t="str">
        <f>IFERROR(__xludf.DUMMYFUNCTION("""COMPUTED_VALUE"""),"Yes")</f>
        <v>Yes</v>
      </c>
      <c r="G61" s="13" t="str">
        <f>IFERROR(__xludf.DUMMYFUNCTION("""COMPUTED_VALUE"""),"Yes")</f>
        <v>Yes</v>
      </c>
      <c r="H61" s="13" t="str">
        <f>IFERROR(__xludf.DUMMYFUNCTION("""COMPUTED_VALUE"""),"Partial")</f>
        <v>Partial</v>
      </c>
      <c r="I61" s="13" t="str">
        <f>IFERROR(__xludf.DUMMYFUNCTION("""COMPUTED_VALUE"""),"No")</f>
        <v>No</v>
      </c>
      <c r="J61" s="13" t="str">
        <f>IFERROR(__xludf.DUMMYFUNCTION("""COMPUTED_VALUE"""),"Yes")</f>
        <v>Yes</v>
      </c>
      <c r="K61" s="13" t="str">
        <f>IFERROR(__xludf.DUMMYFUNCTION("""COMPUTED_VALUE"""),"Yes")</f>
        <v>Yes</v>
      </c>
      <c r="L61" s="13" t="str">
        <f>IFERROR(__xludf.DUMMYFUNCTION("""COMPUTED_VALUE"""),"Yes")</f>
        <v>Yes</v>
      </c>
      <c r="M61" s="13" t="str">
        <f>IFERROR(__xludf.DUMMYFUNCTION("""COMPUTED_VALUE"""),"Yes")</f>
        <v>Yes</v>
      </c>
      <c r="N61" s="13" t="str">
        <f>IFERROR(__xludf.DUMMYFUNCTION("""COMPUTED_VALUE"""),"Unclear")</f>
        <v>Unclear</v>
      </c>
      <c r="O61" s="13" t="str">
        <f>IFERROR(__xludf.DUMMYFUNCTION("""COMPUTED_VALUE"""),"Unclear")</f>
        <v>Unclear</v>
      </c>
      <c r="P61" s="13" t="str">
        <f>IFERROR(__xludf.DUMMYFUNCTION("""COMPUTED_VALUE"""),"Yes")</f>
        <v>Yes</v>
      </c>
      <c r="Q61" s="13" t="str">
        <f>IFERROR(__xludf.DUMMYFUNCTION("""COMPUTED_VALUE"""),"Partial")</f>
        <v>Partial</v>
      </c>
      <c r="R61" s="13" t="str">
        <f>IFERROR(__xludf.DUMMYFUNCTION("""COMPUTED_VALUE"""),"Unclear")</f>
        <v>Unclear</v>
      </c>
      <c r="S61" s="13" t="str">
        <f>IFERROR(__xludf.DUMMYFUNCTION("""COMPUTED_VALUE"""),"N/A")</f>
        <v>N/A</v>
      </c>
      <c r="T61" s="13" t="str">
        <f>IFERROR(__xludf.DUMMYFUNCTION("""COMPUTED_VALUE"""),"N/A")</f>
        <v>N/A</v>
      </c>
      <c r="U61" s="13" t="str">
        <f>IFERROR(__xludf.DUMMYFUNCTION("""COMPUTED_VALUE"""),"Some concerns")</f>
        <v>Some concerns</v>
      </c>
      <c r="V61" s="13" t="str">
        <f>IFERROR(__xludf.DUMMYFUNCTION("""COMPUTED_VALUE"""),"Some concerns")</f>
        <v>Some concerns</v>
      </c>
      <c r="W61" s="13" t="str">
        <f>IFERROR(__xludf.DUMMYFUNCTION("""COMPUTED_VALUE"""),"Some concerns")</f>
        <v>Some concerns</v>
      </c>
    </row>
    <row r="62" ht="16.5" customHeight="1">
      <c r="A62" s="5" t="str">
        <f>IFERROR(__xludf.DUMMYFUNCTION("""COMPUTED_VALUE"""),"SCOPUS-000584")</f>
        <v>SCOPUS-000584</v>
      </c>
      <c r="B62" s="13" t="str">
        <f>IFERROR(__xludf.DUMMYFUNCTION("""COMPUTED_VALUE"""),"Yes")</f>
        <v>Yes</v>
      </c>
      <c r="C62" s="13" t="str">
        <f>IFERROR(__xludf.DUMMYFUNCTION("""COMPUTED_VALUE"""),"Yes")</f>
        <v>Yes</v>
      </c>
      <c r="D62" s="13" t="str">
        <f>IFERROR(__xludf.DUMMYFUNCTION("""COMPUTED_VALUE"""),"Yes")</f>
        <v>Yes</v>
      </c>
      <c r="E62" s="13" t="str">
        <f>IFERROR(__xludf.DUMMYFUNCTION("""COMPUTED_VALUE"""),"Yes")</f>
        <v>Yes</v>
      </c>
      <c r="F62" s="13" t="str">
        <f>IFERROR(__xludf.DUMMYFUNCTION("""COMPUTED_VALUE"""),"Yes")</f>
        <v>Yes</v>
      </c>
      <c r="G62" s="13" t="str">
        <f>IFERROR(__xludf.DUMMYFUNCTION("""COMPUTED_VALUE"""),"Yes")</f>
        <v>Yes</v>
      </c>
      <c r="H62" s="13" t="str">
        <f>IFERROR(__xludf.DUMMYFUNCTION("""COMPUTED_VALUE"""),"Partial")</f>
        <v>Partial</v>
      </c>
      <c r="I62" s="13" t="str">
        <f>IFERROR(__xludf.DUMMYFUNCTION("""COMPUTED_VALUE"""),"No")</f>
        <v>No</v>
      </c>
      <c r="J62" s="13" t="str">
        <f>IFERROR(__xludf.DUMMYFUNCTION("""COMPUTED_VALUE"""),"Yes")</f>
        <v>Yes</v>
      </c>
      <c r="K62" s="13" t="str">
        <f>IFERROR(__xludf.DUMMYFUNCTION("""COMPUTED_VALUE"""),"Yes")</f>
        <v>Yes</v>
      </c>
      <c r="L62" s="13" t="str">
        <f>IFERROR(__xludf.DUMMYFUNCTION("""COMPUTED_VALUE"""),"Yes")</f>
        <v>Yes</v>
      </c>
      <c r="M62" s="13" t="str">
        <f>IFERROR(__xludf.DUMMYFUNCTION("""COMPUTED_VALUE"""),"Yes")</f>
        <v>Yes</v>
      </c>
      <c r="N62" s="13" t="str">
        <f>IFERROR(__xludf.DUMMYFUNCTION("""COMPUTED_VALUE"""),"Yes")</f>
        <v>Yes</v>
      </c>
      <c r="O62" s="13" t="str">
        <f>IFERROR(__xludf.DUMMYFUNCTION("""COMPUTED_VALUE"""),"Unclear")</f>
        <v>Unclear</v>
      </c>
      <c r="P62" s="13" t="str">
        <f>IFERROR(__xludf.DUMMYFUNCTION("""COMPUTED_VALUE"""),"Yes")</f>
        <v>Yes</v>
      </c>
      <c r="Q62" s="13" t="str">
        <f>IFERROR(__xludf.DUMMYFUNCTION("""COMPUTED_VALUE"""),"Partial")</f>
        <v>Partial</v>
      </c>
      <c r="R62" s="13" t="str">
        <f>IFERROR(__xludf.DUMMYFUNCTION("""COMPUTED_VALUE"""),"Unclear")</f>
        <v>Unclear</v>
      </c>
      <c r="S62" s="13" t="str">
        <f>IFERROR(__xludf.DUMMYFUNCTION("""COMPUTED_VALUE"""),"N/A")</f>
        <v>N/A</v>
      </c>
      <c r="T62" s="13" t="str">
        <f>IFERROR(__xludf.DUMMYFUNCTION("""COMPUTED_VALUE"""),"N/A")</f>
        <v>N/A</v>
      </c>
      <c r="U62" s="13" t="str">
        <f>IFERROR(__xludf.DUMMYFUNCTION("""COMPUTED_VALUE"""),"Some concerns")</f>
        <v>Some concerns</v>
      </c>
      <c r="V62" s="13" t="str">
        <f>IFERROR(__xludf.DUMMYFUNCTION("""COMPUTED_VALUE"""),"Some concerns")</f>
        <v>Some concerns</v>
      </c>
      <c r="W62" s="13" t="str">
        <f>IFERROR(__xludf.DUMMYFUNCTION("""COMPUTED_VALUE"""),"Some concerns")</f>
        <v>Some concerns</v>
      </c>
    </row>
    <row r="63" ht="16.5" customHeight="1">
      <c r="A63" s="5" t="str">
        <f>IFERROR(__xludf.DUMMYFUNCTION("""COMPUTED_VALUE"""),"WEBSCI-000524")</f>
        <v>WEBSCI-000524</v>
      </c>
      <c r="B63" s="13" t="str">
        <f>IFERROR(__xludf.DUMMYFUNCTION("""COMPUTED_VALUE"""),"Yes")</f>
        <v>Yes</v>
      </c>
      <c r="C63" s="13" t="str">
        <f>IFERROR(__xludf.DUMMYFUNCTION("""COMPUTED_VALUE"""),"Yes")</f>
        <v>Yes</v>
      </c>
      <c r="D63" s="13" t="str">
        <f>IFERROR(__xludf.DUMMYFUNCTION("""COMPUTED_VALUE"""),"Yes")</f>
        <v>Yes</v>
      </c>
      <c r="E63" s="13" t="str">
        <f>IFERROR(__xludf.DUMMYFUNCTION("""COMPUTED_VALUE"""),"Yes")</f>
        <v>Yes</v>
      </c>
      <c r="F63" s="13" t="str">
        <f>IFERROR(__xludf.DUMMYFUNCTION("""COMPUTED_VALUE"""),"Yes")</f>
        <v>Yes</v>
      </c>
      <c r="G63" s="13" t="str">
        <f>IFERROR(__xludf.DUMMYFUNCTION("""COMPUTED_VALUE"""),"Yes")</f>
        <v>Yes</v>
      </c>
      <c r="H63" s="13" t="str">
        <f>IFERROR(__xludf.DUMMYFUNCTION("""COMPUTED_VALUE"""),"Partial")</f>
        <v>Partial</v>
      </c>
      <c r="I63" s="13" t="str">
        <f>IFERROR(__xludf.DUMMYFUNCTION("""COMPUTED_VALUE"""),"No")</f>
        <v>No</v>
      </c>
      <c r="J63" s="13" t="str">
        <f>IFERROR(__xludf.DUMMYFUNCTION("""COMPUTED_VALUE"""),"Yes")</f>
        <v>Yes</v>
      </c>
      <c r="K63" s="13" t="str">
        <f>IFERROR(__xludf.DUMMYFUNCTION("""COMPUTED_VALUE"""),"Yes")</f>
        <v>Yes</v>
      </c>
      <c r="L63" s="13" t="str">
        <f>IFERROR(__xludf.DUMMYFUNCTION("""COMPUTED_VALUE"""),"Yes")</f>
        <v>Yes</v>
      </c>
      <c r="M63" s="13" t="str">
        <f>IFERROR(__xludf.DUMMYFUNCTION("""COMPUTED_VALUE"""),"Yes")</f>
        <v>Yes</v>
      </c>
      <c r="N63" s="13" t="str">
        <f>IFERROR(__xludf.DUMMYFUNCTION("""COMPUTED_VALUE"""),"Unclear")</f>
        <v>Unclear</v>
      </c>
      <c r="O63" s="13" t="str">
        <f>IFERROR(__xludf.DUMMYFUNCTION("""COMPUTED_VALUE"""),"Unclear")</f>
        <v>Unclear</v>
      </c>
      <c r="P63" s="13" t="str">
        <f>IFERROR(__xludf.DUMMYFUNCTION("""COMPUTED_VALUE"""),"Yes")</f>
        <v>Yes</v>
      </c>
      <c r="Q63" s="13" t="str">
        <f>IFERROR(__xludf.DUMMYFUNCTION("""COMPUTED_VALUE"""),"Partial")</f>
        <v>Partial</v>
      </c>
      <c r="R63" s="13" t="str">
        <f>IFERROR(__xludf.DUMMYFUNCTION("""COMPUTED_VALUE"""),"Unclear")</f>
        <v>Unclear</v>
      </c>
      <c r="S63" s="13" t="str">
        <f>IFERROR(__xludf.DUMMYFUNCTION("""COMPUTED_VALUE"""),"N/A")</f>
        <v>N/A</v>
      </c>
      <c r="T63" s="13" t="str">
        <f>IFERROR(__xludf.DUMMYFUNCTION("""COMPUTED_VALUE"""),"N/A")</f>
        <v>N/A</v>
      </c>
      <c r="U63" s="13" t="str">
        <f>IFERROR(__xludf.DUMMYFUNCTION("""COMPUTED_VALUE"""),"Some concerns")</f>
        <v>Some concerns</v>
      </c>
      <c r="V63" s="13" t="str">
        <f>IFERROR(__xludf.DUMMYFUNCTION("""COMPUTED_VALUE"""),"Some concerns")</f>
        <v>Some concerns</v>
      </c>
      <c r="W63" s="13" t="str">
        <f>IFERROR(__xludf.DUMMYFUNCTION("""COMPUTED_VALUE"""),"Some concerns")</f>
        <v>Some concerns</v>
      </c>
    </row>
    <row r="64" ht="16.5" customHeight="1">
      <c r="A64" s="5" t="str">
        <f>IFERROR(__xludf.DUMMYFUNCTION("""COMPUTED_VALUE"""),"SCOPUS-000370")</f>
        <v>SCOPUS-000370</v>
      </c>
      <c r="B64" s="13" t="str">
        <f>IFERROR(__xludf.DUMMYFUNCTION("""COMPUTED_VALUE"""),"Yes")</f>
        <v>Yes</v>
      </c>
      <c r="C64" s="13" t="str">
        <f>IFERROR(__xludf.DUMMYFUNCTION("""COMPUTED_VALUE"""),"Yes")</f>
        <v>Yes</v>
      </c>
      <c r="D64" s="13" t="str">
        <f>IFERROR(__xludf.DUMMYFUNCTION("""COMPUTED_VALUE"""),"Yes")</f>
        <v>Yes</v>
      </c>
      <c r="E64" s="13" t="str">
        <f>IFERROR(__xludf.DUMMYFUNCTION("""COMPUTED_VALUE"""),"Yes")</f>
        <v>Yes</v>
      </c>
      <c r="F64" s="13" t="str">
        <f>IFERROR(__xludf.DUMMYFUNCTION("""COMPUTED_VALUE"""),"Yes")</f>
        <v>Yes</v>
      </c>
      <c r="G64" s="13" t="str">
        <f>IFERROR(__xludf.DUMMYFUNCTION("""COMPUTED_VALUE"""),"Yes")</f>
        <v>Yes</v>
      </c>
      <c r="H64" s="13" t="str">
        <f>IFERROR(__xludf.DUMMYFUNCTION("""COMPUTED_VALUE"""),"Partial")</f>
        <v>Partial</v>
      </c>
      <c r="I64" s="13" t="str">
        <f>IFERROR(__xludf.DUMMYFUNCTION("""COMPUTED_VALUE"""),"No")</f>
        <v>No</v>
      </c>
      <c r="J64" s="13" t="str">
        <f>IFERROR(__xludf.DUMMYFUNCTION("""COMPUTED_VALUE"""),"Yes")</f>
        <v>Yes</v>
      </c>
      <c r="K64" s="13" t="str">
        <f>IFERROR(__xludf.DUMMYFUNCTION("""COMPUTED_VALUE"""),"Yes")</f>
        <v>Yes</v>
      </c>
      <c r="L64" s="13" t="str">
        <f>IFERROR(__xludf.DUMMYFUNCTION("""COMPUTED_VALUE"""),"Yes")</f>
        <v>Yes</v>
      </c>
      <c r="M64" s="13" t="str">
        <f>IFERROR(__xludf.DUMMYFUNCTION("""COMPUTED_VALUE"""),"Yes")</f>
        <v>Yes</v>
      </c>
      <c r="N64" s="13" t="str">
        <f>IFERROR(__xludf.DUMMYFUNCTION("""COMPUTED_VALUE"""),"Unclear")</f>
        <v>Unclear</v>
      </c>
      <c r="O64" s="13" t="str">
        <f>IFERROR(__xludf.DUMMYFUNCTION("""COMPUTED_VALUE"""),"Unclear")</f>
        <v>Unclear</v>
      </c>
      <c r="P64" s="13" t="str">
        <f>IFERROR(__xludf.DUMMYFUNCTION("""COMPUTED_VALUE"""),"Yes")</f>
        <v>Yes</v>
      </c>
      <c r="Q64" s="13" t="str">
        <f>IFERROR(__xludf.DUMMYFUNCTION("""COMPUTED_VALUE"""),"Partial")</f>
        <v>Partial</v>
      </c>
      <c r="R64" s="13" t="str">
        <f>IFERROR(__xludf.DUMMYFUNCTION("""COMPUTED_VALUE"""),"Unclear")</f>
        <v>Unclear</v>
      </c>
      <c r="S64" s="13" t="str">
        <f>IFERROR(__xludf.DUMMYFUNCTION("""COMPUTED_VALUE"""),"N/A")</f>
        <v>N/A</v>
      </c>
      <c r="T64" s="13" t="str">
        <f>IFERROR(__xludf.DUMMYFUNCTION("""COMPUTED_VALUE"""),"N/A")</f>
        <v>N/A</v>
      </c>
      <c r="U64" s="13" t="str">
        <f>IFERROR(__xludf.DUMMYFUNCTION("""COMPUTED_VALUE"""),"Some concerns")</f>
        <v>Some concerns</v>
      </c>
      <c r="V64" s="13" t="str">
        <f>IFERROR(__xludf.DUMMYFUNCTION("""COMPUTED_VALUE"""),"Some concerns")</f>
        <v>Some concerns</v>
      </c>
      <c r="W64" s="13" t="str">
        <f>IFERROR(__xludf.DUMMYFUNCTION("""COMPUTED_VALUE"""),"Some concerns")</f>
        <v>Some concerns</v>
      </c>
    </row>
    <row r="65" ht="16.5" customHeight="1">
      <c r="A65" s="5" t="str">
        <f>IFERROR(__xludf.DUMMYFUNCTION("""COMPUTED_VALUE"""),"SCOPUS-000706")</f>
        <v>SCOPUS-000706</v>
      </c>
      <c r="B65" s="13" t="str">
        <f>IFERROR(__xludf.DUMMYFUNCTION("""COMPUTED_VALUE"""),"Yes")</f>
        <v>Yes</v>
      </c>
      <c r="C65" s="13" t="str">
        <f>IFERROR(__xludf.DUMMYFUNCTION("""COMPUTED_VALUE"""),"Partial")</f>
        <v>Partial</v>
      </c>
      <c r="D65" s="13" t="str">
        <f>IFERROR(__xludf.DUMMYFUNCTION("""COMPUTED_VALUE"""),"Yes")</f>
        <v>Yes</v>
      </c>
      <c r="E65" s="13" t="str">
        <f>IFERROR(__xludf.DUMMYFUNCTION("""COMPUTED_VALUE"""),"Yes")</f>
        <v>Yes</v>
      </c>
      <c r="F65" s="13" t="str">
        <f>IFERROR(__xludf.DUMMYFUNCTION("""COMPUTED_VALUE"""),"Yes")</f>
        <v>Yes</v>
      </c>
      <c r="G65" s="13" t="str">
        <f>IFERROR(__xludf.DUMMYFUNCTION("""COMPUTED_VALUE"""),"Yes")</f>
        <v>Yes</v>
      </c>
      <c r="H65" s="13" t="str">
        <f>IFERROR(__xludf.DUMMYFUNCTION("""COMPUTED_VALUE"""),"Partial")</f>
        <v>Partial</v>
      </c>
      <c r="I65" s="13" t="str">
        <f>IFERROR(__xludf.DUMMYFUNCTION("""COMPUTED_VALUE"""),"No")</f>
        <v>No</v>
      </c>
      <c r="J65" s="13" t="str">
        <f>IFERROR(__xludf.DUMMYFUNCTION("""COMPUTED_VALUE"""),"Yes")</f>
        <v>Yes</v>
      </c>
      <c r="K65" s="13" t="str">
        <f>IFERROR(__xludf.DUMMYFUNCTION("""COMPUTED_VALUE"""),"Yes")</f>
        <v>Yes</v>
      </c>
      <c r="L65" s="13" t="str">
        <f>IFERROR(__xludf.DUMMYFUNCTION("""COMPUTED_VALUE"""),"Yes")</f>
        <v>Yes</v>
      </c>
      <c r="M65" s="13" t="str">
        <f>IFERROR(__xludf.DUMMYFUNCTION("""COMPUTED_VALUE"""),"Partial")</f>
        <v>Partial</v>
      </c>
      <c r="N65" s="13" t="str">
        <f>IFERROR(__xludf.DUMMYFUNCTION("""COMPUTED_VALUE"""),"Unclear")</f>
        <v>Unclear</v>
      </c>
      <c r="O65" s="13" t="str">
        <f>IFERROR(__xludf.DUMMYFUNCTION("""COMPUTED_VALUE"""),"Unclear")</f>
        <v>Unclear</v>
      </c>
      <c r="P65" s="13" t="str">
        <f>IFERROR(__xludf.DUMMYFUNCTION("""COMPUTED_VALUE"""),"Yes")</f>
        <v>Yes</v>
      </c>
      <c r="Q65" s="13" t="str">
        <f>IFERROR(__xludf.DUMMYFUNCTION("""COMPUTED_VALUE"""),"Partial")</f>
        <v>Partial</v>
      </c>
      <c r="R65" s="13" t="str">
        <f>IFERROR(__xludf.DUMMYFUNCTION("""COMPUTED_VALUE"""),"Unclear")</f>
        <v>Unclear</v>
      </c>
      <c r="S65" s="13" t="str">
        <f>IFERROR(__xludf.DUMMYFUNCTION("""COMPUTED_VALUE"""),"N/A")</f>
        <v>N/A</v>
      </c>
      <c r="T65" s="13" t="str">
        <f>IFERROR(__xludf.DUMMYFUNCTION("""COMPUTED_VALUE"""),"N/A")</f>
        <v>N/A</v>
      </c>
      <c r="U65" s="13" t="str">
        <f>IFERROR(__xludf.DUMMYFUNCTION("""COMPUTED_VALUE"""),"Some concerns")</f>
        <v>Some concerns</v>
      </c>
      <c r="V65" s="13" t="str">
        <f>IFERROR(__xludf.DUMMYFUNCTION("""COMPUTED_VALUE"""),"Some concerns")</f>
        <v>Some concerns</v>
      </c>
      <c r="W65" s="13" t="str">
        <f>IFERROR(__xludf.DUMMYFUNCTION("""COMPUTED_VALUE"""),"Some concerns")</f>
        <v>Some concerns</v>
      </c>
    </row>
    <row r="66" ht="16.5" customHeight="1">
      <c r="A66" s="5" t="str">
        <f>IFERROR(__xludf.DUMMYFUNCTION("""COMPUTED_VALUE"""),"SCOPUS-000013")</f>
        <v>SCOPUS-000013</v>
      </c>
      <c r="B66" s="13" t="str">
        <f>IFERROR(__xludf.DUMMYFUNCTION("""COMPUTED_VALUE"""),"Yes")</f>
        <v>Yes</v>
      </c>
      <c r="C66" s="13" t="str">
        <f>IFERROR(__xludf.DUMMYFUNCTION("""COMPUTED_VALUE"""),"Yes")</f>
        <v>Yes</v>
      </c>
      <c r="D66" s="13" t="str">
        <f>IFERROR(__xludf.DUMMYFUNCTION("""COMPUTED_VALUE"""),"Yes")</f>
        <v>Yes</v>
      </c>
      <c r="E66" s="13" t="str">
        <f>IFERROR(__xludf.DUMMYFUNCTION("""COMPUTED_VALUE"""),"Yes")</f>
        <v>Yes</v>
      </c>
      <c r="F66" s="13" t="str">
        <f>IFERROR(__xludf.DUMMYFUNCTION("""COMPUTED_VALUE"""),"Yes")</f>
        <v>Yes</v>
      </c>
      <c r="G66" s="13" t="str">
        <f>IFERROR(__xludf.DUMMYFUNCTION("""COMPUTED_VALUE"""),"Yes")</f>
        <v>Yes</v>
      </c>
      <c r="H66" s="13" t="str">
        <f>IFERROR(__xludf.DUMMYFUNCTION("""COMPUTED_VALUE"""),"Partial")</f>
        <v>Partial</v>
      </c>
      <c r="I66" s="13" t="str">
        <f>IFERROR(__xludf.DUMMYFUNCTION("""COMPUTED_VALUE"""),"No")</f>
        <v>No</v>
      </c>
      <c r="J66" s="13" t="str">
        <f>IFERROR(__xludf.DUMMYFUNCTION("""COMPUTED_VALUE"""),"Yes")</f>
        <v>Yes</v>
      </c>
      <c r="K66" s="13" t="str">
        <f>IFERROR(__xludf.DUMMYFUNCTION("""COMPUTED_VALUE"""),"Yes")</f>
        <v>Yes</v>
      </c>
      <c r="L66" s="13" t="str">
        <f>IFERROR(__xludf.DUMMYFUNCTION("""COMPUTED_VALUE"""),"Yes")</f>
        <v>Yes</v>
      </c>
      <c r="M66" s="13" t="str">
        <f>IFERROR(__xludf.DUMMYFUNCTION("""COMPUTED_VALUE"""),"Yes")</f>
        <v>Yes</v>
      </c>
      <c r="N66" s="13" t="str">
        <f>IFERROR(__xludf.DUMMYFUNCTION("""COMPUTED_VALUE"""),"Unclear")</f>
        <v>Unclear</v>
      </c>
      <c r="O66" s="13" t="str">
        <f>IFERROR(__xludf.DUMMYFUNCTION("""COMPUTED_VALUE"""),"Unclear")</f>
        <v>Unclear</v>
      </c>
      <c r="P66" s="13" t="str">
        <f>IFERROR(__xludf.DUMMYFUNCTION("""COMPUTED_VALUE"""),"Yes")</f>
        <v>Yes</v>
      </c>
      <c r="Q66" s="13" t="str">
        <f>IFERROR(__xludf.DUMMYFUNCTION("""COMPUTED_VALUE"""),"Partial")</f>
        <v>Partial</v>
      </c>
      <c r="R66" s="13" t="str">
        <f>IFERROR(__xludf.DUMMYFUNCTION("""COMPUTED_VALUE"""),"Unclear")</f>
        <v>Unclear</v>
      </c>
      <c r="S66" s="13" t="str">
        <f>IFERROR(__xludf.DUMMYFUNCTION("""COMPUTED_VALUE"""),"N/A")</f>
        <v>N/A</v>
      </c>
      <c r="T66" s="13" t="str">
        <f>IFERROR(__xludf.DUMMYFUNCTION("""COMPUTED_VALUE"""),"N/A")</f>
        <v>N/A</v>
      </c>
      <c r="U66" s="13" t="str">
        <f>IFERROR(__xludf.DUMMYFUNCTION("""COMPUTED_VALUE"""),"Some concerns")</f>
        <v>Some concerns</v>
      </c>
      <c r="V66" s="13" t="str">
        <f>IFERROR(__xludf.DUMMYFUNCTION("""COMPUTED_VALUE"""),"Some concerns")</f>
        <v>Some concerns</v>
      </c>
      <c r="W66" s="13" t="str">
        <f>IFERROR(__xludf.DUMMYFUNCTION("""COMPUTED_VALUE"""),"Some concerns")</f>
        <v>Some concerns</v>
      </c>
    </row>
    <row r="67" ht="16.5" customHeight="1">
      <c r="A67" s="5" t="str">
        <f>IFERROR(__xludf.DUMMYFUNCTION("""COMPUTED_VALUE"""),"SCOPUS-000642")</f>
        <v>SCOPUS-000642</v>
      </c>
      <c r="B67" s="13" t="str">
        <f>IFERROR(__xludf.DUMMYFUNCTION("""COMPUTED_VALUE"""),"Yes")</f>
        <v>Yes</v>
      </c>
      <c r="C67" s="13" t="str">
        <f>IFERROR(__xludf.DUMMYFUNCTION("""COMPUTED_VALUE"""),"Yes")</f>
        <v>Yes</v>
      </c>
      <c r="D67" s="13" t="str">
        <f>IFERROR(__xludf.DUMMYFUNCTION("""COMPUTED_VALUE"""),"Yes")</f>
        <v>Yes</v>
      </c>
      <c r="E67" s="13" t="str">
        <f>IFERROR(__xludf.DUMMYFUNCTION("""COMPUTED_VALUE"""),"Yes")</f>
        <v>Yes</v>
      </c>
      <c r="F67" s="13" t="str">
        <f>IFERROR(__xludf.DUMMYFUNCTION("""COMPUTED_VALUE"""),"Yes")</f>
        <v>Yes</v>
      </c>
      <c r="G67" s="13" t="str">
        <f>IFERROR(__xludf.DUMMYFUNCTION("""COMPUTED_VALUE"""),"Yes")</f>
        <v>Yes</v>
      </c>
      <c r="H67" s="13" t="str">
        <f>IFERROR(__xludf.DUMMYFUNCTION("""COMPUTED_VALUE"""),"Partial")</f>
        <v>Partial</v>
      </c>
      <c r="I67" s="13" t="str">
        <f>IFERROR(__xludf.DUMMYFUNCTION("""COMPUTED_VALUE"""),"No")</f>
        <v>No</v>
      </c>
      <c r="J67" s="13" t="str">
        <f>IFERROR(__xludf.DUMMYFUNCTION("""COMPUTED_VALUE"""),"Yes")</f>
        <v>Yes</v>
      </c>
      <c r="K67" s="13" t="str">
        <f>IFERROR(__xludf.DUMMYFUNCTION("""COMPUTED_VALUE"""),"Yes")</f>
        <v>Yes</v>
      </c>
      <c r="L67" s="13" t="str">
        <f>IFERROR(__xludf.DUMMYFUNCTION("""COMPUTED_VALUE"""),"Yes")</f>
        <v>Yes</v>
      </c>
      <c r="M67" s="13" t="str">
        <f>IFERROR(__xludf.DUMMYFUNCTION("""COMPUTED_VALUE"""),"Yes")</f>
        <v>Yes</v>
      </c>
      <c r="N67" s="13" t="str">
        <f>IFERROR(__xludf.DUMMYFUNCTION("""COMPUTED_VALUE"""),"Unclear")</f>
        <v>Unclear</v>
      </c>
      <c r="O67" s="13" t="str">
        <f>IFERROR(__xludf.DUMMYFUNCTION("""COMPUTED_VALUE"""),"Unclear")</f>
        <v>Unclear</v>
      </c>
      <c r="P67" s="13" t="str">
        <f>IFERROR(__xludf.DUMMYFUNCTION("""COMPUTED_VALUE"""),"Yes")</f>
        <v>Yes</v>
      </c>
      <c r="Q67" s="13" t="str">
        <f>IFERROR(__xludf.DUMMYFUNCTION("""COMPUTED_VALUE"""),"Partial")</f>
        <v>Partial</v>
      </c>
      <c r="R67" s="13" t="str">
        <f>IFERROR(__xludf.DUMMYFUNCTION("""COMPUTED_VALUE"""),"Unclear")</f>
        <v>Unclear</v>
      </c>
      <c r="S67" s="13" t="str">
        <f>IFERROR(__xludf.DUMMYFUNCTION("""COMPUTED_VALUE"""),"N/A")</f>
        <v>N/A</v>
      </c>
      <c r="T67" s="13" t="str">
        <f>IFERROR(__xludf.DUMMYFUNCTION("""COMPUTED_VALUE"""),"N/A")</f>
        <v>N/A</v>
      </c>
      <c r="U67" s="13" t="str">
        <f>IFERROR(__xludf.DUMMYFUNCTION("""COMPUTED_VALUE"""),"Some concerns")</f>
        <v>Some concerns</v>
      </c>
      <c r="V67" s="13" t="str">
        <f>IFERROR(__xludf.DUMMYFUNCTION("""COMPUTED_VALUE"""),"Some concerns")</f>
        <v>Some concerns</v>
      </c>
      <c r="W67" s="13" t="str">
        <f>IFERROR(__xludf.DUMMYFUNCTION("""COMPUTED_VALUE"""),"Some concerns")</f>
        <v>Some concerns</v>
      </c>
    </row>
    <row r="68" ht="16.5" customHeight="1">
      <c r="A68" s="5" t="str">
        <f>IFERROR(__xludf.DUMMYFUNCTION("""COMPUTED_VALUE"""),"SCOPUS-000132")</f>
        <v>SCOPUS-000132</v>
      </c>
      <c r="B68" s="13" t="str">
        <f>IFERROR(__xludf.DUMMYFUNCTION("""COMPUTED_VALUE"""),"Yes")</f>
        <v>Yes</v>
      </c>
      <c r="C68" s="13" t="str">
        <f>IFERROR(__xludf.DUMMYFUNCTION("""COMPUTED_VALUE"""),"Partial")</f>
        <v>Partial</v>
      </c>
      <c r="D68" s="13" t="str">
        <f>IFERROR(__xludf.DUMMYFUNCTION("""COMPUTED_VALUE"""),"Yes")</f>
        <v>Yes</v>
      </c>
      <c r="E68" s="13" t="str">
        <f>IFERROR(__xludf.DUMMYFUNCTION("""COMPUTED_VALUE"""),"Yes")</f>
        <v>Yes</v>
      </c>
      <c r="F68" s="13" t="str">
        <f>IFERROR(__xludf.DUMMYFUNCTION("""COMPUTED_VALUE"""),"Yes")</f>
        <v>Yes</v>
      </c>
      <c r="G68" s="13" t="str">
        <f>IFERROR(__xludf.DUMMYFUNCTION("""COMPUTED_VALUE"""),"Yes")</f>
        <v>Yes</v>
      </c>
      <c r="H68" s="13" t="str">
        <f>IFERROR(__xludf.DUMMYFUNCTION("""COMPUTED_VALUE"""),"Partial")</f>
        <v>Partial</v>
      </c>
      <c r="I68" s="13" t="str">
        <f>IFERROR(__xludf.DUMMYFUNCTION("""COMPUTED_VALUE"""),"No")</f>
        <v>No</v>
      </c>
      <c r="J68" s="13" t="str">
        <f>IFERROR(__xludf.DUMMYFUNCTION("""COMPUTED_VALUE"""),"Yes")</f>
        <v>Yes</v>
      </c>
      <c r="K68" s="13" t="str">
        <f>IFERROR(__xludf.DUMMYFUNCTION("""COMPUTED_VALUE"""),"Yes")</f>
        <v>Yes</v>
      </c>
      <c r="L68" s="13" t="str">
        <f>IFERROR(__xludf.DUMMYFUNCTION("""COMPUTED_VALUE"""),"Yes")</f>
        <v>Yes</v>
      </c>
      <c r="M68" s="13" t="str">
        <f>IFERROR(__xludf.DUMMYFUNCTION("""COMPUTED_VALUE"""),"Yes")</f>
        <v>Yes</v>
      </c>
      <c r="N68" s="13" t="str">
        <f>IFERROR(__xludf.DUMMYFUNCTION("""COMPUTED_VALUE"""),"Unclear")</f>
        <v>Unclear</v>
      </c>
      <c r="O68" s="13" t="str">
        <f>IFERROR(__xludf.DUMMYFUNCTION("""COMPUTED_VALUE"""),"Unclear")</f>
        <v>Unclear</v>
      </c>
      <c r="P68" s="13" t="str">
        <f>IFERROR(__xludf.DUMMYFUNCTION("""COMPUTED_VALUE"""),"Yes")</f>
        <v>Yes</v>
      </c>
      <c r="Q68" s="13" t="str">
        <f>IFERROR(__xludf.DUMMYFUNCTION("""COMPUTED_VALUE"""),"Partial")</f>
        <v>Partial</v>
      </c>
      <c r="R68" s="13" t="str">
        <f>IFERROR(__xludf.DUMMYFUNCTION("""COMPUTED_VALUE"""),"Unclear")</f>
        <v>Unclear</v>
      </c>
      <c r="S68" s="13" t="str">
        <f>IFERROR(__xludf.DUMMYFUNCTION("""COMPUTED_VALUE"""),"N/A")</f>
        <v>N/A</v>
      </c>
      <c r="T68" s="13" t="str">
        <f>IFERROR(__xludf.DUMMYFUNCTION("""COMPUTED_VALUE"""),"N/A")</f>
        <v>N/A</v>
      </c>
      <c r="U68" s="13" t="str">
        <f>IFERROR(__xludf.DUMMYFUNCTION("""COMPUTED_VALUE"""),"Some concerns")</f>
        <v>Some concerns</v>
      </c>
      <c r="V68" s="13" t="str">
        <f>IFERROR(__xludf.DUMMYFUNCTION("""COMPUTED_VALUE"""),"Some concerns")</f>
        <v>Some concerns</v>
      </c>
      <c r="W68" s="13" t="str">
        <f>IFERROR(__xludf.DUMMYFUNCTION("""COMPUTED_VALUE"""),"Some concerns")</f>
        <v>Some concerns</v>
      </c>
    </row>
    <row r="69" ht="16.5" customHeight="1">
      <c r="A69" s="5" t="str">
        <f>IFERROR(__xludf.DUMMYFUNCTION("""COMPUTED_VALUE"""),"SCOPUS-000121")</f>
        <v>SCOPUS-000121</v>
      </c>
      <c r="B69" s="13" t="str">
        <f>IFERROR(__xludf.DUMMYFUNCTION("""COMPUTED_VALUE"""),"Yes")</f>
        <v>Yes</v>
      </c>
      <c r="C69" s="13" t="str">
        <f>IFERROR(__xludf.DUMMYFUNCTION("""COMPUTED_VALUE"""),"Yes")</f>
        <v>Yes</v>
      </c>
      <c r="D69" s="13" t="str">
        <f>IFERROR(__xludf.DUMMYFUNCTION("""COMPUTED_VALUE"""),"Yes")</f>
        <v>Yes</v>
      </c>
      <c r="E69" s="13" t="str">
        <f>IFERROR(__xludf.DUMMYFUNCTION("""COMPUTED_VALUE"""),"Yes")</f>
        <v>Yes</v>
      </c>
      <c r="F69" s="13" t="str">
        <f>IFERROR(__xludf.DUMMYFUNCTION("""COMPUTED_VALUE"""),"Yes")</f>
        <v>Yes</v>
      </c>
      <c r="G69" s="13" t="str">
        <f>IFERROR(__xludf.DUMMYFUNCTION("""COMPUTED_VALUE"""),"Yes")</f>
        <v>Yes</v>
      </c>
      <c r="H69" s="13" t="str">
        <f>IFERROR(__xludf.DUMMYFUNCTION("""COMPUTED_VALUE"""),"Partial")</f>
        <v>Partial</v>
      </c>
      <c r="I69" s="13" t="str">
        <f>IFERROR(__xludf.DUMMYFUNCTION("""COMPUTED_VALUE"""),"No")</f>
        <v>No</v>
      </c>
      <c r="J69" s="13" t="str">
        <f>IFERROR(__xludf.DUMMYFUNCTION("""COMPUTED_VALUE"""),"Yes")</f>
        <v>Yes</v>
      </c>
      <c r="K69" s="13" t="str">
        <f>IFERROR(__xludf.DUMMYFUNCTION("""COMPUTED_VALUE"""),"Yes")</f>
        <v>Yes</v>
      </c>
      <c r="L69" s="13" t="str">
        <f>IFERROR(__xludf.DUMMYFUNCTION("""COMPUTED_VALUE"""),"Yes")</f>
        <v>Yes</v>
      </c>
      <c r="M69" s="13" t="str">
        <f>IFERROR(__xludf.DUMMYFUNCTION("""COMPUTED_VALUE"""),"Partial")</f>
        <v>Partial</v>
      </c>
      <c r="N69" s="13" t="str">
        <f>IFERROR(__xludf.DUMMYFUNCTION("""COMPUTED_VALUE"""),"No")</f>
        <v>No</v>
      </c>
      <c r="O69" s="13" t="str">
        <f>IFERROR(__xludf.DUMMYFUNCTION("""COMPUTED_VALUE"""),"No")</f>
        <v>No</v>
      </c>
      <c r="P69" s="13" t="str">
        <f>IFERROR(__xludf.DUMMYFUNCTION("""COMPUTED_VALUE"""),"Yes")</f>
        <v>Yes</v>
      </c>
      <c r="Q69" s="13" t="str">
        <f>IFERROR(__xludf.DUMMYFUNCTION("""COMPUTED_VALUE"""),"Partial")</f>
        <v>Partial</v>
      </c>
      <c r="R69" s="13" t="str">
        <f>IFERROR(__xludf.DUMMYFUNCTION("""COMPUTED_VALUE"""),"No")</f>
        <v>No</v>
      </c>
      <c r="S69" s="13" t="str">
        <f>IFERROR(__xludf.DUMMYFUNCTION("""COMPUTED_VALUE"""),"N/A")</f>
        <v>N/A</v>
      </c>
      <c r="T69" s="13" t="str">
        <f>IFERROR(__xludf.DUMMYFUNCTION("""COMPUTED_VALUE"""),"N/A")</f>
        <v>N/A</v>
      </c>
      <c r="U69" s="13" t="str">
        <f>IFERROR(__xludf.DUMMYFUNCTION("""COMPUTED_VALUE"""),"High")</f>
        <v>High</v>
      </c>
      <c r="V69" s="13" t="str">
        <f>IFERROR(__xludf.DUMMYFUNCTION("""COMPUTED_VALUE"""),"High")</f>
        <v>High</v>
      </c>
      <c r="W69" s="13" t="str">
        <f>IFERROR(__xludf.DUMMYFUNCTION("""COMPUTED_VALUE"""),"Some concerns")</f>
        <v>Some concerns</v>
      </c>
    </row>
    <row r="70" ht="16.5" customHeight="1">
      <c r="A70" s="5" t="str">
        <f>IFERROR(__xludf.DUMMYFUNCTION("""COMPUTED_VALUE"""),"SCOPUS-000267")</f>
        <v>SCOPUS-000267</v>
      </c>
      <c r="B70" s="13" t="str">
        <f>IFERROR(__xludf.DUMMYFUNCTION("""COMPUTED_VALUE"""),"Yes")</f>
        <v>Yes</v>
      </c>
      <c r="C70" s="13" t="str">
        <f>IFERROR(__xludf.DUMMYFUNCTION("""COMPUTED_VALUE"""),"Yes")</f>
        <v>Yes</v>
      </c>
      <c r="D70" s="13" t="str">
        <f>IFERROR(__xludf.DUMMYFUNCTION("""COMPUTED_VALUE"""),"Yes")</f>
        <v>Yes</v>
      </c>
      <c r="E70" s="13" t="str">
        <f>IFERROR(__xludf.DUMMYFUNCTION("""COMPUTED_VALUE"""),"Yes")</f>
        <v>Yes</v>
      </c>
      <c r="F70" s="13" t="str">
        <f>IFERROR(__xludf.DUMMYFUNCTION("""COMPUTED_VALUE"""),"Yes")</f>
        <v>Yes</v>
      </c>
      <c r="G70" s="13" t="str">
        <f>IFERROR(__xludf.DUMMYFUNCTION("""COMPUTED_VALUE"""),"Yes")</f>
        <v>Yes</v>
      </c>
      <c r="H70" s="13" t="str">
        <f>IFERROR(__xludf.DUMMYFUNCTION("""COMPUTED_VALUE"""),"Partial")</f>
        <v>Partial</v>
      </c>
      <c r="I70" s="13" t="str">
        <f>IFERROR(__xludf.DUMMYFUNCTION("""COMPUTED_VALUE"""),"Yes")</f>
        <v>Yes</v>
      </c>
      <c r="J70" s="13" t="str">
        <f>IFERROR(__xludf.DUMMYFUNCTION("""COMPUTED_VALUE"""),"Yes")</f>
        <v>Yes</v>
      </c>
      <c r="K70" s="13" t="str">
        <f>IFERROR(__xludf.DUMMYFUNCTION("""COMPUTED_VALUE"""),"Yes")</f>
        <v>Yes</v>
      </c>
      <c r="L70" s="13" t="str">
        <f>IFERROR(__xludf.DUMMYFUNCTION("""COMPUTED_VALUE"""),"Yes")</f>
        <v>Yes</v>
      </c>
      <c r="M70" s="13" t="str">
        <f>IFERROR(__xludf.DUMMYFUNCTION("""COMPUTED_VALUE"""),"Yes")</f>
        <v>Yes</v>
      </c>
      <c r="N70" s="13" t="str">
        <f>IFERROR(__xludf.DUMMYFUNCTION("""COMPUTED_VALUE"""),"Yes")</f>
        <v>Yes</v>
      </c>
      <c r="O70" s="13" t="str">
        <f>IFERROR(__xludf.DUMMYFUNCTION("""COMPUTED_VALUE"""),"Yes")</f>
        <v>Yes</v>
      </c>
      <c r="P70" s="13" t="str">
        <f>IFERROR(__xludf.DUMMYFUNCTION("""COMPUTED_VALUE"""),"Yes")</f>
        <v>Yes</v>
      </c>
      <c r="Q70" s="13" t="str">
        <f>IFERROR(__xludf.DUMMYFUNCTION("""COMPUTED_VALUE"""),"Yes")</f>
        <v>Yes</v>
      </c>
      <c r="R70" s="13" t="str">
        <f>IFERROR(__xludf.DUMMYFUNCTION("""COMPUTED_VALUE"""),"Yes")</f>
        <v>Yes</v>
      </c>
      <c r="S70" s="13" t="str">
        <f>IFERROR(__xludf.DUMMYFUNCTION("""COMPUTED_VALUE"""),"N/A")</f>
        <v>N/A</v>
      </c>
      <c r="T70" s="13" t="str">
        <f>IFERROR(__xludf.DUMMYFUNCTION("""COMPUTED_VALUE"""),"N/A")</f>
        <v>N/A</v>
      </c>
      <c r="U70" s="13" t="str">
        <f>IFERROR(__xludf.DUMMYFUNCTION("""COMPUTED_VALUE"""),"Low")</f>
        <v>Low</v>
      </c>
      <c r="V70" s="13" t="str">
        <f>IFERROR(__xludf.DUMMYFUNCTION("""COMPUTED_VALUE"""),"Low")</f>
        <v>Low</v>
      </c>
      <c r="W70" s="13" t="str">
        <f>IFERROR(__xludf.DUMMYFUNCTION("""COMPUTED_VALUE"""),"Low")</f>
        <v>Low</v>
      </c>
    </row>
    <row r="71" ht="16.5" customHeight="1">
      <c r="A71" s="5" t="str">
        <f>IFERROR(__xludf.DUMMYFUNCTION("""COMPUTED_VALUE"""),"SCOPUS-000074")</f>
        <v>SCOPUS-000074</v>
      </c>
      <c r="B71" s="13" t="str">
        <f>IFERROR(__xludf.DUMMYFUNCTION("""COMPUTED_VALUE"""),"Yes")</f>
        <v>Yes</v>
      </c>
      <c r="C71" s="13" t="str">
        <f>IFERROR(__xludf.DUMMYFUNCTION("""COMPUTED_VALUE"""),"Yes")</f>
        <v>Yes</v>
      </c>
      <c r="D71" s="13" t="str">
        <f>IFERROR(__xludf.DUMMYFUNCTION("""COMPUTED_VALUE"""),"Yes")</f>
        <v>Yes</v>
      </c>
      <c r="E71" s="13" t="str">
        <f>IFERROR(__xludf.DUMMYFUNCTION("""COMPUTED_VALUE"""),"Yes")</f>
        <v>Yes</v>
      </c>
      <c r="F71" s="13" t="str">
        <f>IFERROR(__xludf.DUMMYFUNCTION("""COMPUTED_VALUE"""),"Yes")</f>
        <v>Yes</v>
      </c>
      <c r="G71" s="13" t="str">
        <f>IFERROR(__xludf.DUMMYFUNCTION("""COMPUTED_VALUE"""),"Yes")</f>
        <v>Yes</v>
      </c>
      <c r="H71" s="13" t="str">
        <f>IFERROR(__xludf.DUMMYFUNCTION("""COMPUTED_VALUE"""),"Partial")</f>
        <v>Partial</v>
      </c>
      <c r="I71" s="13" t="str">
        <f>IFERROR(__xludf.DUMMYFUNCTION("""COMPUTED_VALUE"""),"No")</f>
        <v>No</v>
      </c>
      <c r="J71" s="13" t="str">
        <f>IFERROR(__xludf.DUMMYFUNCTION("""COMPUTED_VALUE"""),"Yes")</f>
        <v>Yes</v>
      </c>
      <c r="K71" s="13" t="str">
        <f>IFERROR(__xludf.DUMMYFUNCTION("""COMPUTED_VALUE"""),"Yes")</f>
        <v>Yes</v>
      </c>
      <c r="L71" s="13" t="str">
        <f>IFERROR(__xludf.DUMMYFUNCTION("""COMPUTED_VALUE"""),"Yes")</f>
        <v>Yes</v>
      </c>
      <c r="M71" s="13" t="str">
        <f>IFERROR(__xludf.DUMMYFUNCTION("""COMPUTED_VALUE"""),"Yes")</f>
        <v>Yes</v>
      </c>
      <c r="N71" s="13" t="str">
        <f>IFERROR(__xludf.DUMMYFUNCTION("""COMPUTED_VALUE"""),"Yes")</f>
        <v>Yes</v>
      </c>
      <c r="O71" s="13" t="str">
        <f>IFERROR(__xludf.DUMMYFUNCTION("""COMPUTED_VALUE"""),"Unclear")</f>
        <v>Unclear</v>
      </c>
      <c r="P71" s="13" t="str">
        <f>IFERROR(__xludf.DUMMYFUNCTION("""COMPUTED_VALUE"""),"Yes")</f>
        <v>Yes</v>
      </c>
      <c r="Q71" s="13" t="str">
        <f>IFERROR(__xludf.DUMMYFUNCTION("""COMPUTED_VALUE"""),"Yes")</f>
        <v>Yes</v>
      </c>
      <c r="R71" s="13" t="str">
        <f>IFERROR(__xludf.DUMMYFUNCTION("""COMPUTED_VALUE"""),"Unclear")</f>
        <v>Unclear</v>
      </c>
      <c r="S71" s="13" t="str">
        <f>IFERROR(__xludf.DUMMYFUNCTION("""COMPUTED_VALUE"""),"N/A")</f>
        <v>N/A</v>
      </c>
      <c r="T71" s="13" t="str">
        <f>IFERROR(__xludf.DUMMYFUNCTION("""COMPUTED_VALUE"""),"N/A")</f>
        <v>N/A</v>
      </c>
      <c r="U71" s="13" t="str">
        <f>IFERROR(__xludf.DUMMYFUNCTION("""COMPUTED_VALUE"""),"Some concerns")</f>
        <v>Some concerns</v>
      </c>
      <c r="V71" s="13" t="str">
        <f>IFERROR(__xludf.DUMMYFUNCTION("""COMPUTED_VALUE"""),"Some concerns")</f>
        <v>Some concerns</v>
      </c>
      <c r="W71" s="13" t="str">
        <f>IFERROR(__xludf.DUMMYFUNCTION("""COMPUTED_VALUE"""),"Low")</f>
        <v>Low</v>
      </c>
    </row>
    <row r="72" ht="16.5" customHeight="1">
      <c r="A72" s="5" t="str">
        <f>IFERROR(__xludf.DUMMYFUNCTION("""COMPUTED_VALUE"""),"SCOPUS-000107")</f>
        <v>SCOPUS-000107</v>
      </c>
      <c r="B72" s="13" t="str">
        <f>IFERROR(__xludf.DUMMYFUNCTION("""COMPUTED_VALUE"""),"Yes")</f>
        <v>Yes</v>
      </c>
      <c r="C72" s="13" t="str">
        <f>IFERROR(__xludf.DUMMYFUNCTION("""COMPUTED_VALUE"""),"Yes")</f>
        <v>Yes</v>
      </c>
      <c r="D72" s="13" t="str">
        <f>IFERROR(__xludf.DUMMYFUNCTION("""COMPUTED_VALUE"""),"Yes")</f>
        <v>Yes</v>
      </c>
      <c r="E72" s="13" t="str">
        <f>IFERROR(__xludf.DUMMYFUNCTION("""COMPUTED_VALUE"""),"Yes")</f>
        <v>Yes</v>
      </c>
      <c r="F72" s="13" t="str">
        <f>IFERROR(__xludf.DUMMYFUNCTION("""COMPUTED_VALUE"""),"Yes")</f>
        <v>Yes</v>
      </c>
      <c r="G72" s="13" t="str">
        <f>IFERROR(__xludf.DUMMYFUNCTION("""COMPUTED_VALUE"""),"Yes")</f>
        <v>Yes</v>
      </c>
      <c r="H72" s="13" t="str">
        <f>IFERROR(__xludf.DUMMYFUNCTION("""COMPUTED_VALUE"""),"Partial")</f>
        <v>Partial</v>
      </c>
      <c r="I72" s="13" t="str">
        <f>IFERROR(__xludf.DUMMYFUNCTION("""COMPUTED_VALUE"""),"No")</f>
        <v>No</v>
      </c>
      <c r="J72" s="13" t="str">
        <f>IFERROR(__xludf.DUMMYFUNCTION("""COMPUTED_VALUE"""),"Yes")</f>
        <v>Yes</v>
      </c>
      <c r="K72" s="13" t="str">
        <f>IFERROR(__xludf.DUMMYFUNCTION("""COMPUTED_VALUE"""),"Yes")</f>
        <v>Yes</v>
      </c>
      <c r="L72" s="13" t="str">
        <f>IFERROR(__xludf.DUMMYFUNCTION("""COMPUTED_VALUE"""),"Yes")</f>
        <v>Yes</v>
      </c>
      <c r="M72" s="13" t="str">
        <f>IFERROR(__xludf.DUMMYFUNCTION("""COMPUTED_VALUE"""),"Partial")</f>
        <v>Partial</v>
      </c>
      <c r="N72" s="13" t="str">
        <f>IFERROR(__xludf.DUMMYFUNCTION("""COMPUTED_VALUE"""),"No")</f>
        <v>No</v>
      </c>
      <c r="O72" s="13" t="str">
        <f>IFERROR(__xludf.DUMMYFUNCTION("""COMPUTED_VALUE"""),"No")</f>
        <v>No</v>
      </c>
      <c r="P72" s="13" t="str">
        <f>IFERROR(__xludf.DUMMYFUNCTION("""COMPUTED_VALUE"""),"Yes")</f>
        <v>Yes</v>
      </c>
      <c r="Q72" s="13" t="str">
        <f>IFERROR(__xludf.DUMMYFUNCTION("""COMPUTED_VALUE"""),"Yes")</f>
        <v>Yes</v>
      </c>
      <c r="R72" s="13" t="str">
        <f>IFERROR(__xludf.DUMMYFUNCTION("""COMPUTED_VALUE"""),"No")</f>
        <v>No</v>
      </c>
      <c r="S72" s="13" t="str">
        <f>IFERROR(__xludf.DUMMYFUNCTION("""COMPUTED_VALUE"""),"N/A")</f>
        <v>N/A</v>
      </c>
      <c r="T72" s="13" t="str">
        <f>IFERROR(__xludf.DUMMYFUNCTION("""COMPUTED_VALUE"""),"N/A")</f>
        <v>N/A</v>
      </c>
      <c r="U72" s="13" t="str">
        <f>IFERROR(__xludf.DUMMYFUNCTION("""COMPUTED_VALUE"""),"High")</f>
        <v>High</v>
      </c>
      <c r="V72" s="13" t="str">
        <f>IFERROR(__xludf.DUMMYFUNCTION("""COMPUTED_VALUE"""),"High")</f>
        <v>High</v>
      </c>
      <c r="W72" s="13" t="str">
        <f>IFERROR(__xludf.DUMMYFUNCTION("""COMPUTED_VALUE"""),"Some concerns")</f>
        <v>Some concerns</v>
      </c>
    </row>
    <row r="73" ht="16.5" customHeight="1">
      <c r="A73" s="5" t="str">
        <f>IFERROR(__xludf.DUMMYFUNCTION("""COMPUTED_VALUE"""),"SCOPUS-000142")</f>
        <v>SCOPUS-000142</v>
      </c>
      <c r="B73" s="13" t="str">
        <f>IFERROR(__xludf.DUMMYFUNCTION("""COMPUTED_VALUE"""),"Yes")</f>
        <v>Yes</v>
      </c>
      <c r="C73" s="13" t="str">
        <f>IFERROR(__xludf.DUMMYFUNCTION("""COMPUTED_VALUE"""),"Yes")</f>
        <v>Yes</v>
      </c>
      <c r="D73" s="13" t="str">
        <f>IFERROR(__xludf.DUMMYFUNCTION("""COMPUTED_VALUE"""),"Yes")</f>
        <v>Yes</v>
      </c>
      <c r="E73" s="13" t="str">
        <f>IFERROR(__xludf.DUMMYFUNCTION("""COMPUTED_VALUE"""),"Yes")</f>
        <v>Yes</v>
      </c>
      <c r="F73" s="13" t="str">
        <f>IFERROR(__xludf.DUMMYFUNCTION("""COMPUTED_VALUE"""),"Yes")</f>
        <v>Yes</v>
      </c>
      <c r="G73" s="13" t="str">
        <f>IFERROR(__xludf.DUMMYFUNCTION("""COMPUTED_VALUE"""),"Yes")</f>
        <v>Yes</v>
      </c>
      <c r="H73" s="13" t="str">
        <f>IFERROR(__xludf.DUMMYFUNCTION("""COMPUTED_VALUE"""),"Partial")</f>
        <v>Partial</v>
      </c>
      <c r="I73" s="13" t="str">
        <f>IFERROR(__xludf.DUMMYFUNCTION("""COMPUTED_VALUE"""),"No")</f>
        <v>No</v>
      </c>
      <c r="J73" s="13" t="str">
        <f>IFERROR(__xludf.DUMMYFUNCTION("""COMPUTED_VALUE"""),"Yes")</f>
        <v>Yes</v>
      </c>
      <c r="K73" s="13" t="str">
        <f>IFERROR(__xludf.DUMMYFUNCTION("""COMPUTED_VALUE"""),"Yes")</f>
        <v>Yes</v>
      </c>
      <c r="L73" s="13" t="str">
        <f>IFERROR(__xludf.DUMMYFUNCTION("""COMPUTED_VALUE"""),"Yes")</f>
        <v>Yes</v>
      </c>
      <c r="M73" s="13" t="str">
        <f>IFERROR(__xludf.DUMMYFUNCTION("""COMPUTED_VALUE"""),"Yes")</f>
        <v>Yes</v>
      </c>
      <c r="N73" s="13" t="str">
        <f>IFERROR(__xludf.DUMMYFUNCTION("""COMPUTED_VALUE"""),"Yes")</f>
        <v>Yes</v>
      </c>
      <c r="O73" s="13" t="str">
        <f>IFERROR(__xludf.DUMMYFUNCTION("""COMPUTED_VALUE"""),"Unclear")</f>
        <v>Unclear</v>
      </c>
      <c r="P73" s="13" t="str">
        <f>IFERROR(__xludf.DUMMYFUNCTION("""COMPUTED_VALUE"""),"Yes")</f>
        <v>Yes</v>
      </c>
      <c r="Q73" s="13" t="str">
        <f>IFERROR(__xludf.DUMMYFUNCTION("""COMPUTED_VALUE"""),"Yes")</f>
        <v>Yes</v>
      </c>
      <c r="R73" s="13" t="str">
        <f>IFERROR(__xludf.DUMMYFUNCTION("""COMPUTED_VALUE"""),"Unclear")</f>
        <v>Unclear</v>
      </c>
      <c r="S73" s="13" t="str">
        <f>IFERROR(__xludf.DUMMYFUNCTION("""COMPUTED_VALUE"""),"N/A")</f>
        <v>N/A</v>
      </c>
      <c r="T73" s="13" t="str">
        <f>IFERROR(__xludf.DUMMYFUNCTION("""COMPUTED_VALUE"""),"N/A")</f>
        <v>N/A</v>
      </c>
      <c r="U73" s="13" t="str">
        <f>IFERROR(__xludf.DUMMYFUNCTION("""COMPUTED_VALUE"""),"Some concerns")</f>
        <v>Some concerns</v>
      </c>
      <c r="V73" s="13" t="str">
        <f>IFERROR(__xludf.DUMMYFUNCTION("""COMPUTED_VALUE"""),"Some concerns")</f>
        <v>Some concerns</v>
      </c>
      <c r="W73" s="13" t="str">
        <f>IFERROR(__xludf.DUMMYFUNCTION("""COMPUTED_VALUE"""),"Low")</f>
        <v>Low</v>
      </c>
    </row>
    <row r="74" ht="16.5" customHeight="1">
      <c r="A74" s="5" t="str">
        <f>IFERROR(__xludf.DUMMYFUNCTION("""COMPUTED_VALUE"""),"SCOPUS-000193")</f>
        <v>SCOPUS-000193</v>
      </c>
      <c r="B74" s="13" t="str">
        <f>IFERROR(__xludf.DUMMYFUNCTION("""COMPUTED_VALUE"""),"Yes")</f>
        <v>Yes</v>
      </c>
      <c r="C74" s="13" t="str">
        <f>IFERROR(__xludf.DUMMYFUNCTION("""COMPUTED_VALUE"""),"Yes")</f>
        <v>Yes</v>
      </c>
      <c r="D74" s="13" t="str">
        <f>IFERROR(__xludf.DUMMYFUNCTION("""COMPUTED_VALUE"""),"Yes")</f>
        <v>Yes</v>
      </c>
      <c r="E74" s="13" t="str">
        <f>IFERROR(__xludf.DUMMYFUNCTION("""COMPUTED_VALUE"""),"Yes")</f>
        <v>Yes</v>
      </c>
      <c r="F74" s="13" t="str">
        <f>IFERROR(__xludf.DUMMYFUNCTION("""COMPUTED_VALUE"""),"Yes")</f>
        <v>Yes</v>
      </c>
      <c r="G74" s="13" t="str">
        <f>IFERROR(__xludf.DUMMYFUNCTION("""COMPUTED_VALUE"""),"Yes")</f>
        <v>Yes</v>
      </c>
      <c r="H74" s="13" t="str">
        <f>IFERROR(__xludf.DUMMYFUNCTION("""COMPUTED_VALUE"""),"Partial")</f>
        <v>Partial</v>
      </c>
      <c r="I74" s="13" t="str">
        <f>IFERROR(__xludf.DUMMYFUNCTION("""COMPUTED_VALUE"""),"No")</f>
        <v>No</v>
      </c>
      <c r="J74" s="13" t="str">
        <f>IFERROR(__xludf.DUMMYFUNCTION("""COMPUTED_VALUE"""),"Yes")</f>
        <v>Yes</v>
      </c>
      <c r="K74" s="13" t="str">
        <f>IFERROR(__xludf.DUMMYFUNCTION("""COMPUTED_VALUE"""),"Yes")</f>
        <v>Yes</v>
      </c>
      <c r="L74" s="13" t="str">
        <f>IFERROR(__xludf.DUMMYFUNCTION("""COMPUTED_VALUE"""),"Yes")</f>
        <v>Yes</v>
      </c>
      <c r="M74" s="13" t="str">
        <f>IFERROR(__xludf.DUMMYFUNCTION("""COMPUTED_VALUE"""),"Yes")</f>
        <v>Yes</v>
      </c>
      <c r="N74" s="13" t="str">
        <f>IFERROR(__xludf.DUMMYFUNCTION("""COMPUTED_VALUE"""),"Yes")</f>
        <v>Yes</v>
      </c>
      <c r="O74" s="13" t="str">
        <f>IFERROR(__xludf.DUMMYFUNCTION("""COMPUTED_VALUE"""),"Unclear")</f>
        <v>Unclear</v>
      </c>
      <c r="P74" s="13" t="str">
        <f>IFERROR(__xludf.DUMMYFUNCTION("""COMPUTED_VALUE"""),"Yes")</f>
        <v>Yes</v>
      </c>
      <c r="Q74" s="13" t="str">
        <f>IFERROR(__xludf.DUMMYFUNCTION("""COMPUTED_VALUE"""),"Yes")</f>
        <v>Yes</v>
      </c>
      <c r="R74" s="13" t="str">
        <f>IFERROR(__xludf.DUMMYFUNCTION("""COMPUTED_VALUE"""),"Unclear")</f>
        <v>Unclear</v>
      </c>
      <c r="S74" s="13" t="str">
        <f>IFERROR(__xludf.DUMMYFUNCTION("""COMPUTED_VALUE"""),"N/A")</f>
        <v>N/A</v>
      </c>
      <c r="T74" s="13" t="str">
        <f>IFERROR(__xludf.DUMMYFUNCTION("""COMPUTED_VALUE"""),"N/A")</f>
        <v>N/A</v>
      </c>
      <c r="U74" s="13" t="str">
        <f>IFERROR(__xludf.DUMMYFUNCTION("""COMPUTED_VALUE"""),"Some concerns")</f>
        <v>Some concerns</v>
      </c>
      <c r="V74" s="13" t="str">
        <f>IFERROR(__xludf.DUMMYFUNCTION("""COMPUTED_VALUE"""),"Some concerns")</f>
        <v>Some concerns</v>
      </c>
      <c r="W74" s="13" t="str">
        <f>IFERROR(__xludf.DUMMYFUNCTION("""COMPUTED_VALUE"""),"Low")</f>
        <v>Low</v>
      </c>
    </row>
    <row r="75" ht="16.5" customHeight="1">
      <c r="A75" s="5" t="str">
        <f>IFERROR(__xludf.DUMMYFUNCTION("""COMPUTED_VALUE"""),"SCOPUS-000092")</f>
        <v>SCOPUS-000092</v>
      </c>
      <c r="B75" s="13" t="str">
        <f>IFERROR(__xludf.DUMMYFUNCTION("""COMPUTED_VALUE"""),"Yes")</f>
        <v>Yes</v>
      </c>
      <c r="C75" s="13" t="str">
        <f>IFERROR(__xludf.DUMMYFUNCTION("""COMPUTED_VALUE"""),"Yes")</f>
        <v>Yes</v>
      </c>
      <c r="D75" s="13" t="str">
        <f>IFERROR(__xludf.DUMMYFUNCTION("""COMPUTED_VALUE"""),"Yes")</f>
        <v>Yes</v>
      </c>
      <c r="E75" s="13" t="str">
        <f>IFERROR(__xludf.DUMMYFUNCTION("""COMPUTED_VALUE"""),"Yes")</f>
        <v>Yes</v>
      </c>
      <c r="F75" s="13" t="str">
        <f>IFERROR(__xludf.DUMMYFUNCTION("""COMPUTED_VALUE"""),"Yes")</f>
        <v>Yes</v>
      </c>
      <c r="G75" s="13" t="str">
        <f>IFERROR(__xludf.DUMMYFUNCTION("""COMPUTED_VALUE"""),"Yes")</f>
        <v>Yes</v>
      </c>
      <c r="H75" s="13" t="str">
        <f>IFERROR(__xludf.DUMMYFUNCTION("""COMPUTED_VALUE"""),"Partial")</f>
        <v>Partial</v>
      </c>
      <c r="I75" s="13" t="str">
        <f>IFERROR(__xludf.DUMMYFUNCTION("""COMPUTED_VALUE"""),"No")</f>
        <v>No</v>
      </c>
      <c r="J75" s="13" t="str">
        <f>IFERROR(__xludf.DUMMYFUNCTION("""COMPUTED_VALUE"""),"Yes")</f>
        <v>Yes</v>
      </c>
      <c r="K75" s="13" t="str">
        <f>IFERROR(__xludf.DUMMYFUNCTION("""COMPUTED_VALUE"""),"Yes")</f>
        <v>Yes</v>
      </c>
      <c r="L75" s="13" t="str">
        <f>IFERROR(__xludf.DUMMYFUNCTION("""COMPUTED_VALUE"""),"Yes")</f>
        <v>Yes</v>
      </c>
      <c r="M75" s="13" t="str">
        <f>IFERROR(__xludf.DUMMYFUNCTION("""COMPUTED_VALUE"""),"Yes")</f>
        <v>Yes</v>
      </c>
      <c r="N75" s="13" t="str">
        <f>IFERROR(__xludf.DUMMYFUNCTION("""COMPUTED_VALUE"""),"Yes")</f>
        <v>Yes</v>
      </c>
      <c r="O75" s="13" t="str">
        <f>IFERROR(__xludf.DUMMYFUNCTION("""COMPUTED_VALUE"""),"Yes")</f>
        <v>Yes</v>
      </c>
      <c r="P75" s="13" t="str">
        <f>IFERROR(__xludf.DUMMYFUNCTION("""COMPUTED_VALUE"""),"Yes")</f>
        <v>Yes</v>
      </c>
      <c r="Q75" s="13" t="str">
        <f>IFERROR(__xludf.DUMMYFUNCTION("""COMPUTED_VALUE"""),"Yes")</f>
        <v>Yes</v>
      </c>
      <c r="R75" s="13" t="str">
        <f>IFERROR(__xludf.DUMMYFUNCTION("""COMPUTED_VALUE"""),"Yes")</f>
        <v>Yes</v>
      </c>
      <c r="S75" s="13" t="str">
        <f>IFERROR(__xludf.DUMMYFUNCTION("""COMPUTED_VALUE"""),"N/A")</f>
        <v>N/A</v>
      </c>
      <c r="T75" s="13" t="str">
        <f>IFERROR(__xludf.DUMMYFUNCTION("""COMPUTED_VALUE"""),"N/A")</f>
        <v>N/A</v>
      </c>
      <c r="U75" s="13" t="str">
        <f>IFERROR(__xludf.DUMMYFUNCTION("""COMPUTED_VALUE"""),"Low")</f>
        <v>Low</v>
      </c>
      <c r="V75" s="13" t="str">
        <f>IFERROR(__xludf.DUMMYFUNCTION("""COMPUTED_VALUE"""),"Low")</f>
        <v>Low</v>
      </c>
      <c r="W75" s="13" t="str">
        <f>IFERROR(__xludf.DUMMYFUNCTION("""COMPUTED_VALUE"""),"Low")</f>
        <v>Low</v>
      </c>
    </row>
    <row r="76" ht="16.5" customHeight="1">
      <c r="A76" s="5" t="str">
        <f>IFERROR(__xludf.DUMMYFUNCTION("""COMPUTED_VALUE"""),"SCOPUS-000296")</f>
        <v>SCOPUS-000296</v>
      </c>
      <c r="B76" s="13" t="str">
        <f>IFERROR(__xludf.DUMMYFUNCTION("""COMPUTED_VALUE"""),"Yes")</f>
        <v>Yes</v>
      </c>
      <c r="C76" s="13" t="str">
        <f>IFERROR(__xludf.DUMMYFUNCTION("""COMPUTED_VALUE"""),"Yes")</f>
        <v>Yes</v>
      </c>
      <c r="D76" s="13" t="str">
        <f>IFERROR(__xludf.DUMMYFUNCTION("""COMPUTED_VALUE"""),"Yes")</f>
        <v>Yes</v>
      </c>
      <c r="E76" s="13" t="str">
        <f>IFERROR(__xludf.DUMMYFUNCTION("""COMPUTED_VALUE"""),"Yes")</f>
        <v>Yes</v>
      </c>
      <c r="F76" s="13" t="str">
        <f>IFERROR(__xludf.DUMMYFUNCTION("""COMPUTED_VALUE"""),"Yes")</f>
        <v>Yes</v>
      </c>
      <c r="G76" s="13" t="str">
        <f>IFERROR(__xludf.DUMMYFUNCTION("""COMPUTED_VALUE"""),"Yes")</f>
        <v>Yes</v>
      </c>
      <c r="H76" s="13" t="str">
        <f>IFERROR(__xludf.DUMMYFUNCTION("""COMPUTED_VALUE"""),"Yes")</f>
        <v>Yes</v>
      </c>
      <c r="I76" s="13" t="str">
        <f>IFERROR(__xludf.DUMMYFUNCTION("""COMPUTED_VALUE"""),"No")</f>
        <v>No</v>
      </c>
      <c r="J76" s="13" t="str">
        <f>IFERROR(__xludf.DUMMYFUNCTION("""COMPUTED_VALUE"""),"Yes")</f>
        <v>Yes</v>
      </c>
      <c r="K76" s="13" t="str">
        <f>IFERROR(__xludf.DUMMYFUNCTION("""COMPUTED_VALUE"""),"Yes")</f>
        <v>Yes</v>
      </c>
      <c r="L76" s="13" t="str">
        <f>IFERROR(__xludf.DUMMYFUNCTION("""COMPUTED_VALUE"""),"Yes")</f>
        <v>Yes</v>
      </c>
      <c r="M76" s="13" t="str">
        <f>IFERROR(__xludf.DUMMYFUNCTION("""COMPUTED_VALUE"""),"Yes")</f>
        <v>Yes</v>
      </c>
      <c r="N76" s="13" t="str">
        <f>IFERROR(__xludf.DUMMYFUNCTION("""COMPUTED_VALUE"""),"Yes")</f>
        <v>Yes</v>
      </c>
      <c r="O76" s="13" t="str">
        <f>IFERROR(__xludf.DUMMYFUNCTION("""COMPUTED_VALUE"""),"Partial")</f>
        <v>Partial</v>
      </c>
      <c r="P76" s="13" t="str">
        <f>IFERROR(__xludf.DUMMYFUNCTION("""COMPUTED_VALUE"""),"Yes")</f>
        <v>Yes</v>
      </c>
      <c r="Q76" s="13" t="str">
        <f>IFERROR(__xludf.DUMMYFUNCTION("""COMPUTED_VALUE"""),"Yes")</f>
        <v>Yes</v>
      </c>
      <c r="R76" s="13" t="str">
        <f>IFERROR(__xludf.DUMMYFUNCTION("""COMPUTED_VALUE"""),"Partial")</f>
        <v>Partial</v>
      </c>
      <c r="S76" s="13" t="str">
        <f>IFERROR(__xludf.DUMMYFUNCTION("""COMPUTED_VALUE"""),"N/A")</f>
        <v>N/A</v>
      </c>
      <c r="T76" s="13" t="str">
        <f>IFERROR(__xludf.DUMMYFUNCTION("""COMPUTED_VALUE"""),"N/A")</f>
        <v>N/A</v>
      </c>
      <c r="U76" s="13" t="str">
        <f>IFERROR(__xludf.DUMMYFUNCTION("""COMPUTED_VALUE"""),"Some concerns")</f>
        <v>Some concerns</v>
      </c>
      <c r="V76" s="13" t="str">
        <f>IFERROR(__xludf.DUMMYFUNCTION("""COMPUTED_VALUE"""),"Some concerns")</f>
        <v>Some concerns</v>
      </c>
      <c r="W76" s="13" t="str">
        <f>IFERROR(__xludf.DUMMYFUNCTION("""COMPUTED_VALUE"""),"Low")</f>
        <v>Low</v>
      </c>
    </row>
    <row r="77" ht="16.5" customHeight="1">
      <c r="A77" s="5" t="str">
        <f>IFERROR(__xludf.DUMMYFUNCTION("""COMPUTED_VALUE"""),"SCOPUS-000255")</f>
        <v>SCOPUS-000255</v>
      </c>
      <c r="B77" s="13" t="str">
        <f>IFERROR(__xludf.DUMMYFUNCTION("""COMPUTED_VALUE"""),"Yes")</f>
        <v>Yes</v>
      </c>
      <c r="C77" s="13" t="str">
        <f>IFERROR(__xludf.DUMMYFUNCTION("""COMPUTED_VALUE"""),"Yes")</f>
        <v>Yes</v>
      </c>
      <c r="D77" s="13" t="str">
        <f>IFERROR(__xludf.DUMMYFUNCTION("""COMPUTED_VALUE"""),"Yes")</f>
        <v>Yes</v>
      </c>
      <c r="E77" s="13" t="str">
        <f>IFERROR(__xludf.DUMMYFUNCTION("""COMPUTED_VALUE"""),"Yes")</f>
        <v>Yes</v>
      </c>
      <c r="F77" s="13" t="str">
        <f>IFERROR(__xludf.DUMMYFUNCTION("""COMPUTED_VALUE"""),"Yes")</f>
        <v>Yes</v>
      </c>
      <c r="G77" s="13" t="str">
        <f>IFERROR(__xludf.DUMMYFUNCTION("""COMPUTED_VALUE"""),"Yes")</f>
        <v>Yes</v>
      </c>
      <c r="H77" s="13" t="str">
        <f>IFERROR(__xludf.DUMMYFUNCTION("""COMPUTED_VALUE"""),"Partial")</f>
        <v>Partial</v>
      </c>
      <c r="I77" s="13" t="str">
        <f>IFERROR(__xludf.DUMMYFUNCTION("""COMPUTED_VALUE"""),"No")</f>
        <v>No</v>
      </c>
      <c r="J77" s="13" t="str">
        <f>IFERROR(__xludf.DUMMYFUNCTION("""COMPUTED_VALUE"""),"Yes")</f>
        <v>Yes</v>
      </c>
      <c r="K77" s="13" t="str">
        <f>IFERROR(__xludf.DUMMYFUNCTION("""COMPUTED_VALUE"""),"Yes")</f>
        <v>Yes</v>
      </c>
      <c r="L77" s="13" t="str">
        <f>IFERROR(__xludf.DUMMYFUNCTION("""COMPUTED_VALUE"""),"Yes")</f>
        <v>Yes</v>
      </c>
      <c r="M77" s="13" t="str">
        <f>IFERROR(__xludf.DUMMYFUNCTION("""COMPUTED_VALUE"""),"Yes")</f>
        <v>Yes</v>
      </c>
      <c r="N77" s="13" t="str">
        <f>IFERROR(__xludf.DUMMYFUNCTION("""COMPUTED_VALUE"""),"No")</f>
        <v>No</v>
      </c>
      <c r="O77" s="13" t="str">
        <f>IFERROR(__xludf.DUMMYFUNCTION("""COMPUTED_VALUE"""),"No")</f>
        <v>No</v>
      </c>
      <c r="P77" s="13" t="str">
        <f>IFERROR(__xludf.DUMMYFUNCTION("""COMPUTED_VALUE"""),"Yes")</f>
        <v>Yes</v>
      </c>
      <c r="Q77" s="13" t="str">
        <f>IFERROR(__xludf.DUMMYFUNCTION("""COMPUTED_VALUE"""),"Yes")</f>
        <v>Yes</v>
      </c>
      <c r="R77" s="13" t="str">
        <f>IFERROR(__xludf.DUMMYFUNCTION("""COMPUTED_VALUE"""),"No")</f>
        <v>No</v>
      </c>
      <c r="S77" s="13" t="str">
        <f>IFERROR(__xludf.DUMMYFUNCTION("""COMPUTED_VALUE"""),"N/A")</f>
        <v>N/A</v>
      </c>
      <c r="T77" s="13" t="str">
        <f>IFERROR(__xludf.DUMMYFUNCTION("""COMPUTED_VALUE"""),"N/A")</f>
        <v>N/A</v>
      </c>
      <c r="U77" s="13" t="str">
        <f>IFERROR(__xludf.DUMMYFUNCTION("""COMPUTED_VALUE"""),"High")</f>
        <v>High</v>
      </c>
      <c r="V77" s="13" t="str">
        <f>IFERROR(__xludf.DUMMYFUNCTION("""COMPUTED_VALUE"""),"High")</f>
        <v>High</v>
      </c>
      <c r="W77" s="13" t="str">
        <f>IFERROR(__xludf.DUMMYFUNCTION("""COMPUTED_VALUE"""),"Some concerns")</f>
        <v>Some concerns</v>
      </c>
    </row>
    <row r="78" ht="16.5" customHeight="1">
      <c r="A78" s="5" t="str">
        <f>IFERROR(__xludf.DUMMYFUNCTION("""COMPUTED_VALUE"""),"SCOPUS-000223")</f>
        <v>SCOPUS-000223</v>
      </c>
      <c r="B78" s="13" t="str">
        <f>IFERROR(__xludf.DUMMYFUNCTION("""COMPUTED_VALUE"""),"Yes")</f>
        <v>Yes</v>
      </c>
      <c r="C78" s="13" t="str">
        <f>IFERROR(__xludf.DUMMYFUNCTION("""COMPUTED_VALUE"""),"Yes")</f>
        <v>Yes</v>
      </c>
      <c r="D78" s="13" t="str">
        <f>IFERROR(__xludf.DUMMYFUNCTION("""COMPUTED_VALUE"""),"Yes")</f>
        <v>Yes</v>
      </c>
      <c r="E78" s="13" t="str">
        <f>IFERROR(__xludf.DUMMYFUNCTION("""COMPUTED_VALUE"""),"Yes")</f>
        <v>Yes</v>
      </c>
      <c r="F78" s="13" t="str">
        <f>IFERROR(__xludf.DUMMYFUNCTION("""COMPUTED_VALUE"""),"Yes")</f>
        <v>Yes</v>
      </c>
      <c r="G78" s="13" t="str">
        <f>IFERROR(__xludf.DUMMYFUNCTION("""COMPUTED_VALUE"""),"Yes")</f>
        <v>Yes</v>
      </c>
      <c r="H78" s="13" t="str">
        <f>IFERROR(__xludf.DUMMYFUNCTION("""COMPUTED_VALUE"""),"Partial")</f>
        <v>Partial</v>
      </c>
      <c r="I78" s="13" t="str">
        <f>IFERROR(__xludf.DUMMYFUNCTION("""COMPUTED_VALUE"""),"No")</f>
        <v>No</v>
      </c>
      <c r="J78" s="13" t="str">
        <f>IFERROR(__xludf.DUMMYFUNCTION("""COMPUTED_VALUE"""),"Yes")</f>
        <v>Yes</v>
      </c>
      <c r="K78" s="13" t="str">
        <f>IFERROR(__xludf.DUMMYFUNCTION("""COMPUTED_VALUE"""),"Yes")</f>
        <v>Yes</v>
      </c>
      <c r="L78" s="13" t="str">
        <f>IFERROR(__xludf.DUMMYFUNCTION("""COMPUTED_VALUE"""),"Yes")</f>
        <v>Yes</v>
      </c>
      <c r="M78" s="13" t="str">
        <f>IFERROR(__xludf.DUMMYFUNCTION("""COMPUTED_VALUE"""),"Yes")</f>
        <v>Yes</v>
      </c>
      <c r="N78" s="13" t="str">
        <f>IFERROR(__xludf.DUMMYFUNCTION("""COMPUTED_VALUE"""),"Yes")</f>
        <v>Yes</v>
      </c>
      <c r="O78" s="13" t="str">
        <f>IFERROR(__xludf.DUMMYFUNCTION("""COMPUTED_VALUE"""),"Unclear")</f>
        <v>Unclear</v>
      </c>
      <c r="P78" s="13" t="str">
        <f>IFERROR(__xludf.DUMMYFUNCTION("""COMPUTED_VALUE"""),"Yes")</f>
        <v>Yes</v>
      </c>
      <c r="Q78" s="13" t="str">
        <f>IFERROR(__xludf.DUMMYFUNCTION("""COMPUTED_VALUE"""),"Yes")</f>
        <v>Yes</v>
      </c>
      <c r="R78" s="13" t="str">
        <f>IFERROR(__xludf.DUMMYFUNCTION("""COMPUTED_VALUE"""),"Unclear")</f>
        <v>Unclear</v>
      </c>
      <c r="S78" s="13" t="str">
        <f>IFERROR(__xludf.DUMMYFUNCTION("""COMPUTED_VALUE"""),"N/A")</f>
        <v>N/A</v>
      </c>
      <c r="T78" s="13" t="str">
        <f>IFERROR(__xludf.DUMMYFUNCTION("""COMPUTED_VALUE"""),"N/A")</f>
        <v>N/A</v>
      </c>
      <c r="U78" s="13" t="str">
        <f>IFERROR(__xludf.DUMMYFUNCTION("""COMPUTED_VALUE"""),"Some concerns")</f>
        <v>Some concerns</v>
      </c>
      <c r="V78" s="13" t="str">
        <f>IFERROR(__xludf.DUMMYFUNCTION("""COMPUTED_VALUE"""),"Some concerns")</f>
        <v>Some concerns</v>
      </c>
      <c r="W78" s="13" t="str">
        <f>IFERROR(__xludf.DUMMYFUNCTION("""COMPUTED_VALUE"""),"Low")</f>
        <v>Low</v>
      </c>
    </row>
    <row r="79" ht="16.5" customHeight="1">
      <c r="A79" s="5" t="str">
        <f>IFERROR(__xludf.DUMMYFUNCTION("""COMPUTED_VALUE"""),"SCOPUS-000216")</f>
        <v>SCOPUS-000216</v>
      </c>
      <c r="B79" s="13" t="str">
        <f>IFERROR(__xludf.DUMMYFUNCTION("""COMPUTED_VALUE"""),"Yes")</f>
        <v>Yes</v>
      </c>
      <c r="C79" s="13" t="str">
        <f>IFERROR(__xludf.DUMMYFUNCTION("""COMPUTED_VALUE"""),"Yes")</f>
        <v>Yes</v>
      </c>
      <c r="D79" s="13" t="str">
        <f>IFERROR(__xludf.DUMMYFUNCTION("""COMPUTED_VALUE"""),"Yes")</f>
        <v>Yes</v>
      </c>
      <c r="E79" s="13" t="str">
        <f>IFERROR(__xludf.DUMMYFUNCTION("""COMPUTED_VALUE"""),"Yes")</f>
        <v>Yes</v>
      </c>
      <c r="F79" s="13" t="str">
        <f>IFERROR(__xludf.DUMMYFUNCTION("""COMPUTED_VALUE"""),"Yes")</f>
        <v>Yes</v>
      </c>
      <c r="G79" s="13" t="str">
        <f>IFERROR(__xludf.DUMMYFUNCTION("""COMPUTED_VALUE"""),"Yes")</f>
        <v>Yes</v>
      </c>
      <c r="H79" s="13" t="str">
        <f>IFERROR(__xludf.DUMMYFUNCTION("""COMPUTED_VALUE"""),"Partial")</f>
        <v>Partial</v>
      </c>
      <c r="I79" s="13" t="str">
        <f>IFERROR(__xludf.DUMMYFUNCTION("""COMPUTED_VALUE"""),"No")</f>
        <v>No</v>
      </c>
      <c r="J79" s="13" t="str">
        <f>IFERROR(__xludf.DUMMYFUNCTION("""COMPUTED_VALUE"""),"Yes")</f>
        <v>Yes</v>
      </c>
      <c r="K79" s="13" t="str">
        <f>IFERROR(__xludf.DUMMYFUNCTION("""COMPUTED_VALUE"""),"Yes")</f>
        <v>Yes</v>
      </c>
      <c r="L79" s="13" t="str">
        <f>IFERROR(__xludf.DUMMYFUNCTION("""COMPUTED_VALUE"""),"Yes")</f>
        <v>Yes</v>
      </c>
      <c r="M79" s="13" t="str">
        <f>IFERROR(__xludf.DUMMYFUNCTION("""COMPUTED_VALUE"""),"Yes")</f>
        <v>Yes</v>
      </c>
      <c r="N79" s="13" t="str">
        <f>IFERROR(__xludf.DUMMYFUNCTION("""COMPUTED_VALUE"""),"Yes")</f>
        <v>Yes</v>
      </c>
      <c r="O79" s="13" t="str">
        <f>IFERROR(__xludf.DUMMYFUNCTION("""COMPUTED_VALUE"""),"Yes")</f>
        <v>Yes</v>
      </c>
      <c r="P79" s="13" t="str">
        <f>IFERROR(__xludf.DUMMYFUNCTION("""COMPUTED_VALUE"""),"Yes")</f>
        <v>Yes</v>
      </c>
      <c r="Q79" s="13" t="str">
        <f>IFERROR(__xludf.DUMMYFUNCTION("""COMPUTED_VALUE"""),"Yes")</f>
        <v>Yes</v>
      </c>
      <c r="R79" s="13" t="str">
        <f>IFERROR(__xludf.DUMMYFUNCTION("""COMPUTED_VALUE"""),"Yes")</f>
        <v>Yes</v>
      </c>
      <c r="S79" s="13" t="str">
        <f>IFERROR(__xludf.DUMMYFUNCTION("""COMPUTED_VALUE"""),"N/A")</f>
        <v>N/A</v>
      </c>
      <c r="T79" s="13" t="str">
        <f>IFERROR(__xludf.DUMMYFUNCTION("""COMPUTED_VALUE"""),"N/A")</f>
        <v>N/A</v>
      </c>
      <c r="U79" s="13" t="str">
        <f>IFERROR(__xludf.DUMMYFUNCTION("""COMPUTED_VALUE"""),"Low")</f>
        <v>Low</v>
      </c>
      <c r="V79" s="13" t="str">
        <f>IFERROR(__xludf.DUMMYFUNCTION("""COMPUTED_VALUE"""),"Low")</f>
        <v>Low</v>
      </c>
      <c r="W79" s="13" t="str">
        <f>IFERROR(__xludf.DUMMYFUNCTION("""COMPUTED_VALUE"""),"Low")</f>
        <v>Low</v>
      </c>
    </row>
    <row r="80" ht="16.5" customHeight="1">
      <c r="A80" s="5" t="str">
        <f>IFERROR(__xludf.DUMMYFUNCTION("""COMPUTED_VALUE"""),"SCOPUS-000168")</f>
        <v>SCOPUS-000168</v>
      </c>
      <c r="B80" s="13" t="str">
        <f>IFERROR(__xludf.DUMMYFUNCTION("""COMPUTED_VALUE"""),"Yes")</f>
        <v>Yes</v>
      </c>
      <c r="C80" s="13" t="str">
        <f>IFERROR(__xludf.DUMMYFUNCTION("""COMPUTED_VALUE"""),"Yes")</f>
        <v>Yes</v>
      </c>
      <c r="D80" s="13" t="str">
        <f>IFERROR(__xludf.DUMMYFUNCTION("""COMPUTED_VALUE"""),"Yes")</f>
        <v>Yes</v>
      </c>
      <c r="E80" s="13" t="str">
        <f>IFERROR(__xludf.DUMMYFUNCTION("""COMPUTED_VALUE"""),"Yes")</f>
        <v>Yes</v>
      </c>
      <c r="F80" s="13" t="str">
        <f>IFERROR(__xludf.DUMMYFUNCTION("""COMPUTED_VALUE"""),"Yes")</f>
        <v>Yes</v>
      </c>
      <c r="G80" s="13" t="str">
        <f>IFERROR(__xludf.DUMMYFUNCTION("""COMPUTED_VALUE"""),"Yes")</f>
        <v>Yes</v>
      </c>
      <c r="H80" s="13" t="str">
        <f>IFERROR(__xludf.DUMMYFUNCTION("""COMPUTED_VALUE"""),"Partial")</f>
        <v>Partial</v>
      </c>
      <c r="I80" s="13" t="str">
        <f>IFERROR(__xludf.DUMMYFUNCTION("""COMPUTED_VALUE"""),"No")</f>
        <v>No</v>
      </c>
      <c r="J80" s="13" t="str">
        <f>IFERROR(__xludf.DUMMYFUNCTION("""COMPUTED_VALUE"""),"Yes")</f>
        <v>Yes</v>
      </c>
      <c r="K80" s="13" t="str">
        <f>IFERROR(__xludf.DUMMYFUNCTION("""COMPUTED_VALUE"""),"Yes")</f>
        <v>Yes</v>
      </c>
      <c r="L80" s="13" t="str">
        <f>IFERROR(__xludf.DUMMYFUNCTION("""COMPUTED_VALUE"""),"Yes")</f>
        <v>Yes</v>
      </c>
      <c r="M80" s="13" t="str">
        <f>IFERROR(__xludf.DUMMYFUNCTION("""COMPUTED_VALUE"""),"Partial")</f>
        <v>Partial</v>
      </c>
      <c r="N80" s="13" t="str">
        <f>IFERROR(__xludf.DUMMYFUNCTION("""COMPUTED_VALUE"""),"Yes")</f>
        <v>Yes</v>
      </c>
      <c r="O80" s="13" t="str">
        <f>IFERROR(__xludf.DUMMYFUNCTION("""COMPUTED_VALUE"""),"Unclear")</f>
        <v>Unclear</v>
      </c>
      <c r="P80" s="13" t="str">
        <f>IFERROR(__xludf.DUMMYFUNCTION("""COMPUTED_VALUE"""),"Yes")</f>
        <v>Yes</v>
      </c>
      <c r="Q80" s="13" t="str">
        <f>IFERROR(__xludf.DUMMYFUNCTION("""COMPUTED_VALUE"""),"Yes")</f>
        <v>Yes</v>
      </c>
      <c r="R80" s="13" t="str">
        <f>IFERROR(__xludf.DUMMYFUNCTION("""COMPUTED_VALUE"""),"Unclear")</f>
        <v>Unclear</v>
      </c>
      <c r="S80" s="13" t="str">
        <f>IFERROR(__xludf.DUMMYFUNCTION("""COMPUTED_VALUE"""),"N/A")</f>
        <v>N/A</v>
      </c>
      <c r="T80" s="13" t="str">
        <f>IFERROR(__xludf.DUMMYFUNCTION("""COMPUTED_VALUE"""),"N/A")</f>
        <v>N/A</v>
      </c>
      <c r="U80" s="13" t="str">
        <f>IFERROR(__xludf.DUMMYFUNCTION("""COMPUTED_VALUE"""),"Some concerns")</f>
        <v>Some concerns</v>
      </c>
      <c r="V80" s="13" t="str">
        <f>IFERROR(__xludf.DUMMYFUNCTION("""COMPUTED_VALUE"""),"Some concerns")</f>
        <v>Some concerns</v>
      </c>
      <c r="W80" s="13" t="str">
        <f>IFERROR(__xludf.DUMMYFUNCTION("""COMPUTED_VALUE"""),"Some concerns")</f>
        <v>Some concerns</v>
      </c>
    </row>
    <row r="81" ht="16.5" customHeight="1">
      <c r="A81" s="5" t="str">
        <f>IFERROR(__xludf.DUMMYFUNCTION("""COMPUTED_VALUE"""),"SCOPUS-000143")</f>
        <v>SCOPUS-000143</v>
      </c>
      <c r="B81" s="13" t="str">
        <f>IFERROR(__xludf.DUMMYFUNCTION("""COMPUTED_VALUE"""),"Yes")</f>
        <v>Yes</v>
      </c>
      <c r="C81" s="13" t="str">
        <f>IFERROR(__xludf.DUMMYFUNCTION("""COMPUTED_VALUE"""),"Yes")</f>
        <v>Yes</v>
      </c>
      <c r="D81" s="13" t="str">
        <f>IFERROR(__xludf.DUMMYFUNCTION("""COMPUTED_VALUE"""),"Yes")</f>
        <v>Yes</v>
      </c>
      <c r="E81" s="13" t="str">
        <f>IFERROR(__xludf.DUMMYFUNCTION("""COMPUTED_VALUE"""),"Yes")</f>
        <v>Yes</v>
      </c>
      <c r="F81" s="13" t="str">
        <f>IFERROR(__xludf.DUMMYFUNCTION("""COMPUTED_VALUE"""),"Yes")</f>
        <v>Yes</v>
      </c>
      <c r="G81" s="13" t="str">
        <f>IFERROR(__xludf.DUMMYFUNCTION("""COMPUTED_VALUE"""),"Yes")</f>
        <v>Yes</v>
      </c>
      <c r="H81" s="13" t="str">
        <f>IFERROR(__xludf.DUMMYFUNCTION("""COMPUTED_VALUE"""),"Yes")</f>
        <v>Yes</v>
      </c>
      <c r="I81" s="13" t="str">
        <f>IFERROR(__xludf.DUMMYFUNCTION("""COMPUTED_VALUE"""),"No")</f>
        <v>No</v>
      </c>
      <c r="J81" s="13" t="str">
        <f>IFERROR(__xludf.DUMMYFUNCTION("""COMPUTED_VALUE"""),"Yes")</f>
        <v>Yes</v>
      </c>
      <c r="K81" s="13" t="str">
        <f>IFERROR(__xludf.DUMMYFUNCTION("""COMPUTED_VALUE"""),"Yes")</f>
        <v>Yes</v>
      </c>
      <c r="L81" s="13" t="str">
        <f>IFERROR(__xludf.DUMMYFUNCTION("""COMPUTED_VALUE"""),"Yes")</f>
        <v>Yes</v>
      </c>
      <c r="M81" s="13" t="str">
        <f>IFERROR(__xludf.DUMMYFUNCTION("""COMPUTED_VALUE"""),"Partial")</f>
        <v>Partial</v>
      </c>
      <c r="N81" s="13" t="str">
        <f>IFERROR(__xludf.DUMMYFUNCTION("""COMPUTED_VALUE"""),"Yes")</f>
        <v>Yes</v>
      </c>
      <c r="O81" s="13" t="str">
        <f>IFERROR(__xludf.DUMMYFUNCTION("""COMPUTED_VALUE"""),"Yes")</f>
        <v>Yes</v>
      </c>
      <c r="P81" s="13" t="str">
        <f>IFERROR(__xludf.DUMMYFUNCTION("""COMPUTED_VALUE"""),"Yes")</f>
        <v>Yes</v>
      </c>
      <c r="Q81" s="13" t="str">
        <f>IFERROR(__xludf.DUMMYFUNCTION("""COMPUTED_VALUE"""),"Yes")</f>
        <v>Yes</v>
      </c>
      <c r="R81" s="13" t="str">
        <f>IFERROR(__xludf.DUMMYFUNCTION("""COMPUTED_VALUE"""),"Unclear")</f>
        <v>Unclear</v>
      </c>
      <c r="S81" s="13" t="str">
        <f>IFERROR(__xludf.DUMMYFUNCTION("""COMPUTED_VALUE"""),"N/A")</f>
        <v>N/A</v>
      </c>
      <c r="T81" s="13" t="str">
        <f>IFERROR(__xludf.DUMMYFUNCTION("""COMPUTED_VALUE"""),"N/A")</f>
        <v>N/A</v>
      </c>
      <c r="U81" s="13" t="str">
        <f>IFERROR(__xludf.DUMMYFUNCTION("""COMPUTED_VALUE"""),"Some concerns")</f>
        <v>Some concerns</v>
      </c>
      <c r="V81" s="13" t="str">
        <f>IFERROR(__xludf.DUMMYFUNCTION("""COMPUTED_VALUE"""),"Some concerns")</f>
        <v>Some concerns</v>
      </c>
      <c r="W81" s="13" t="str">
        <f>IFERROR(__xludf.DUMMYFUNCTION("""COMPUTED_VALUE"""),"Some concerns")</f>
        <v>Some concerns</v>
      </c>
    </row>
    <row r="82" ht="16.5" customHeight="1">
      <c r="A82" s="5" t="str">
        <f>IFERROR(__xludf.DUMMYFUNCTION("""COMPUTED_VALUE"""),"SCOPUS-000066")</f>
        <v>SCOPUS-000066</v>
      </c>
      <c r="B82" s="13" t="str">
        <f>IFERROR(__xludf.DUMMYFUNCTION("""COMPUTED_VALUE"""),"Yes")</f>
        <v>Yes</v>
      </c>
      <c r="C82" s="13" t="str">
        <f>IFERROR(__xludf.DUMMYFUNCTION("""COMPUTED_VALUE"""),"Yes")</f>
        <v>Yes</v>
      </c>
      <c r="D82" s="13" t="str">
        <f>IFERROR(__xludf.DUMMYFUNCTION("""COMPUTED_VALUE"""),"Yes")</f>
        <v>Yes</v>
      </c>
      <c r="E82" s="13" t="str">
        <f>IFERROR(__xludf.DUMMYFUNCTION("""COMPUTED_VALUE"""),"Yes")</f>
        <v>Yes</v>
      </c>
      <c r="F82" s="13" t="str">
        <f>IFERROR(__xludf.DUMMYFUNCTION("""COMPUTED_VALUE"""),"Yes")</f>
        <v>Yes</v>
      </c>
      <c r="G82" s="13" t="str">
        <f>IFERROR(__xludf.DUMMYFUNCTION("""COMPUTED_VALUE"""),"Yes")</f>
        <v>Yes</v>
      </c>
      <c r="H82" s="13" t="str">
        <f>IFERROR(__xludf.DUMMYFUNCTION("""COMPUTED_VALUE"""),"Yes")</f>
        <v>Yes</v>
      </c>
      <c r="I82" s="13" t="str">
        <f>IFERROR(__xludf.DUMMYFUNCTION("""COMPUTED_VALUE"""),"No")</f>
        <v>No</v>
      </c>
      <c r="J82" s="13" t="str">
        <f>IFERROR(__xludf.DUMMYFUNCTION("""COMPUTED_VALUE"""),"Yes")</f>
        <v>Yes</v>
      </c>
      <c r="K82" s="13" t="str">
        <f>IFERROR(__xludf.DUMMYFUNCTION("""COMPUTED_VALUE"""),"Yes")</f>
        <v>Yes</v>
      </c>
      <c r="L82" s="13" t="str">
        <f>IFERROR(__xludf.DUMMYFUNCTION("""COMPUTED_VALUE"""),"Yes")</f>
        <v>Yes</v>
      </c>
      <c r="M82" s="13" t="str">
        <f>IFERROR(__xludf.DUMMYFUNCTION("""COMPUTED_VALUE"""),"Partial")</f>
        <v>Partial</v>
      </c>
      <c r="N82" s="13" t="str">
        <f>IFERROR(__xludf.DUMMYFUNCTION("""COMPUTED_VALUE"""),"Yes")</f>
        <v>Yes</v>
      </c>
      <c r="O82" s="13" t="str">
        <f>IFERROR(__xludf.DUMMYFUNCTION("""COMPUTED_VALUE"""),"Yes")</f>
        <v>Yes</v>
      </c>
      <c r="P82" s="13" t="str">
        <f>IFERROR(__xludf.DUMMYFUNCTION("""COMPUTED_VALUE"""),"Yes")</f>
        <v>Yes</v>
      </c>
      <c r="Q82" s="13" t="str">
        <f>IFERROR(__xludf.DUMMYFUNCTION("""COMPUTED_VALUE"""),"Yes")</f>
        <v>Yes</v>
      </c>
      <c r="R82" s="13" t="str">
        <f>IFERROR(__xludf.DUMMYFUNCTION("""COMPUTED_VALUE"""),"Unclear")</f>
        <v>Unclear</v>
      </c>
      <c r="S82" s="13" t="str">
        <f>IFERROR(__xludf.DUMMYFUNCTION("""COMPUTED_VALUE"""),"N/A")</f>
        <v>N/A</v>
      </c>
      <c r="T82" s="13" t="str">
        <f>IFERROR(__xludf.DUMMYFUNCTION("""COMPUTED_VALUE"""),"N/A")</f>
        <v>N/A</v>
      </c>
      <c r="U82" s="13" t="str">
        <f>IFERROR(__xludf.DUMMYFUNCTION("""COMPUTED_VALUE"""),"Some concerns")</f>
        <v>Some concerns</v>
      </c>
      <c r="V82" s="13" t="str">
        <f>IFERROR(__xludf.DUMMYFUNCTION("""COMPUTED_VALUE"""),"Some concerns")</f>
        <v>Some concerns</v>
      </c>
      <c r="W82" s="13" t="str">
        <f>IFERROR(__xludf.DUMMYFUNCTION("""COMPUTED_VALUE"""),"Some concerns")</f>
        <v>Some concerns</v>
      </c>
    </row>
    <row r="83" ht="16.5" customHeight="1">
      <c r="A83" s="5" t="str">
        <f>IFERROR(__xludf.DUMMYFUNCTION("""COMPUTED_VALUE"""),"SCOPUS-000015")</f>
        <v>SCOPUS-000015</v>
      </c>
      <c r="B83" s="13" t="str">
        <f>IFERROR(__xludf.DUMMYFUNCTION("""COMPUTED_VALUE"""),"Yes")</f>
        <v>Yes</v>
      </c>
      <c r="C83" s="13" t="str">
        <f>IFERROR(__xludf.DUMMYFUNCTION("""COMPUTED_VALUE"""),"Yes")</f>
        <v>Yes</v>
      </c>
      <c r="D83" s="13" t="str">
        <f>IFERROR(__xludf.DUMMYFUNCTION("""COMPUTED_VALUE"""),"Yes")</f>
        <v>Yes</v>
      </c>
      <c r="E83" s="13" t="str">
        <f>IFERROR(__xludf.DUMMYFUNCTION("""COMPUTED_VALUE"""),"Yes")</f>
        <v>Yes</v>
      </c>
      <c r="F83" s="13" t="str">
        <f>IFERROR(__xludf.DUMMYFUNCTION("""COMPUTED_VALUE"""),"Yes")</f>
        <v>Yes</v>
      </c>
      <c r="G83" s="13" t="str">
        <f>IFERROR(__xludf.DUMMYFUNCTION("""COMPUTED_VALUE"""),"Yes")</f>
        <v>Yes</v>
      </c>
      <c r="H83" s="13" t="str">
        <f>IFERROR(__xludf.DUMMYFUNCTION("""COMPUTED_VALUE"""),"Yes")</f>
        <v>Yes</v>
      </c>
      <c r="I83" s="13" t="str">
        <f>IFERROR(__xludf.DUMMYFUNCTION("""COMPUTED_VALUE"""),"No")</f>
        <v>No</v>
      </c>
      <c r="J83" s="13" t="str">
        <f>IFERROR(__xludf.DUMMYFUNCTION("""COMPUTED_VALUE"""),"Yes")</f>
        <v>Yes</v>
      </c>
      <c r="K83" s="13" t="str">
        <f>IFERROR(__xludf.DUMMYFUNCTION("""COMPUTED_VALUE"""),"Yes")</f>
        <v>Yes</v>
      </c>
      <c r="L83" s="13" t="str">
        <f>IFERROR(__xludf.DUMMYFUNCTION("""COMPUTED_VALUE"""),"Yes")</f>
        <v>Yes</v>
      </c>
      <c r="M83" s="13" t="str">
        <f>IFERROR(__xludf.DUMMYFUNCTION("""COMPUTED_VALUE"""),"Yes")</f>
        <v>Yes</v>
      </c>
      <c r="N83" s="13" t="str">
        <f>IFERROR(__xludf.DUMMYFUNCTION("""COMPUTED_VALUE"""),"No")</f>
        <v>No</v>
      </c>
      <c r="O83" s="13" t="str">
        <f>IFERROR(__xludf.DUMMYFUNCTION("""COMPUTED_VALUE"""),"No")</f>
        <v>No</v>
      </c>
      <c r="P83" s="13" t="str">
        <f>IFERROR(__xludf.DUMMYFUNCTION("""COMPUTED_VALUE"""),"Yes")</f>
        <v>Yes</v>
      </c>
      <c r="Q83" s="13" t="str">
        <f>IFERROR(__xludf.DUMMYFUNCTION("""COMPUTED_VALUE"""),"Yes")</f>
        <v>Yes</v>
      </c>
      <c r="R83" s="13" t="str">
        <f>IFERROR(__xludf.DUMMYFUNCTION("""COMPUTED_VALUE"""),"No")</f>
        <v>No</v>
      </c>
      <c r="S83" s="13" t="str">
        <f>IFERROR(__xludf.DUMMYFUNCTION("""COMPUTED_VALUE"""),"N/A")</f>
        <v>N/A</v>
      </c>
      <c r="T83" s="13" t="str">
        <f>IFERROR(__xludf.DUMMYFUNCTION("""COMPUTED_VALUE"""),"N/A")</f>
        <v>N/A</v>
      </c>
      <c r="U83" s="13" t="str">
        <f>IFERROR(__xludf.DUMMYFUNCTION("""COMPUTED_VALUE"""),"High")</f>
        <v>High</v>
      </c>
      <c r="V83" s="13" t="str">
        <f>IFERROR(__xludf.DUMMYFUNCTION("""COMPUTED_VALUE"""),"High")</f>
        <v>High</v>
      </c>
      <c r="W83" s="13" t="str">
        <f>IFERROR(__xludf.DUMMYFUNCTION("""COMPUTED_VALUE"""),"Some concerns")</f>
        <v>Some concerns</v>
      </c>
    </row>
    <row r="84" ht="16.5" customHeight="1">
      <c r="A84" s="5" t="str">
        <f>IFERROR(__xludf.DUMMYFUNCTION("""COMPUTED_VALUE"""),"SCOPUS-000180")</f>
        <v>SCOPUS-000180</v>
      </c>
      <c r="B84" s="13" t="str">
        <f>IFERROR(__xludf.DUMMYFUNCTION("""COMPUTED_VALUE"""),"Yes")</f>
        <v>Yes</v>
      </c>
      <c r="C84" s="13" t="str">
        <f>IFERROR(__xludf.DUMMYFUNCTION("""COMPUTED_VALUE"""),"Yes")</f>
        <v>Yes</v>
      </c>
      <c r="D84" s="13" t="str">
        <f>IFERROR(__xludf.DUMMYFUNCTION("""COMPUTED_VALUE"""),"Yes")</f>
        <v>Yes</v>
      </c>
      <c r="E84" s="13" t="str">
        <f>IFERROR(__xludf.DUMMYFUNCTION("""COMPUTED_VALUE"""),"Yes")</f>
        <v>Yes</v>
      </c>
      <c r="F84" s="13" t="str">
        <f>IFERROR(__xludf.DUMMYFUNCTION("""COMPUTED_VALUE"""),"Yes")</f>
        <v>Yes</v>
      </c>
      <c r="G84" s="13" t="str">
        <f>IFERROR(__xludf.DUMMYFUNCTION("""COMPUTED_VALUE"""),"Yes")</f>
        <v>Yes</v>
      </c>
      <c r="H84" s="13" t="str">
        <f>IFERROR(__xludf.DUMMYFUNCTION("""COMPUTED_VALUE"""),"Yes")</f>
        <v>Yes</v>
      </c>
      <c r="I84" s="13" t="str">
        <f>IFERROR(__xludf.DUMMYFUNCTION("""COMPUTED_VALUE"""),"Yes")</f>
        <v>Yes</v>
      </c>
      <c r="J84" s="13" t="str">
        <f>IFERROR(__xludf.DUMMYFUNCTION("""COMPUTED_VALUE"""),"Yes")</f>
        <v>Yes</v>
      </c>
      <c r="K84" s="13" t="str">
        <f>IFERROR(__xludf.DUMMYFUNCTION("""COMPUTED_VALUE"""),"Yes")</f>
        <v>Yes</v>
      </c>
      <c r="L84" s="13" t="str">
        <f>IFERROR(__xludf.DUMMYFUNCTION("""COMPUTED_VALUE"""),"Yes")</f>
        <v>Yes</v>
      </c>
      <c r="M84" s="13" t="str">
        <f>IFERROR(__xludf.DUMMYFUNCTION("""COMPUTED_VALUE"""),"Yes")</f>
        <v>Yes</v>
      </c>
      <c r="N84" s="13" t="str">
        <f>IFERROR(__xludf.DUMMYFUNCTION("""COMPUTED_VALUE"""),"Yes")</f>
        <v>Yes</v>
      </c>
      <c r="O84" s="13" t="str">
        <f>IFERROR(__xludf.DUMMYFUNCTION("""COMPUTED_VALUE"""),"Unclear")</f>
        <v>Unclear</v>
      </c>
      <c r="P84" s="13" t="str">
        <f>IFERROR(__xludf.DUMMYFUNCTION("""COMPUTED_VALUE"""),"Yes")</f>
        <v>Yes</v>
      </c>
      <c r="Q84" s="13" t="str">
        <f>IFERROR(__xludf.DUMMYFUNCTION("""COMPUTED_VALUE"""),"Yes")</f>
        <v>Yes</v>
      </c>
      <c r="R84" s="13" t="str">
        <f>IFERROR(__xludf.DUMMYFUNCTION("""COMPUTED_VALUE"""),"Unclear")</f>
        <v>Unclear</v>
      </c>
      <c r="S84" s="13" t="str">
        <f>IFERROR(__xludf.DUMMYFUNCTION("""COMPUTED_VALUE"""),"N/A")</f>
        <v>N/A</v>
      </c>
      <c r="T84" s="13" t="str">
        <f>IFERROR(__xludf.DUMMYFUNCTION("""COMPUTED_VALUE"""),"N/A")</f>
        <v>N/A</v>
      </c>
      <c r="U84" s="13" t="str">
        <f>IFERROR(__xludf.DUMMYFUNCTION("""COMPUTED_VALUE"""),"Some concerns")</f>
        <v>Some concerns</v>
      </c>
      <c r="V84" s="13" t="str">
        <f>IFERROR(__xludf.DUMMYFUNCTION("""COMPUTED_VALUE"""),"Some concerns")</f>
        <v>Some concerns</v>
      </c>
      <c r="W84" s="13" t="str">
        <f>IFERROR(__xludf.DUMMYFUNCTION("""COMPUTED_VALUE"""),"Low")</f>
        <v>Low</v>
      </c>
    </row>
    <row r="85" ht="16.5" customHeight="1">
      <c r="A85" s="5" t="str">
        <f>IFERROR(__xludf.DUMMYFUNCTION("""COMPUTED_VALUE"""),"SCOPUS-000065")</f>
        <v>SCOPUS-000065</v>
      </c>
      <c r="B85" s="13" t="str">
        <f>IFERROR(__xludf.DUMMYFUNCTION("""COMPUTED_VALUE"""),"Yes")</f>
        <v>Yes</v>
      </c>
      <c r="C85" s="13" t="str">
        <f>IFERROR(__xludf.DUMMYFUNCTION("""COMPUTED_VALUE"""),"Yes")</f>
        <v>Yes</v>
      </c>
      <c r="D85" s="13" t="str">
        <f>IFERROR(__xludf.DUMMYFUNCTION("""COMPUTED_VALUE"""),"Yes")</f>
        <v>Yes</v>
      </c>
      <c r="E85" s="13" t="str">
        <f>IFERROR(__xludf.DUMMYFUNCTION("""COMPUTED_VALUE"""),"Yes")</f>
        <v>Yes</v>
      </c>
      <c r="F85" s="13" t="str">
        <f>IFERROR(__xludf.DUMMYFUNCTION("""COMPUTED_VALUE"""),"Yes")</f>
        <v>Yes</v>
      </c>
      <c r="G85" s="13" t="str">
        <f>IFERROR(__xludf.DUMMYFUNCTION("""COMPUTED_VALUE"""),"Yes")</f>
        <v>Yes</v>
      </c>
      <c r="H85" s="13" t="str">
        <f>IFERROR(__xludf.DUMMYFUNCTION("""COMPUTED_VALUE"""),"Yes")</f>
        <v>Yes</v>
      </c>
      <c r="I85" s="13" t="str">
        <f>IFERROR(__xludf.DUMMYFUNCTION("""COMPUTED_VALUE"""),"No")</f>
        <v>No</v>
      </c>
      <c r="J85" s="13" t="str">
        <f>IFERROR(__xludf.DUMMYFUNCTION("""COMPUTED_VALUE"""),"Yes")</f>
        <v>Yes</v>
      </c>
      <c r="K85" s="13" t="str">
        <f>IFERROR(__xludf.DUMMYFUNCTION("""COMPUTED_VALUE"""),"Yes")</f>
        <v>Yes</v>
      </c>
      <c r="L85" s="13" t="str">
        <f>IFERROR(__xludf.DUMMYFUNCTION("""COMPUTED_VALUE"""),"Yes")</f>
        <v>Yes</v>
      </c>
      <c r="M85" s="13" t="str">
        <f>IFERROR(__xludf.DUMMYFUNCTION("""COMPUTED_VALUE"""),"Partial")</f>
        <v>Partial</v>
      </c>
      <c r="N85" s="13" t="str">
        <f>IFERROR(__xludf.DUMMYFUNCTION("""COMPUTED_VALUE"""),"Yes")</f>
        <v>Yes</v>
      </c>
      <c r="O85" s="13" t="str">
        <f>IFERROR(__xludf.DUMMYFUNCTION("""COMPUTED_VALUE"""),"Unclear")</f>
        <v>Unclear</v>
      </c>
      <c r="P85" s="13" t="str">
        <f>IFERROR(__xludf.DUMMYFUNCTION("""COMPUTED_VALUE"""),"Yes")</f>
        <v>Yes</v>
      </c>
      <c r="Q85" s="13" t="str">
        <f>IFERROR(__xludf.DUMMYFUNCTION("""COMPUTED_VALUE"""),"Yes")</f>
        <v>Yes</v>
      </c>
      <c r="R85" s="13" t="str">
        <f>IFERROR(__xludf.DUMMYFUNCTION("""COMPUTED_VALUE"""),"Unclear")</f>
        <v>Unclear</v>
      </c>
      <c r="S85" s="13" t="str">
        <f>IFERROR(__xludf.DUMMYFUNCTION("""COMPUTED_VALUE"""),"N/A")</f>
        <v>N/A</v>
      </c>
      <c r="T85" s="13" t="str">
        <f>IFERROR(__xludf.DUMMYFUNCTION("""COMPUTED_VALUE"""),"N/A")</f>
        <v>N/A</v>
      </c>
      <c r="U85" s="13" t="str">
        <f>IFERROR(__xludf.DUMMYFUNCTION("""COMPUTED_VALUE"""),"Some concerns")</f>
        <v>Some concerns</v>
      </c>
      <c r="V85" s="13" t="str">
        <f>IFERROR(__xludf.DUMMYFUNCTION("""COMPUTED_VALUE"""),"Some concerns")</f>
        <v>Some concerns</v>
      </c>
      <c r="W85" s="13" t="str">
        <f>IFERROR(__xludf.DUMMYFUNCTION("""COMPUTED_VALUE"""),"High")</f>
        <v>High</v>
      </c>
    </row>
    <row r="86" ht="16.5" customHeight="1">
      <c r="A86" s="5" t="str">
        <f>IFERROR(__xludf.DUMMYFUNCTION("""COMPUTED_VALUE"""),"SCOPUS-000030")</f>
        <v>SCOPUS-000030</v>
      </c>
      <c r="B86" s="13" t="str">
        <f>IFERROR(__xludf.DUMMYFUNCTION("""COMPUTED_VALUE"""),"Yes")</f>
        <v>Yes</v>
      </c>
      <c r="C86" s="13" t="str">
        <f>IFERROR(__xludf.DUMMYFUNCTION("""COMPUTED_VALUE"""),"Yes")</f>
        <v>Yes</v>
      </c>
      <c r="D86" s="13" t="str">
        <f>IFERROR(__xludf.DUMMYFUNCTION("""COMPUTED_VALUE"""),"Yes")</f>
        <v>Yes</v>
      </c>
      <c r="E86" s="13" t="str">
        <f>IFERROR(__xludf.DUMMYFUNCTION("""COMPUTED_VALUE"""),"Yes")</f>
        <v>Yes</v>
      </c>
      <c r="F86" s="13" t="str">
        <f>IFERROR(__xludf.DUMMYFUNCTION("""COMPUTED_VALUE"""),"Yes")</f>
        <v>Yes</v>
      </c>
      <c r="G86" s="13" t="str">
        <f>IFERROR(__xludf.DUMMYFUNCTION("""COMPUTED_VALUE"""),"Yes")</f>
        <v>Yes</v>
      </c>
      <c r="H86" s="13" t="str">
        <f>IFERROR(__xludf.DUMMYFUNCTION("""COMPUTED_VALUE"""),"Partial")</f>
        <v>Partial</v>
      </c>
      <c r="I86" s="13" t="str">
        <f>IFERROR(__xludf.DUMMYFUNCTION("""COMPUTED_VALUE"""),"No")</f>
        <v>No</v>
      </c>
      <c r="J86" s="13" t="str">
        <f>IFERROR(__xludf.DUMMYFUNCTION("""COMPUTED_VALUE"""),"Yes")</f>
        <v>Yes</v>
      </c>
      <c r="K86" s="13" t="str">
        <f>IFERROR(__xludf.DUMMYFUNCTION("""COMPUTED_VALUE"""),"Yes")</f>
        <v>Yes</v>
      </c>
      <c r="L86" s="13" t="str">
        <f>IFERROR(__xludf.DUMMYFUNCTION("""COMPUTED_VALUE"""),"Yes")</f>
        <v>Yes</v>
      </c>
      <c r="M86" s="13" t="str">
        <f>IFERROR(__xludf.DUMMYFUNCTION("""COMPUTED_VALUE"""),"Partial")</f>
        <v>Partial</v>
      </c>
      <c r="N86" s="13" t="str">
        <f>IFERROR(__xludf.DUMMYFUNCTION("""COMPUTED_VALUE"""),"Yes")</f>
        <v>Yes</v>
      </c>
      <c r="O86" s="13" t="str">
        <f>IFERROR(__xludf.DUMMYFUNCTION("""COMPUTED_VALUE"""),"Unclear")</f>
        <v>Unclear</v>
      </c>
      <c r="P86" s="13" t="str">
        <f>IFERROR(__xludf.DUMMYFUNCTION("""COMPUTED_VALUE"""),"Yes")</f>
        <v>Yes</v>
      </c>
      <c r="Q86" s="13" t="str">
        <f>IFERROR(__xludf.DUMMYFUNCTION("""COMPUTED_VALUE"""),"Partial")</f>
        <v>Partial</v>
      </c>
      <c r="R86" s="13" t="str">
        <f>IFERROR(__xludf.DUMMYFUNCTION("""COMPUTED_VALUE"""),"Unclear")</f>
        <v>Unclear</v>
      </c>
      <c r="S86" s="13" t="str">
        <f>IFERROR(__xludf.DUMMYFUNCTION("""COMPUTED_VALUE"""),"N/A")</f>
        <v>N/A</v>
      </c>
      <c r="T86" s="13" t="str">
        <f>IFERROR(__xludf.DUMMYFUNCTION("""COMPUTED_VALUE"""),"N/A")</f>
        <v>N/A</v>
      </c>
      <c r="U86" s="13" t="str">
        <f>IFERROR(__xludf.DUMMYFUNCTION("""COMPUTED_VALUE"""),"Some concerns")</f>
        <v>Some concerns</v>
      </c>
      <c r="V86" s="13" t="str">
        <f>IFERROR(__xludf.DUMMYFUNCTION("""COMPUTED_VALUE"""),"Some concerns")</f>
        <v>Some concerns</v>
      </c>
      <c r="W86" s="13" t="str">
        <f>IFERROR(__xludf.DUMMYFUNCTION("""COMPUTED_VALUE"""),"Some concerns")</f>
        <v>Some concerns</v>
      </c>
    </row>
    <row r="87" ht="16.5" customHeight="1">
      <c r="A87" s="5" t="str">
        <f>IFERROR(__xludf.DUMMYFUNCTION("""COMPUTED_VALUE"""),"WEBSCI-000402")</f>
        <v>WEBSCI-000402</v>
      </c>
      <c r="B87" s="13" t="str">
        <f>IFERROR(__xludf.DUMMYFUNCTION("""COMPUTED_VALUE"""),"Yes")</f>
        <v>Yes</v>
      </c>
      <c r="C87" s="13" t="str">
        <f>IFERROR(__xludf.DUMMYFUNCTION("""COMPUTED_VALUE"""),"Partial")</f>
        <v>Partial</v>
      </c>
      <c r="D87" s="13" t="str">
        <f>IFERROR(__xludf.DUMMYFUNCTION("""COMPUTED_VALUE"""),"Yes")</f>
        <v>Yes</v>
      </c>
      <c r="E87" s="13" t="str">
        <f>IFERROR(__xludf.DUMMYFUNCTION("""COMPUTED_VALUE"""),"Yes")</f>
        <v>Yes</v>
      </c>
      <c r="F87" s="13" t="str">
        <f>IFERROR(__xludf.DUMMYFUNCTION("""COMPUTED_VALUE"""),"Yes")</f>
        <v>Yes</v>
      </c>
      <c r="G87" s="13" t="str">
        <f>IFERROR(__xludf.DUMMYFUNCTION("""COMPUTED_VALUE"""),"Yes")</f>
        <v>Yes</v>
      </c>
      <c r="H87" s="13" t="str">
        <f>IFERROR(__xludf.DUMMYFUNCTION("""COMPUTED_VALUE"""),"Yes")</f>
        <v>Yes</v>
      </c>
      <c r="I87" s="13" t="str">
        <f>IFERROR(__xludf.DUMMYFUNCTION("""COMPUTED_VALUE"""),"No")</f>
        <v>No</v>
      </c>
      <c r="J87" s="13" t="str">
        <f>IFERROR(__xludf.DUMMYFUNCTION("""COMPUTED_VALUE"""),"Yes")</f>
        <v>Yes</v>
      </c>
      <c r="K87" s="13" t="str">
        <f>IFERROR(__xludf.DUMMYFUNCTION("""COMPUTED_VALUE"""),"Yes")</f>
        <v>Yes</v>
      </c>
      <c r="L87" s="13" t="str">
        <f>IFERROR(__xludf.DUMMYFUNCTION("""COMPUTED_VALUE"""),"Yes")</f>
        <v>Yes</v>
      </c>
      <c r="M87" s="13" t="str">
        <f>IFERROR(__xludf.DUMMYFUNCTION("""COMPUTED_VALUE"""),"Partial")</f>
        <v>Partial</v>
      </c>
      <c r="N87" s="13" t="str">
        <f>IFERROR(__xludf.DUMMYFUNCTION("""COMPUTED_VALUE"""),"Partial")</f>
        <v>Partial</v>
      </c>
      <c r="O87" s="13" t="str">
        <f>IFERROR(__xludf.DUMMYFUNCTION("""COMPUTED_VALUE"""),"No")</f>
        <v>No</v>
      </c>
      <c r="P87" s="13" t="str">
        <f>IFERROR(__xludf.DUMMYFUNCTION("""COMPUTED_VALUE"""),"Yes")</f>
        <v>Yes</v>
      </c>
      <c r="Q87" s="13" t="str">
        <f>IFERROR(__xludf.DUMMYFUNCTION("""COMPUTED_VALUE"""),"Partial")</f>
        <v>Partial</v>
      </c>
      <c r="R87" s="13" t="str">
        <f>IFERROR(__xludf.DUMMYFUNCTION("""COMPUTED_VALUE"""),"Yes")</f>
        <v>Yes</v>
      </c>
      <c r="S87" s="13" t="str">
        <f>IFERROR(__xludf.DUMMYFUNCTION("""COMPUTED_VALUE"""),"N/A")</f>
        <v>N/A</v>
      </c>
      <c r="T87" s="13" t="str">
        <f>IFERROR(__xludf.DUMMYFUNCTION("""COMPUTED_VALUE"""),"N/A")</f>
        <v>N/A</v>
      </c>
      <c r="U87" s="13" t="str">
        <f>IFERROR(__xludf.DUMMYFUNCTION("""COMPUTED_VALUE"""),"Low")</f>
        <v>Low</v>
      </c>
      <c r="V87" s="13" t="str">
        <f>IFERROR(__xludf.DUMMYFUNCTION("""COMPUTED_VALUE"""),"Low")</f>
        <v>Low</v>
      </c>
      <c r="W87" s="13" t="str">
        <f>IFERROR(__xludf.DUMMYFUNCTION("""COMPUTED_VALUE"""),"Low")</f>
        <v>Low</v>
      </c>
    </row>
    <row r="88" ht="16.5" customHeight="1">
      <c r="A88" s="5" t="str">
        <f>IFERROR(__xludf.DUMMYFUNCTION("""COMPUTED_VALUE"""),"SCOPUS-000312")</f>
        <v>SCOPUS-000312</v>
      </c>
      <c r="B88" s="13" t="str">
        <f>IFERROR(__xludf.DUMMYFUNCTION("""COMPUTED_VALUE"""),"Yes")</f>
        <v>Yes</v>
      </c>
      <c r="C88" s="13" t="str">
        <f>IFERROR(__xludf.DUMMYFUNCTION("""COMPUTED_VALUE"""),"Partial")</f>
        <v>Partial</v>
      </c>
      <c r="D88" s="13" t="str">
        <f>IFERROR(__xludf.DUMMYFUNCTION("""COMPUTED_VALUE"""),"Yes")</f>
        <v>Yes</v>
      </c>
      <c r="E88" s="13" t="str">
        <f>IFERROR(__xludf.DUMMYFUNCTION("""COMPUTED_VALUE"""),"Yes")</f>
        <v>Yes</v>
      </c>
      <c r="F88" s="13" t="str">
        <f>IFERROR(__xludf.DUMMYFUNCTION("""COMPUTED_VALUE"""),"Yes")</f>
        <v>Yes</v>
      </c>
      <c r="G88" s="13" t="str">
        <f>IFERROR(__xludf.DUMMYFUNCTION("""COMPUTED_VALUE"""),"Yes")</f>
        <v>Yes</v>
      </c>
      <c r="H88" s="13" t="str">
        <f>IFERROR(__xludf.DUMMYFUNCTION("""COMPUTED_VALUE"""),"Partial")</f>
        <v>Partial</v>
      </c>
      <c r="I88" s="13" t="str">
        <f>IFERROR(__xludf.DUMMYFUNCTION("""COMPUTED_VALUE"""),"No")</f>
        <v>No</v>
      </c>
      <c r="J88" s="13" t="str">
        <f>IFERROR(__xludf.DUMMYFUNCTION("""COMPUTED_VALUE"""),"Yes")</f>
        <v>Yes</v>
      </c>
      <c r="K88" s="13" t="str">
        <f>IFERROR(__xludf.DUMMYFUNCTION("""COMPUTED_VALUE"""),"Yes")</f>
        <v>Yes</v>
      </c>
      <c r="L88" s="13" t="str">
        <f>IFERROR(__xludf.DUMMYFUNCTION("""COMPUTED_VALUE"""),"Yes")</f>
        <v>Yes</v>
      </c>
      <c r="M88" s="13" t="str">
        <f>IFERROR(__xludf.DUMMYFUNCTION("""COMPUTED_VALUE"""),"Partial")</f>
        <v>Partial</v>
      </c>
      <c r="N88" s="13" t="str">
        <f>IFERROR(__xludf.DUMMYFUNCTION("""COMPUTED_VALUE"""),"Yes")</f>
        <v>Yes</v>
      </c>
      <c r="O88" s="13" t="str">
        <f>IFERROR(__xludf.DUMMYFUNCTION("""COMPUTED_VALUE"""),"Yes")</f>
        <v>Yes</v>
      </c>
      <c r="P88" s="13" t="str">
        <f>IFERROR(__xludf.DUMMYFUNCTION("""COMPUTED_VALUE"""),"Yes")</f>
        <v>Yes</v>
      </c>
      <c r="Q88" s="13" t="str">
        <f>IFERROR(__xludf.DUMMYFUNCTION("""COMPUTED_VALUE"""),"Partial")</f>
        <v>Partial</v>
      </c>
      <c r="R88" s="13"/>
      <c r="S88" s="13"/>
      <c r="T88" s="13"/>
      <c r="U88" s="13"/>
      <c r="V88" s="13"/>
      <c r="W88" s="13"/>
    </row>
    <row r="89" ht="16.5" customHeight="1">
      <c r="A89" s="5" t="str">
        <f>IFERROR(__xludf.DUMMYFUNCTION("""COMPUTED_VALUE"""),"SCOPUS-000300")</f>
        <v>SCOPUS-000300</v>
      </c>
      <c r="B89" s="13" t="str">
        <f>IFERROR(__xludf.DUMMYFUNCTION("""COMPUTED_VALUE"""),"Yes")</f>
        <v>Yes</v>
      </c>
      <c r="C89" s="13" t="str">
        <f>IFERROR(__xludf.DUMMYFUNCTION("""COMPUTED_VALUE"""),"Yes")</f>
        <v>Yes</v>
      </c>
      <c r="D89" s="13" t="str">
        <f>IFERROR(__xludf.DUMMYFUNCTION("""COMPUTED_VALUE"""),"Yes")</f>
        <v>Yes</v>
      </c>
      <c r="E89" s="13" t="str">
        <f>IFERROR(__xludf.DUMMYFUNCTION("""COMPUTED_VALUE"""),"Yes")</f>
        <v>Yes</v>
      </c>
      <c r="F89" s="13" t="str">
        <f>IFERROR(__xludf.DUMMYFUNCTION("""COMPUTED_VALUE"""),"Yes")</f>
        <v>Yes</v>
      </c>
      <c r="G89" s="13" t="str">
        <f>IFERROR(__xludf.DUMMYFUNCTION("""COMPUTED_VALUE"""),"Yes")</f>
        <v>Yes</v>
      </c>
      <c r="H89" s="13" t="str">
        <f>IFERROR(__xludf.DUMMYFUNCTION("""COMPUTED_VALUE"""),"Partial")</f>
        <v>Partial</v>
      </c>
      <c r="I89" s="13" t="str">
        <f>IFERROR(__xludf.DUMMYFUNCTION("""COMPUTED_VALUE"""),"No")</f>
        <v>No</v>
      </c>
      <c r="J89" s="13" t="str">
        <f>IFERROR(__xludf.DUMMYFUNCTION("""COMPUTED_VALUE"""),"Yes")</f>
        <v>Yes</v>
      </c>
      <c r="K89" s="13" t="str">
        <f>IFERROR(__xludf.DUMMYFUNCTION("""COMPUTED_VALUE"""),"Yes")</f>
        <v>Yes</v>
      </c>
      <c r="L89" s="13" t="str">
        <f>IFERROR(__xludf.DUMMYFUNCTION("""COMPUTED_VALUE"""),"Yes")</f>
        <v>Yes</v>
      </c>
      <c r="M89" s="13" t="str">
        <f>IFERROR(__xludf.DUMMYFUNCTION("""COMPUTED_VALUE"""),"Yes")</f>
        <v>Yes</v>
      </c>
      <c r="N89" s="13" t="str">
        <f>IFERROR(__xludf.DUMMYFUNCTION("""COMPUTED_VALUE"""),"Yes")</f>
        <v>Yes</v>
      </c>
      <c r="O89" s="13" t="str">
        <f>IFERROR(__xludf.DUMMYFUNCTION("""COMPUTED_VALUE"""),"Unclear")</f>
        <v>Unclear</v>
      </c>
      <c r="P89" s="13" t="str">
        <f>IFERROR(__xludf.DUMMYFUNCTION("""COMPUTED_VALUE"""),"Yes")</f>
        <v>Yes</v>
      </c>
      <c r="Q89" s="13" t="str">
        <f>IFERROR(__xludf.DUMMYFUNCTION("""COMPUTED_VALUE"""),"Yes")</f>
        <v>Yes</v>
      </c>
      <c r="R89" s="13"/>
      <c r="S89" s="13"/>
      <c r="T89" s="13"/>
      <c r="U89" s="13"/>
      <c r="V89" s="13"/>
      <c r="W89" s="13"/>
    </row>
    <row r="90" ht="16.5" customHeight="1">
      <c r="A90" s="5" t="str">
        <f>IFERROR(__xludf.DUMMYFUNCTION("""COMPUTED_VALUE"""),"SCOPUS-000099")</f>
        <v>SCOPUS-000099</v>
      </c>
      <c r="B90" s="13" t="str">
        <f>IFERROR(__xludf.DUMMYFUNCTION("""COMPUTED_VALUE"""),"Yes")</f>
        <v>Yes</v>
      </c>
      <c r="C90" s="13" t="str">
        <f>IFERROR(__xludf.DUMMYFUNCTION("""COMPUTED_VALUE"""),"Yes")</f>
        <v>Yes</v>
      </c>
      <c r="D90" s="13" t="str">
        <f>IFERROR(__xludf.DUMMYFUNCTION("""COMPUTED_VALUE"""),"Yes")</f>
        <v>Yes</v>
      </c>
      <c r="E90" s="13" t="str">
        <f>IFERROR(__xludf.DUMMYFUNCTION("""COMPUTED_VALUE"""),"Yes")</f>
        <v>Yes</v>
      </c>
      <c r="F90" s="13" t="str">
        <f>IFERROR(__xludf.DUMMYFUNCTION("""COMPUTED_VALUE"""),"Yes")</f>
        <v>Yes</v>
      </c>
      <c r="G90" s="13" t="str">
        <f>IFERROR(__xludf.DUMMYFUNCTION("""COMPUTED_VALUE"""),"Yes")</f>
        <v>Yes</v>
      </c>
      <c r="H90" s="13" t="str">
        <f>IFERROR(__xludf.DUMMYFUNCTION("""COMPUTED_VALUE"""),"Yes")</f>
        <v>Yes</v>
      </c>
      <c r="I90" s="13" t="str">
        <f>IFERROR(__xludf.DUMMYFUNCTION("""COMPUTED_VALUE"""),"No")</f>
        <v>No</v>
      </c>
      <c r="J90" s="13" t="str">
        <f>IFERROR(__xludf.DUMMYFUNCTION("""COMPUTED_VALUE"""),"Yes")</f>
        <v>Yes</v>
      </c>
      <c r="K90" s="13" t="str">
        <f>IFERROR(__xludf.DUMMYFUNCTION("""COMPUTED_VALUE"""),"Yes")</f>
        <v>Yes</v>
      </c>
      <c r="L90" s="13" t="str">
        <f>IFERROR(__xludf.DUMMYFUNCTION("""COMPUTED_VALUE"""),"Yes")</f>
        <v>Yes</v>
      </c>
      <c r="M90" s="13" t="str">
        <f>IFERROR(__xludf.DUMMYFUNCTION("""COMPUTED_VALUE"""),"Yes")</f>
        <v>Yes</v>
      </c>
      <c r="N90" s="13" t="str">
        <f>IFERROR(__xludf.DUMMYFUNCTION("""COMPUTED_VALUE"""),"Yes")</f>
        <v>Yes</v>
      </c>
      <c r="O90" s="13" t="str">
        <f>IFERROR(__xludf.DUMMYFUNCTION("""COMPUTED_VALUE"""),"Unclear")</f>
        <v>Unclear</v>
      </c>
      <c r="P90" s="13" t="str">
        <f>IFERROR(__xludf.DUMMYFUNCTION("""COMPUTED_VALUE"""),"Yes")</f>
        <v>Yes</v>
      </c>
      <c r="Q90" s="13" t="str">
        <f>IFERROR(__xludf.DUMMYFUNCTION("""COMPUTED_VALUE"""),"Yes")</f>
        <v>Yes</v>
      </c>
      <c r="R90" s="13"/>
      <c r="S90" s="13"/>
      <c r="T90" s="13"/>
      <c r="U90" s="13"/>
      <c r="V90" s="13"/>
      <c r="W90" s="13"/>
    </row>
    <row r="91" ht="16.5" customHeight="1">
      <c r="A91" s="5" t="str">
        <f>IFERROR(__xludf.DUMMYFUNCTION("""COMPUTED_VALUE"""),"SCOPUS-000287")</f>
        <v>SCOPUS-000287</v>
      </c>
      <c r="B91" s="13" t="str">
        <f>IFERROR(__xludf.DUMMYFUNCTION("""COMPUTED_VALUE"""),"Yes")</f>
        <v>Yes</v>
      </c>
      <c r="C91" s="13" t="str">
        <f>IFERROR(__xludf.DUMMYFUNCTION("""COMPUTED_VALUE"""),"Partial")</f>
        <v>Partial</v>
      </c>
      <c r="D91" s="13" t="str">
        <f>IFERROR(__xludf.DUMMYFUNCTION("""COMPUTED_VALUE"""),"Yes")</f>
        <v>Yes</v>
      </c>
      <c r="E91" s="13" t="str">
        <f>IFERROR(__xludf.DUMMYFUNCTION("""COMPUTED_VALUE"""),"Yes")</f>
        <v>Yes</v>
      </c>
      <c r="F91" s="13" t="str">
        <f>IFERROR(__xludf.DUMMYFUNCTION("""COMPUTED_VALUE"""),"Yes")</f>
        <v>Yes</v>
      </c>
      <c r="G91" s="13" t="str">
        <f>IFERROR(__xludf.DUMMYFUNCTION("""COMPUTED_VALUE"""),"Yes")</f>
        <v>Yes</v>
      </c>
      <c r="H91" s="13" t="str">
        <f>IFERROR(__xludf.DUMMYFUNCTION("""COMPUTED_VALUE"""),"Partial")</f>
        <v>Partial</v>
      </c>
      <c r="I91" s="13" t="str">
        <f>IFERROR(__xludf.DUMMYFUNCTION("""COMPUTED_VALUE"""),"No")</f>
        <v>No</v>
      </c>
      <c r="J91" s="13" t="str">
        <f>IFERROR(__xludf.DUMMYFUNCTION("""COMPUTED_VALUE"""),"Yes")</f>
        <v>Yes</v>
      </c>
      <c r="K91" s="13" t="str">
        <f>IFERROR(__xludf.DUMMYFUNCTION("""COMPUTED_VALUE"""),"Yes")</f>
        <v>Yes</v>
      </c>
      <c r="L91" s="13" t="str">
        <f>IFERROR(__xludf.DUMMYFUNCTION("""COMPUTED_VALUE"""),"Yes")</f>
        <v>Yes</v>
      </c>
      <c r="M91" s="13" t="str">
        <f>IFERROR(__xludf.DUMMYFUNCTION("""COMPUTED_VALUE"""),"Yes")</f>
        <v>Yes</v>
      </c>
      <c r="N91" s="13" t="str">
        <f>IFERROR(__xludf.DUMMYFUNCTION("""COMPUTED_VALUE"""),"Yes")</f>
        <v>Yes</v>
      </c>
      <c r="O91" s="13" t="str">
        <f>IFERROR(__xludf.DUMMYFUNCTION("""COMPUTED_VALUE"""),"Unclear")</f>
        <v>Unclear</v>
      </c>
      <c r="P91" s="13" t="str">
        <f>IFERROR(__xludf.DUMMYFUNCTION("""COMPUTED_VALUE"""),"Yes")</f>
        <v>Yes</v>
      </c>
      <c r="Q91" s="13" t="str">
        <f>IFERROR(__xludf.DUMMYFUNCTION("""COMPUTED_VALUE"""),"Yes")</f>
        <v>Yes</v>
      </c>
      <c r="R91" s="13"/>
      <c r="S91" s="13"/>
      <c r="T91" s="13"/>
      <c r="U91" s="13"/>
      <c r="V91" s="13"/>
      <c r="W91" s="13"/>
    </row>
    <row r="92" ht="16.5" customHeight="1">
      <c r="A92" s="5" t="str">
        <f>IFERROR(__xludf.DUMMYFUNCTION("""COMPUTED_VALUE"""),"SCOPUS-000172")</f>
        <v>SCOPUS-000172</v>
      </c>
      <c r="B92" s="13" t="str">
        <f>IFERROR(__xludf.DUMMYFUNCTION("""COMPUTED_VALUE"""),"Yes")</f>
        <v>Yes</v>
      </c>
      <c r="C92" s="13" t="str">
        <f>IFERROR(__xludf.DUMMYFUNCTION("""COMPUTED_VALUE"""),"Partial")</f>
        <v>Partial</v>
      </c>
      <c r="D92" s="13" t="str">
        <f>IFERROR(__xludf.DUMMYFUNCTION("""COMPUTED_VALUE"""),"Yes")</f>
        <v>Yes</v>
      </c>
      <c r="E92" s="13" t="str">
        <f>IFERROR(__xludf.DUMMYFUNCTION("""COMPUTED_VALUE"""),"Yes")</f>
        <v>Yes</v>
      </c>
      <c r="F92" s="13" t="str">
        <f>IFERROR(__xludf.DUMMYFUNCTION("""COMPUTED_VALUE"""),"Yes")</f>
        <v>Yes</v>
      </c>
      <c r="G92" s="13" t="str">
        <f>IFERROR(__xludf.DUMMYFUNCTION("""COMPUTED_VALUE"""),"Yes")</f>
        <v>Yes</v>
      </c>
      <c r="H92" s="13" t="str">
        <f>IFERROR(__xludf.DUMMYFUNCTION("""COMPUTED_VALUE"""),"Partial")</f>
        <v>Partial</v>
      </c>
      <c r="I92" s="13" t="str">
        <f>IFERROR(__xludf.DUMMYFUNCTION("""COMPUTED_VALUE"""),"No")</f>
        <v>No</v>
      </c>
      <c r="J92" s="13" t="str">
        <f>IFERROR(__xludf.DUMMYFUNCTION("""COMPUTED_VALUE"""),"Yes")</f>
        <v>Yes</v>
      </c>
      <c r="K92" s="13" t="str">
        <f>IFERROR(__xludf.DUMMYFUNCTION("""COMPUTED_VALUE"""),"Yes")</f>
        <v>Yes</v>
      </c>
      <c r="L92" s="13" t="str">
        <f>IFERROR(__xludf.DUMMYFUNCTION("""COMPUTED_VALUE"""),"Yes")</f>
        <v>Yes</v>
      </c>
      <c r="M92" s="13" t="str">
        <f>IFERROR(__xludf.DUMMYFUNCTION("""COMPUTED_VALUE"""),"Partial")</f>
        <v>Partial</v>
      </c>
      <c r="N92" s="13" t="str">
        <f>IFERROR(__xludf.DUMMYFUNCTION("""COMPUTED_VALUE"""),"Partial")</f>
        <v>Partial</v>
      </c>
      <c r="O92" s="13" t="str">
        <f>IFERROR(__xludf.DUMMYFUNCTION("""COMPUTED_VALUE"""),"Unclear")</f>
        <v>Unclear</v>
      </c>
      <c r="P92" s="13" t="str">
        <f>IFERROR(__xludf.DUMMYFUNCTION("""COMPUTED_VALUE"""),"Yes")</f>
        <v>Yes</v>
      </c>
      <c r="Q92" s="13" t="str">
        <f>IFERROR(__xludf.DUMMYFUNCTION("""COMPUTED_VALUE"""),"Partial")</f>
        <v>Partial</v>
      </c>
      <c r="R92" s="13"/>
      <c r="S92" s="13"/>
      <c r="T92" s="13"/>
      <c r="U92" s="13"/>
      <c r="V92" s="13"/>
      <c r="W92" s="13"/>
    </row>
    <row r="93" ht="16.5" customHeight="1">
      <c r="A93" s="5" t="str">
        <f>IFERROR(__xludf.DUMMYFUNCTION("""COMPUTED_VALUE"""),"SCOPUS-000290")</f>
        <v>SCOPUS-000290</v>
      </c>
      <c r="B93" s="13" t="str">
        <f>IFERROR(__xludf.DUMMYFUNCTION("""COMPUTED_VALUE"""),"Yes")</f>
        <v>Yes</v>
      </c>
      <c r="C93" s="13" t="str">
        <f>IFERROR(__xludf.DUMMYFUNCTION("""COMPUTED_VALUE"""),"Partial")</f>
        <v>Partial</v>
      </c>
      <c r="D93" s="13" t="str">
        <f>IFERROR(__xludf.DUMMYFUNCTION("""COMPUTED_VALUE"""),"Yes")</f>
        <v>Yes</v>
      </c>
      <c r="E93" s="13" t="str">
        <f>IFERROR(__xludf.DUMMYFUNCTION("""COMPUTED_VALUE"""),"Yes")</f>
        <v>Yes</v>
      </c>
      <c r="F93" s="13" t="str">
        <f>IFERROR(__xludf.DUMMYFUNCTION("""COMPUTED_VALUE"""),"Yes")</f>
        <v>Yes</v>
      </c>
      <c r="G93" s="13" t="str">
        <f>IFERROR(__xludf.DUMMYFUNCTION("""COMPUTED_VALUE"""),"Yes")</f>
        <v>Yes</v>
      </c>
      <c r="H93" s="13" t="str">
        <f>IFERROR(__xludf.DUMMYFUNCTION("""COMPUTED_VALUE"""),"Yes")</f>
        <v>Yes</v>
      </c>
      <c r="I93" s="13" t="str">
        <f>IFERROR(__xludf.DUMMYFUNCTION("""COMPUTED_VALUE"""),"No")</f>
        <v>No</v>
      </c>
      <c r="J93" s="13" t="str">
        <f>IFERROR(__xludf.DUMMYFUNCTION("""COMPUTED_VALUE"""),"Yes")</f>
        <v>Yes</v>
      </c>
      <c r="K93" s="13" t="str">
        <f>IFERROR(__xludf.DUMMYFUNCTION("""COMPUTED_VALUE"""),"Yes")</f>
        <v>Yes</v>
      </c>
      <c r="L93" s="13" t="str">
        <f>IFERROR(__xludf.DUMMYFUNCTION("""COMPUTED_VALUE"""),"Yes")</f>
        <v>Yes</v>
      </c>
      <c r="M93" s="13" t="str">
        <f>IFERROR(__xludf.DUMMYFUNCTION("""COMPUTED_VALUE"""),"Yes")</f>
        <v>Yes</v>
      </c>
      <c r="N93" s="13" t="str">
        <f>IFERROR(__xludf.DUMMYFUNCTION("""COMPUTED_VALUE"""),"Yes")</f>
        <v>Yes</v>
      </c>
      <c r="O93" s="13" t="str">
        <f>IFERROR(__xludf.DUMMYFUNCTION("""COMPUTED_VALUE"""),"Unclear")</f>
        <v>Unclear</v>
      </c>
      <c r="P93" s="13" t="str">
        <f>IFERROR(__xludf.DUMMYFUNCTION("""COMPUTED_VALUE"""),"Yes")</f>
        <v>Yes</v>
      </c>
      <c r="Q93" s="13" t="str">
        <f>IFERROR(__xludf.DUMMYFUNCTION("""COMPUTED_VALUE"""),"Yes")</f>
        <v>Yes</v>
      </c>
      <c r="R93" s="13"/>
      <c r="S93" s="13"/>
      <c r="T93" s="13"/>
      <c r="U93" s="13"/>
      <c r="V93" s="13"/>
      <c r="W93" s="13"/>
    </row>
    <row r="94" ht="16.5" customHeight="1">
      <c r="A94" s="5" t="str">
        <f>IFERROR(__xludf.DUMMYFUNCTION("""COMPUTED_VALUE"""),"SCOPUS-000274")</f>
        <v>SCOPUS-000274</v>
      </c>
      <c r="B94" s="13" t="str">
        <f>IFERROR(__xludf.DUMMYFUNCTION("""COMPUTED_VALUE"""),"Yes")</f>
        <v>Yes</v>
      </c>
      <c r="C94" s="13" t="str">
        <f>IFERROR(__xludf.DUMMYFUNCTION("""COMPUTED_VALUE"""),"Partial")</f>
        <v>Partial</v>
      </c>
      <c r="D94" s="13" t="str">
        <f>IFERROR(__xludf.DUMMYFUNCTION("""COMPUTED_VALUE"""),"Yes")</f>
        <v>Yes</v>
      </c>
      <c r="E94" s="13" t="str">
        <f>IFERROR(__xludf.DUMMYFUNCTION("""COMPUTED_VALUE"""),"Yes")</f>
        <v>Yes</v>
      </c>
      <c r="F94" s="13" t="str">
        <f>IFERROR(__xludf.DUMMYFUNCTION("""COMPUTED_VALUE"""),"Yes")</f>
        <v>Yes</v>
      </c>
      <c r="G94" s="13" t="str">
        <f>IFERROR(__xludf.DUMMYFUNCTION("""COMPUTED_VALUE"""),"Yes")</f>
        <v>Yes</v>
      </c>
      <c r="H94" s="13" t="str">
        <f>IFERROR(__xludf.DUMMYFUNCTION("""COMPUTED_VALUE"""),"Partial")</f>
        <v>Partial</v>
      </c>
      <c r="I94" s="13" t="str">
        <f>IFERROR(__xludf.DUMMYFUNCTION("""COMPUTED_VALUE"""),"No")</f>
        <v>No</v>
      </c>
      <c r="J94" s="13" t="str">
        <f>IFERROR(__xludf.DUMMYFUNCTION("""COMPUTED_VALUE"""),"Yes")</f>
        <v>Yes</v>
      </c>
      <c r="K94" s="13" t="str">
        <f>IFERROR(__xludf.DUMMYFUNCTION("""COMPUTED_VALUE"""),"Yes")</f>
        <v>Yes</v>
      </c>
      <c r="L94" s="13" t="str">
        <f>IFERROR(__xludf.DUMMYFUNCTION("""COMPUTED_VALUE"""),"Yes")</f>
        <v>Yes</v>
      </c>
      <c r="M94" s="13" t="str">
        <f>IFERROR(__xludf.DUMMYFUNCTION("""COMPUTED_VALUE"""),"Partial")</f>
        <v>Partial</v>
      </c>
      <c r="N94" s="13" t="str">
        <f>IFERROR(__xludf.DUMMYFUNCTION("""COMPUTED_VALUE"""),"Partial")</f>
        <v>Partial</v>
      </c>
      <c r="O94" s="13" t="str">
        <f>IFERROR(__xludf.DUMMYFUNCTION("""COMPUTED_VALUE"""),"Unclear")</f>
        <v>Unclear</v>
      </c>
      <c r="P94" s="13" t="str">
        <f>IFERROR(__xludf.DUMMYFUNCTION("""COMPUTED_VALUE"""),"Yes")</f>
        <v>Yes</v>
      </c>
      <c r="Q94" s="13" t="str">
        <f>IFERROR(__xludf.DUMMYFUNCTION("""COMPUTED_VALUE"""),"Partial")</f>
        <v>Partial</v>
      </c>
      <c r="R94" s="13"/>
      <c r="S94" s="13"/>
      <c r="T94" s="13"/>
      <c r="U94" s="13"/>
      <c r="V94" s="13"/>
      <c r="W94" s="13"/>
    </row>
    <row r="95" ht="16.5" customHeight="1">
      <c r="A95" s="5" t="str">
        <f>IFERROR(__xludf.DUMMYFUNCTION("""COMPUTED_VALUE"""),"SCOPUS-000084")</f>
        <v>SCOPUS-000084</v>
      </c>
      <c r="B95" s="13" t="str">
        <f>IFERROR(__xludf.DUMMYFUNCTION("""COMPUTED_VALUE"""),"Yes")</f>
        <v>Yes</v>
      </c>
      <c r="C95" s="13" t="str">
        <f>IFERROR(__xludf.DUMMYFUNCTION("""COMPUTED_VALUE"""),"Partial")</f>
        <v>Partial</v>
      </c>
      <c r="D95" s="13" t="str">
        <f>IFERROR(__xludf.DUMMYFUNCTION("""COMPUTED_VALUE"""),"Yes")</f>
        <v>Yes</v>
      </c>
      <c r="E95" s="13" t="str">
        <f>IFERROR(__xludf.DUMMYFUNCTION("""COMPUTED_VALUE"""),"Yes")</f>
        <v>Yes</v>
      </c>
      <c r="F95" s="13" t="str">
        <f>IFERROR(__xludf.DUMMYFUNCTION("""COMPUTED_VALUE"""),"Yes")</f>
        <v>Yes</v>
      </c>
      <c r="G95" s="13" t="str">
        <f>IFERROR(__xludf.DUMMYFUNCTION("""COMPUTED_VALUE"""),"Yes")</f>
        <v>Yes</v>
      </c>
      <c r="H95" s="13" t="str">
        <f>IFERROR(__xludf.DUMMYFUNCTION("""COMPUTED_VALUE"""),"Partial")</f>
        <v>Partial</v>
      </c>
      <c r="I95" s="13" t="str">
        <f>IFERROR(__xludf.DUMMYFUNCTION("""COMPUTED_VALUE"""),"No")</f>
        <v>No</v>
      </c>
      <c r="J95" s="13" t="str">
        <f>IFERROR(__xludf.DUMMYFUNCTION("""COMPUTED_VALUE"""),"Yes")</f>
        <v>Yes</v>
      </c>
      <c r="K95" s="13" t="str">
        <f>IFERROR(__xludf.DUMMYFUNCTION("""COMPUTED_VALUE"""),"Yes")</f>
        <v>Yes</v>
      </c>
      <c r="L95" s="13" t="str">
        <f>IFERROR(__xludf.DUMMYFUNCTION("""COMPUTED_VALUE"""),"Yes")</f>
        <v>Yes</v>
      </c>
      <c r="M95" s="13" t="str">
        <f>IFERROR(__xludf.DUMMYFUNCTION("""COMPUTED_VALUE"""),"Yes")</f>
        <v>Yes</v>
      </c>
      <c r="N95" s="13" t="str">
        <f>IFERROR(__xludf.DUMMYFUNCTION("""COMPUTED_VALUE"""),"Partial")</f>
        <v>Partial</v>
      </c>
      <c r="O95" s="13" t="str">
        <f>IFERROR(__xludf.DUMMYFUNCTION("""COMPUTED_VALUE"""),"Unclear")</f>
        <v>Unclear</v>
      </c>
      <c r="P95" s="13" t="str">
        <f>IFERROR(__xludf.DUMMYFUNCTION("""COMPUTED_VALUE"""),"Yes")</f>
        <v>Yes</v>
      </c>
      <c r="Q95" s="13" t="str">
        <f>IFERROR(__xludf.DUMMYFUNCTION("""COMPUTED_VALUE"""),"Partial")</f>
        <v>Partial</v>
      </c>
      <c r="R95" s="13"/>
      <c r="S95" s="13"/>
      <c r="T95" s="13"/>
      <c r="U95" s="13"/>
      <c r="V95" s="13"/>
      <c r="W95" s="13"/>
    </row>
    <row r="96" ht="16.5" customHeight="1">
      <c r="A96" s="5" t="str">
        <f>IFERROR(__xludf.DUMMYFUNCTION("""COMPUTED_VALUE"""),"SCOPUS-000131")</f>
        <v>SCOPUS-000131</v>
      </c>
      <c r="B96" s="13" t="str">
        <f>IFERROR(__xludf.DUMMYFUNCTION("""COMPUTED_VALUE"""),"Yes")</f>
        <v>Yes</v>
      </c>
      <c r="C96" s="13" t="str">
        <f>IFERROR(__xludf.DUMMYFUNCTION("""COMPUTED_VALUE"""),"Partial")</f>
        <v>Partial</v>
      </c>
      <c r="D96" s="13" t="str">
        <f>IFERROR(__xludf.DUMMYFUNCTION("""COMPUTED_VALUE"""),"Yes")</f>
        <v>Yes</v>
      </c>
      <c r="E96" s="13" t="str">
        <f>IFERROR(__xludf.DUMMYFUNCTION("""COMPUTED_VALUE"""),"Yes")</f>
        <v>Yes</v>
      </c>
      <c r="F96" s="13" t="str">
        <f>IFERROR(__xludf.DUMMYFUNCTION("""COMPUTED_VALUE"""),"Yes")</f>
        <v>Yes</v>
      </c>
      <c r="G96" s="13" t="str">
        <f>IFERROR(__xludf.DUMMYFUNCTION("""COMPUTED_VALUE"""),"Yes")</f>
        <v>Yes</v>
      </c>
      <c r="H96" s="13" t="str">
        <f>IFERROR(__xludf.DUMMYFUNCTION("""COMPUTED_VALUE"""),"Partial")</f>
        <v>Partial</v>
      </c>
      <c r="I96" s="13" t="str">
        <f>IFERROR(__xludf.DUMMYFUNCTION("""COMPUTED_VALUE"""),"No")</f>
        <v>No</v>
      </c>
      <c r="J96" s="13" t="str">
        <f>IFERROR(__xludf.DUMMYFUNCTION("""COMPUTED_VALUE"""),"Yes")</f>
        <v>Yes</v>
      </c>
      <c r="K96" s="13" t="str">
        <f>IFERROR(__xludf.DUMMYFUNCTION("""COMPUTED_VALUE"""),"Yes")</f>
        <v>Yes</v>
      </c>
      <c r="L96" s="13" t="str">
        <f>IFERROR(__xludf.DUMMYFUNCTION("""COMPUTED_VALUE"""),"Yes")</f>
        <v>Yes</v>
      </c>
      <c r="M96" s="13" t="str">
        <f>IFERROR(__xludf.DUMMYFUNCTION("""COMPUTED_VALUE"""),"Partial")</f>
        <v>Partial</v>
      </c>
      <c r="N96" s="13" t="str">
        <f>IFERROR(__xludf.DUMMYFUNCTION("""COMPUTED_VALUE"""),"Partial")</f>
        <v>Partial</v>
      </c>
      <c r="O96" s="13" t="str">
        <f>IFERROR(__xludf.DUMMYFUNCTION("""COMPUTED_VALUE"""),"Unclear")</f>
        <v>Unclear</v>
      </c>
      <c r="P96" s="13" t="str">
        <f>IFERROR(__xludf.DUMMYFUNCTION("""COMPUTED_VALUE"""),"Yes")</f>
        <v>Yes</v>
      </c>
      <c r="Q96" s="13" t="str">
        <f>IFERROR(__xludf.DUMMYFUNCTION("""COMPUTED_VALUE"""),"Partial")</f>
        <v>Partial</v>
      </c>
      <c r="R96" s="13"/>
      <c r="S96" s="13"/>
      <c r="T96" s="13"/>
      <c r="U96" s="13"/>
      <c r="V96" s="13"/>
      <c r="W96" s="13"/>
    </row>
    <row r="97" ht="16.5" customHeight="1">
      <c r="A97" s="5" t="str">
        <f>IFERROR(__xludf.DUMMYFUNCTION("""COMPUTED_VALUE"""),"SCOPUS-000001")</f>
        <v>SCOPUS-000001</v>
      </c>
      <c r="B97" s="13" t="str">
        <f>IFERROR(__xludf.DUMMYFUNCTION("""COMPUTED_VALUE"""),"Yes")</f>
        <v>Yes</v>
      </c>
      <c r="C97" s="13" t="str">
        <f>IFERROR(__xludf.DUMMYFUNCTION("""COMPUTED_VALUE"""),"Partial")</f>
        <v>Partial</v>
      </c>
      <c r="D97" s="13" t="str">
        <f>IFERROR(__xludf.DUMMYFUNCTION("""COMPUTED_VALUE"""),"Yes")</f>
        <v>Yes</v>
      </c>
      <c r="E97" s="13" t="str">
        <f>IFERROR(__xludf.DUMMYFUNCTION("""COMPUTED_VALUE"""),"Partial")</f>
        <v>Partial</v>
      </c>
      <c r="F97" s="13" t="str">
        <f>IFERROR(__xludf.DUMMYFUNCTION("""COMPUTED_VALUE"""),"Yes")</f>
        <v>Yes</v>
      </c>
      <c r="G97" s="13" t="str">
        <f>IFERROR(__xludf.DUMMYFUNCTION("""COMPUTED_VALUE"""),"Yes")</f>
        <v>Yes</v>
      </c>
      <c r="H97" s="13" t="str">
        <f>IFERROR(__xludf.DUMMYFUNCTION("""COMPUTED_VALUE"""),"Partial")</f>
        <v>Partial</v>
      </c>
      <c r="I97" s="13" t="str">
        <f>IFERROR(__xludf.DUMMYFUNCTION("""COMPUTED_VALUE"""),"No")</f>
        <v>No</v>
      </c>
      <c r="J97" s="13" t="str">
        <f>IFERROR(__xludf.DUMMYFUNCTION("""COMPUTED_VALUE"""),"Yes")</f>
        <v>Yes</v>
      </c>
      <c r="K97" s="13" t="str">
        <f>IFERROR(__xludf.DUMMYFUNCTION("""COMPUTED_VALUE"""),"Yes")</f>
        <v>Yes</v>
      </c>
      <c r="L97" s="13" t="str">
        <f>IFERROR(__xludf.DUMMYFUNCTION("""COMPUTED_VALUE"""),"Yes")</f>
        <v>Yes</v>
      </c>
      <c r="M97" s="13" t="str">
        <f>IFERROR(__xludf.DUMMYFUNCTION("""COMPUTED_VALUE"""),"Yes")</f>
        <v>Yes</v>
      </c>
      <c r="N97" s="13" t="str">
        <f>IFERROR(__xludf.DUMMYFUNCTION("""COMPUTED_VALUE"""),"Yes")</f>
        <v>Yes</v>
      </c>
      <c r="O97" s="13" t="str">
        <f>IFERROR(__xludf.DUMMYFUNCTION("""COMPUTED_VALUE"""),"Unclear")</f>
        <v>Unclear</v>
      </c>
      <c r="P97" s="13" t="str">
        <f>IFERROR(__xludf.DUMMYFUNCTION("""COMPUTED_VALUE"""),"Yes")</f>
        <v>Yes</v>
      </c>
      <c r="Q97" s="13" t="str">
        <f>IFERROR(__xludf.DUMMYFUNCTION("""COMPUTED_VALUE"""),"Yes")</f>
        <v>Yes</v>
      </c>
      <c r="R97" s="13" t="str">
        <f>IFERROR(__xludf.DUMMYFUNCTION("""COMPUTED_VALUE"""),"Unclear")</f>
        <v>Unclear</v>
      </c>
      <c r="S97" s="13" t="str">
        <f>IFERROR(__xludf.DUMMYFUNCTION("""COMPUTED_VALUE"""),"N/A")</f>
        <v>N/A</v>
      </c>
      <c r="T97" s="13" t="str">
        <f>IFERROR(__xludf.DUMMYFUNCTION("""COMPUTED_VALUE"""),"N/A")</f>
        <v>N/A</v>
      </c>
      <c r="U97" s="13" t="str">
        <f>IFERROR(__xludf.DUMMYFUNCTION("""COMPUTED_VALUE"""),"Some concerns")</f>
        <v>Some concerns</v>
      </c>
      <c r="V97" s="13" t="str">
        <f>IFERROR(__xludf.DUMMYFUNCTION("""COMPUTED_VALUE"""),"Some concerns")</f>
        <v>Some concerns</v>
      </c>
      <c r="W97" s="13" t="str">
        <f>IFERROR(__xludf.DUMMYFUNCTION("""COMPUTED_VALUE"""),"Some concerns")</f>
        <v>Some concerns</v>
      </c>
    </row>
    <row r="98" ht="16.5" customHeight="1">
      <c r="A98" s="5" t="str">
        <f>IFERROR(__xludf.DUMMYFUNCTION("""COMPUTED_VALUE"""),"SCOPUS-000012")</f>
        <v>SCOPUS-000012</v>
      </c>
      <c r="B98" s="13" t="str">
        <f>IFERROR(__xludf.DUMMYFUNCTION("""COMPUTED_VALUE"""),"Yes")</f>
        <v>Yes</v>
      </c>
      <c r="C98" s="13" t="str">
        <f>IFERROR(__xludf.DUMMYFUNCTION("""COMPUTED_VALUE"""),"Yes")</f>
        <v>Yes</v>
      </c>
      <c r="D98" s="13" t="str">
        <f>IFERROR(__xludf.DUMMYFUNCTION("""COMPUTED_VALUE"""),"Yes")</f>
        <v>Yes</v>
      </c>
      <c r="E98" s="13" t="str">
        <f>IFERROR(__xludf.DUMMYFUNCTION("""COMPUTED_VALUE"""),"Partial")</f>
        <v>Partial</v>
      </c>
      <c r="F98" s="13" t="str">
        <f>IFERROR(__xludf.DUMMYFUNCTION("""COMPUTED_VALUE"""),"Yes")</f>
        <v>Yes</v>
      </c>
      <c r="G98" s="13" t="str">
        <f>IFERROR(__xludf.DUMMYFUNCTION("""COMPUTED_VALUE"""),"Yes")</f>
        <v>Yes</v>
      </c>
      <c r="H98" s="13" t="str">
        <f>IFERROR(__xludf.DUMMYFUNCTION("""COMPUTED_VALUE"""),"Partial")</f>
        <v>Partial</v>
      </c>
      <c r="I98" s="13" t="str">
        <f>IFERROR(__xludf.DUMMYFUNCTION("""COMPUTED_VALUE"""),"No")</f>
        <v>No</v>
      </c>
      <c r="J98" s="13" t="str">
        <f>IFERROR(__xludf.DUMMYFUNCTION("""COMPUTED_VALUE"""),"Yes")</f>
        <v>Yes</v>
      </c>
      <c r="K98" s="13" t="str">
        <f>IFERROR(__xludf.DUMMYFUNCTION("""COMPUTED_VALUE"""),"Yes")</f>
        <v>Yes</v>
      </c>
      <c r="L98" s="13" t="str">
        <f>IFERROR(__xludf.DUMMYFUNCTION("""COMPUTED_VALUE"""),"Yes")</f>
        <v>Yes</v>
      </c>
      <c r="M98" s="13" t="str">
        <f>IFERROR(__xludf.DUMMYFUNCTION("""COMPUTED_VALUE"""),"Partial")</f>
        <v>Partial</v>
      </c>
      <c r="N98" s="13" t="str">
        <f>IFERROR(__xludf.DUMMYFUNCTION("""COMPUTED_VALUE"""),"Yes")</f>
        <v>Yes</v>
      </c>
      <c r="O98" s="13" t="str">
        <f>IFERROR(__xludf.DUMMYFUNCTION("""COMPUTED_VALUE"""),"Unclear")</f>
        <v>Unclear</v>
      </c>
      <c r="P98" s="13" t="str">
        <f>IFERROR(__xludf.DUMMYFUNCTION("""COMPUTED_VALUE"""),"Yes")</f>
        <v>Yes</v>
      </c>
      <c r="Q98" s="13" t="str">
        <f>IFERROR(__xludf.DUMMYFUNCTION("""COMPUTED_VALUE"""),"Yes")</f>
        <v>Yes</v>
      </c>
      <c r="R98" s="13" t="str">
        <f>IFERROR(__xludf.DUMMYFUNCTION("""COMPUTED_VALUE"""),"Unclear")</f>
        <v>Unclear</v>
      </c>
      <c r="S98" s="13" t="str">
        <f>IFERROR(__xludf.DUMMYFUNCTION("""COMPUTED_VALUE"""),"N/A")</f>
        <v>N/A</v>
      </c>
      <c r="T98" s="13" t="str">
        <f>IFERROR(__xludf.DUMMYFUNCTION("""COMPUTED_VALUE"""),"N/A")</f>
        <v>N/A</v>
      </c>
      <c r="U98" s="13" t="str">
        <f>IFERROR(__xludf.DUMMYFUNCTION("""COMPUTED_VALUE"""),"Some concerns")</f>
        <v>Some concerns</v>
      </c>
      <c r="V98" s="13" t="str">
        <f>IFERROR(__xludf.DUMMYFUNCTION("""COMPUTED_VALUE"""),"Some concerns")</f>
        <v>Some concerns</v>
      </c>
      <c r="W98" s="13" t="str">
        <f>IFERROR(__xludf.DUMMYFUNCTION("""COMPUTED_VALUE"""),"Some concerns")</f>
        <v>Some concerns</v>
      </c>
    </row>
    <row r="99" ht="16.5" customHeight="1">
      <c r="A99" s="5" t="str">
        <f>IFERROR(__xludf.DUMMYFUNCTION("""COMPUTED_VALUE"""),"SCOPUS-000027")</f>
        <v>SCOPUS-000027</v>
      </c>
      <c r="B99" s="13" t="str">
        <f>IFERROR(__xludf.DUMMYFUNCTION("""COMPUTED_VALUE"""),"Yes")</f>
        <v>Yes</v>
      </c>
      <c r="C99" s="13" t="str">
        <f>IFERROR(__xludf.DUMMYFUNCTION("""COMPUTED_VALUE"""),"Partial")</f>
        <v>Partial</v>
      </c>
      <c r="D99" s="13" t="str">
        <f>IFERROR(__xludf.DUMMYFUNCTION("""COMPUTED_VALUE"""),"Yes")</f>
        <v>Yes</v>
      </c>
      <c r="E99" s="13" t="str">
        <f>IFERROR(__xludf.DUMMYFUNCTION("""COMPUTED_VALUE"""),"Partial")</f>
        <v>Partial</v>
      </c>
      <c r="F99" s="13" t="str">
        <f>IFERROR(__xludf.DUMMYFUNCTION("""COMPUTED_VALUE"""),"Yes")</f>
        <v>Yes</v>
      </c>
      <c r="G99" s="13" t="str">
        <f>IFERROR(__xludf.DUMMYFUNCTION("""COMPUTED_VALUE"""),"Yes")</f>
        <v>Yes</v>
      </c>
      <c r="H99" s="13" t="str">
        <f>IFERROR(__xludf.DUMMYFUNCTION("""COMPUTED_VALUE"""),"Partial")</f>
        <v>Partial</v>
      </c>
      <c r="I99" s="13" t="str">
        <f>IFERROR(__xludf.DUMMYFUNCTION("""COMPUTED_VALUE"""),"No")</f>
        <v>No</v>
      </c>
      <c r="J99" s="13" t="str">
        <f>IFERROR(__xludf.DUMMYFUNCTION("""COMPUTED_VALUE"""),"Partial")</f>
        <v>Partial</v>
      </c>
      <c r="K99" s="13" t="str">
        <f>IFERROR(__xludf.DUMMYFUNCTION("""COMPUTED_VALUE"""),"Yes")</f>
        <v>Yes</v>
      </c>
      <c r="L99" s="13" t="str">
        <f>IFERROR(__xludf.DUMMYFUNCTION("""COMPUTED_VALUE"""),"Yes")</f>
        <v>Yes</v>
      </c>
      <c r="M99" s="13" t="str">
        <f>IFERROR(__xludf.DUMMYFUNCTION("""COMPUTED_VALUE"""),"Yes")</f>
        <v>Yes</v>
      </c>
      <c r="N99" s="13" t="str">
        <f>IFERROR(__xludf.DUMMYFUNCTION("""COMPUTED_VALUE"""),"Yes")</f>
        <v>Yes</v>
      </c>
      <c r="O99" s="13" t="str">
        <f>IFERROR(__xludf.DUMMYFUNCTION("""COMPUTED_VALUE"""),"Unclear")</f>
        <v>Unclear</v>
      </c>
      <c r="P99" s="13" t="str">
        <f>IFERROR(__xludf.DUMMYFUNCTION("""COMPUTED_VALUE"""),"Yes")</f>
        <v>Yes</v>
      </c>
      <c r="Q99" s="13" t="str">
        <f>IFERROR(__xludf.DUMMYFUNCTION("""COMPUTED_VALUE"""),"Yes")</f>
        <v>Yes</v>
      </c>
      <c r="R99" s="13" t="str">
        <f>IFERROR(__xludf.DUMMYFUNCTION("""COMPUTED_VALUE"""),"Unclear")</f>
        <v>Unclear</v>
      </c>
      <c r="S99" s="13" t="str">
        <f>IFERROR(__xludf.DUMMYFUNCTION("""COMPUTED_VALUE"""),"N/A")</f>
        <v>N/A</v>
      </c>
      <c r="T99" s="13" t="str">
        <f>IFERROR(__xludf.DUMMYFUNCTION("""COMPUTED_VALUE"""),"N/A")</f>
        <v>N/A</v>
      </c>
      <c r="U99" s="13" t="str">
        <f>IFERROR(__xludf.DUMMYFUNCTION("""COMPUTED_VALUE"""),"Some concerns")</f>
        <v>Some concerns</v>
      </c>
      <c r="V99" s="13" t="str">
        <f>IFERROR(__xludf.DUMMYFUNCTION("""COMPUTED_VALUE"""),"Some concerns")</f>
        <v>Some concerns</v>
      </c>
      <c r="W99" s="13" t="str">
        <f>IFERROR(__xludf.DUMMYFUNCTION("""COMPUTED_VALUE"""),"Some concerns")</f>
        <v>Some concerns</v>
      </c>
    </row>
    <row r="100" ht="16.5" customHeight="1">
      <c r="A100" s="5" t="str">
        <f>IFERROR(__xludf.DUMMYFUNCTION("""COMPUTED_VALUE"""),"SCOPUS-000047")</f>
        <v>SCOPUS-000047</v>
      </c>
      <c r="B100" s="13" t="str">
        <f>IFERROR(__xludf.DUMMYFUNCTION("""COMPUTED_VALUE"""),"Yes")</f>
        <v>Yes</v>
      </c>
      <c r="C100" s="13" t="str">
        <f>IFERROR(__xludf.DUMMYFUNCTION("""COMPUTED_VALUE"""),"Partial")</f>
        <v>Partial</v>
      </c>
      <c r="D100" s="13" t="str">
        <f>IFERROR(__xludf.DUMMYFUNCTION("""COMPUTED_VALUE"""),"Yes")</f>
        <v>Yes</v>
      </c>
      <c r="E100" s="13" t="str">
        <f>IFERROR(__xludf.DUMMYFUNCTION("""COMPUTED_VALUE"""),"Yes")</f>
        <v>Yes</v>
      </c>
      <c r="F100" s="13" t="str">
        <f>IFERROR(__xludf.DUMMYFUNCTION("""COMPUTED_VALUE"""),"Yes")</f>
        <v>Yes</v>
      </c>
      <c r="G100" s="13" t="str">
        <f>IFERROR(__xludf.DUMMYFUNCTION("""COMPUTED_VALUE"""),"Yes")</f>
        <v>Yes</v>
      </c>
      <c r="H100" s="13" t="str">
        <f>IFERROR(__xludf.DUMMYFUNCTION("""COMPUTED_VALUE"""),"Yes")</f>
        <v>Yes</v>
      </c>
      <c r="I100" s="13" t="str">
        <f>IFERROR(__xludf.DUMMYFUNCTION("""COMPUTED_VALUE"""),"No")</f>
        <v>No</v>
      </c>
      <c r="J100" s="13" t="str">
        <f>IFERROR(__xludf.DUMMYFUNCTION("""COMPUTED_VALUE"""),"Yes")</f>
        <v>Yes</v>
      </c>
      <c r="K100" s="13" t="str">
        <f>IFERROR(__xludf.DUMMYFUNCTION("""COMPUTED_VALUE"""),"Yes")</f>
        <v>Yes</v>
      </c>
      <c r="L100" s="13" t="str">
        <f>IFERROR(__xludf.DUMMYFUNCTION("""COMPUTED_VALUE"""),"Yes")</f>
        <v>Yes</v>
      </c>
      <c r="M100" s="13" t="str">
        <f>IFERROR(__xludf.DUMMYFUNCTION("""COMPUTED_VALUE"""),"Partial")</f>
        <v>Partial</v>
      </c>
      <c r="N100" s="13" t="str">
        <f>IFERROR(__xludf.DUMMYFUNCTION("""COMPUTED_VALUE"""),"No")</f>
        <v>No</v>
      </c>
      <c r="O100" s="13" t="str">
        <f>IFERROR(__xludf.DUMMYFUNCTION("""COMPUTED_VALUE"""),"Unclear")</f>
        <v>Unclear</v>
      </c>
      <c r="P100" s="13" t="str">
        <f>IFERROR(__xludf.DUMMYFUNCTION("""COMPUTED_VALUE"""),"Yes")</f>
        <v>Yes</v>
      </c>
      <c r="Q100" s="13" t="str">
        <f>IFERROR(__xludf.DUMMYFUNCTION("""COMPUTED_VALUE"""),"Yes")</f>
        <v>Yes</v>
      </c>
      <c r="R100" s="13" t="str">
        <f>IFERROR(__xludf.DUMMYFUNCTION("""COMPUTED_VALUE"""),"Unclear")</f>
        <v>Unclear</v>
      </c>
      <c r="S100" s="13" t="str">
        <f>IFERROR(__xludf.DUMMYFUNCTION("""COMPUTED_VALUE"""),"N/A")</f>
        <v>N/A</v>
      </c>
      <c r="T100" s="13" t="str">
        <f>IFERROR(__xludf.DUMMYFUNCTION("""COMPUTED_VALUE"""),"N/A")</f>
        <v>N/A</v>
      </c>
      <c r="U100" s="13" t="str">
        <f>IFERROR(__xludf.DUMMYFUNCTION("""COMPUTED_VALUE"""),"Some concerns")</f>
        <v>Some concerns</v>
      </c>
      <c r="V100" s="13" t="str">
        <f>IFERROR(__xludf.DUMMYFUNCTION("""COMPUTED_VALUE"""),"Some concerns")</f>
        <v>Some concerns</v>
      </c>
      <c r="W100" s="13" t="str">
        <f>IFERROR(__xludf.DUMMYFUNCTION("""COMPUTED_VALUE"""),"Some concerns")</f>
        <v>Some concerns</v>
      </c>
    </row>
    <row r="101" ht="16.5" customHeight="1">
      <c r="A101" s="5" t="str">
        <f>IFERROR(__xludf.DUMMYFUNCTION("""COMPUTED_VALUE"""),"SCOPUS-000049")</f>
        <v>SCOPUS-000049</v>
      </c>
      <c r="B101" s="13" t="str">
        <f>IFERROR(__xludf.DUMMYFUNCTION("""COMPUTED_VALUE"""),"Yes")</f>
        <v>Yes</v>
      </c>
      <c r="C101" s="13" t="str">
        <f>IFERROR(__xludf.DUMMYFUNCTION("""COMPUTED_VALUE"""),"Yes")</f>
        <v>Yes</v>
      </c>
      <c r="D101" s="13" t="str">
        <f>IFERROR(__xludf.DUMMYFUNCTION("""COMPUTED_VALUE"""),"Yes")</f>
        <v>Yes</v>
      </c>
      <c r="E101" s="13" t="str">
        <f>IFERROR(__xludf.DUMMYFUNCTION("""COMPUTED_VALUE"""),"Yes")</f>
        <v>Yes</v>
      </c>
      <c r="F101" s="13" t="str">
        <f>IFERROR(__xludf.DUMMYFUNCTION("""COMPUTED_VALUE"""),"Yes")</f>
        <v>Yes</v>
      </c>
      <c r="G101" s="13" t="str">
        <f>IFERROR(__xludf.DUMMYFUNCTION("""COMPUTED_VALUE"""),"Yes")</f>
        <v>Yes</v>
      </c>
      <c r="H101" s="13" t="str">
        <f>IFERROR(__xludf.DUMMYFUNCTION("""COMPUTED_VALUE"""),"Partial")</f>
        <v>Partial</v>
      </c>
      <c r="I101" s="13" t="str">
        <f>IFERROR(__xludf.DUMMYFUNCTION("""COMPUTED_VALUE"""),"Yes")</f>
        <v>Yes</v>
      </c>
      <c r="J101" s="13" t="str">
        <f>IFERROR(__xludf.DUMMYFUNCTION("""COMPUTED_VALUE"""),"Yes")</f>
        <v>Yes</v>
      </c>
      <c r="K101" s="13" t="str">
        <f>IFERROR(__xludf.DUMMYFUNCTION("""COMPUTED_VALUE"""),"Yes")</f>
        <v>Yes</v>
      </c>
      <c r="L101" s="13" t="str">
        <f>IFERROR(__xludf.DUMMYFUNCTION("""COMPUTED_VALUE"""),"Yes")</f>
        <v>Yes</v>
      </c>
      <c r="M101" s="13" t="str">
        <f>IFERROR(__xludf.DUMMYFUNCTION("""COMPUTED_VALUE"""),"Yes")</f>
        <v>Yes</v>
      </c>
      <c r="N101" s="13" t="str">
        <f>IFERROR(__xludf.DUMMYFUNCTION("""COMPUTED_VALUE"""),"Yes")</f>
        <v>Yes</v>
      </c>
      <c r="O101" s="13" t="str">
        <f>IFERROR(__xludf.DUMMYFUNCTION("""COMPUTED_VALUE"""),"Unclear")</f>
        <v>Unclear</v>
      </c>
      <c r="P101" s="13" t="str">
        <f>IFERROR(__xludf.DUMMYFUNCTION("""COMPUTED_VALUE"""),"Yes")</f>
        <v>Yes</v>
      </c>
      <c r="Q101" s="13" t="str">
        <f>IFERROR(__xludf.DUMMYFUNCTION("""COMPUTED_VALUE"""),"Yes")</f>
        <v>Yes</v>
      </c>
      <c r="R101" s="13" t="str">
        <f>IFERROR(__xludf.DUMMYFUNCTION("""COMPUTED_VALUE"""),"Partial")</f>
        <v>Partial</v>
      </c>
      <c r="S101" s="13" t="str">
        <f>IFERROR(__xludf.DUMMYFUNCTION("""COMPUTED_VALUE"""),"N/A")</f>
        <v>N/A</v>
      </c>
      <c r="T101" s="13" t="str">
        <f>IFERROR(__xludf.DUMMYFUNCTION("""COMPUTED_VALUE"""),"N/A")</f>
        <v>N/A</v>
      </c>
      <c r="U101" s="13" t="str">
        <f>IFERROR(__xludf.DUMMYFUNCTION("""COMPUTED_VALUE"""),"Some concerns")</f>
        <v>Some concerns</v>
      </c>
      <c r="V101" s="13" t="str">
        <f>IFERROR(__xludf.DUMMYFUNCTION("""COMPUTED_VALUE"""),"Some concerns")</f>
        <v>Some concerns</v>
      </c>
      <c r="W101" s="13" t="str">
        <f>IFERROR(__xludf.DUMMYFUNCTION("""COMPUTED_VALUE"""),"Some concerns")</f>
        <v>Some concerns</v>
      </c>
    </row>
    <row r="102" ht="16.5" customHeight="1">
      <c r="A102" s="5" t="str">
        <f>IFERROR(__xludf.DUMMYFUNCTION("""COMPUTED_VALUE"""),"SCOPUS-000059")</f>
        <v>SCOPUS-000059</v>
      </c>
      <c r="B102" s="13" t="str">
        <f>IFERROR(__xludf.DUMMYFUNCTION("""COMPUTED_VALUE"""),"Yes")</f>
        <v>Yes</v>
      </c>
      <c r="C102" s="13" t="str">
        <f>IFERROR(__xludf.DUMMYFUNCTION("""COMPUTED_VALUE"""),"Partial")</f>
        <v>Partial</v>
      </c>
      <c r="D102" s="13" t="str">
        <f>IFERROR(__xludf.DUMMYFUNCTION("""COMPUTED_VALUE"""),"Yes")</f>
        <v>Yes</v>
      </c>
      <c r="E102" s="13" t="str">
        <f>IFERROR(__xludf.DUMMYFUNCTION("""COMPUTED_VALUE"""),"Yes")</f>
        <v>Yes</v>
      </c>
      <c r="F102" s="13" t="str">
        <f>IFERROR(__xludf.DUMMYFUNCTION("""COMPUTED_VALUE"""),"Yes")</f>
        <v>Yes</v>
      </c>
      <c r="G102" s="13" t="str">
        <f>IFERROR(__xludf.DUMMYFUNCTION("""COMPUTED_VALUE"""),"Yes")</f>
        <v>Yes</v>
      </c>
      <c r="H102" s="13" t="str">
        <f>IFERROR(__xludf.DUMMYFUNCTION("""COMPUTED_VALUE"""),"Yes")</f>
        <v>Yes</v>
      </c>
      <c r="I102" s="13" t="str">
        <f>IFERROR(__xludf.DUMMYFUNCTION("""COMPUTED_VALUE"""),"Yes")</f>
        <v>Yes</v>
      </c>
      <c r="J102" s="13" t="str">
        <f>IFERROR(__xludf.DUMMYFUNCTION("""COMPUTED_VALUE"""),"Yes")</f>
        <v>Yes</v>
      </c>
      <c r="K102" s="13" t="str">
        <f>IFERROR(__xludf.DUMMYFUNCTION("""COMPUTED_VALUE"""),"Yes")</f>
        <v>Yes</v>
      </c>
      <c r="L102" s="13" t="str">
        <f>IFERROR(__xludf.DUMMYFUNCTION("""COMPUTED_VALUE"""),"Yes")</f>
        <v>Yes</v>
      </c>
      <c r="M102" s="13" t="str">
        <f>IFERROR(__xludf.DUMMYFUNCTION("""COMPUTED_VALUE"""),"Yes")</f>
        <v>Yes</v>
      </c>
      <c r="N102" s="13" t="str">
        <f>IFERROR(__xludf.DUMMYFUNCTION("""COMPUTED_VALUE"""),"Partial")</f>
        <v>Partial</v>
      </c>
      <c r="O102" s="13" t="str">
        <f>IFERROR(__xludf.DUMMYFUNCTION("""COMPUTED_VALUE"""),"Unclear")</f>
        <v>Unclear</v>
      </c>
      <c r="P102" s="13" t="str">
        <f>IFERROR(__xludf.DUMMYFUNCTION("""COMPUTED_VALUE"""),"Yes")</f>
        <v>Yes</v>
      </c>
      <c r="Q102" s="13" t="str">
        <f>IFERROR(__xludf.DUMMYFUNCTION("""COMPUTED_VALUE"""),"Yes")</f>
        <v>Yes</v>
      </c>
      <c r="R102" s="13" t="str">
        <f>IFERROR(__xludf.DUMMYFUNCTION("""COMPUTED_VALUE"""),"Unclear")</f>
        <v>Unclear</v>
      </c>
      <c r="S102" s="13" t="str">
        <f>IFERROR(__xludf.DUMMYFUNCTION("""COMPUTED_VALUE"""),"N/A")</f>
        <v>N/A</v>
      </c>
      <c r="T102" s="13" t="str">
        <f>IFERROR(__xludf.DUMMYFUNCTION("""COMPUTED_VALUE"""),"N/A")</f>
        <v>N/A</v>
      </c>
      <c r="U102" s="13" t="str">
        <f>IFERROR(__xludf.DUMMYFUNCTION("""COMPUTED_VALUE"""),"Some concerns")</f>
        <v>Some concerns</v>
      </c>
      <c r="V102" s="13" t="str">
        <f>IFERROR(__xludf.DUMMYFUNCTION("""COMPUTED_VALUE"""),"Some concerns")</f>
        <v>Some concerns</v>
      </c>
      <c r="W102" s="13" t="str">
        <f>IFERROR(__xludf.DUMMYFUNCTION("""COMPUTED_VALUE"""),"Some concerns")</f>
        <v>Some concerns</v>
      </c>
    </row>
    <row r="103" ht="16.5" customHeight="1">
      <c r="A103" s="5" t="str">
        <f>IFERROR(__xludf.DUMMYFUNCTION("""COMPUTED_VALUE"""),"SCOPUS-000067")</f>
        <v>SCOPUS-000067</v>
      </c>
      <c r="B103" s="13" t="str">
        <f>IFERROR(__xludf.DUMMYFUNCTION("""COMPUTED_VALUE"""),"Yes")</f>
        <v>Yes</v>
      </c>
      <c r="C103" s="13" t="str">
        <f>IFERROR(__xludf.DUMMYFUNCTION("""COMPUTED_VALUE"""),"Yes")</f>
        <v>Yes</v>
      </c>
      <c r="D103" s="13" t="str">
        <f>IFERROR(__xludf.DUMMYFUNCTION("""COMPUTED_VALUE"""),"Yes")</f>
        <v>Yes</v>
      </c>
      <c r="E103" s="13" t="str">
        <f>IFERROR(__xludf.DUMMYFUNCTION("""COMPUTED_VALUE"""),"Yes")</f>
        <v>Yes</v>
      </c>
      <c r="F103" s="13" t="str">
        <f>IFERROR(__xludf.DUMMYFUNCTION("""COMPUTED_VALUE"""),"Yes")</f>
        <v>Yes</v>
      </c>
      <c r="G103" s="13" t="str">
        <f>IFERROR(__xludf.DUMMYFUNCTION("""COMPUTED_VALUE"""),"Yes")</f>
        <v>Yes</v>
      </c>
      <c r="H103" s="13" t="str">
        <f>IFERROR(__xludf.DUMMYFUNCTION("""COMPUTED_VALUE"""),"Yes")</f>
        <v>Yes</v>
      </c>
      <c r="I103" s="13" t="str">
        <f>IFERROR(__xludf.DUMMYFUNCTION("""COMPUTED_VALUE"""),"Partial")</f>
        <v>Partial</v>
      </c>
      <c r="J103" s="13" t="str">
        <f>IFERROR(__xludf.DUMMYFUNCTION("""COMPUTED_VALUE"""),"Yes")</f>
        <v>Yes</v>
      </c>
      <c r="K103" s="13" t="str">
        <f>IFERROR(__xludf.DUMMYFUNCTION("""COMPUTED_VALUE"""),"Yes")</f>
        <v>Yes</v>
      </c>
      <c r="L103" s="13" t="str">
        <f>IFERROR(__xludf.DUMMYFUNCTION("""COMPUTED_VALUE"""),"Yes")</f>
        <v>Yes</v>
      </c>
      <c r="M103" s="13" t="str">
        <f>IFERROR(__xludf.DUMMYFUNCTION("""COMPUTED_VALUE"""),"Partial")</f>
        <v>Partial</v>
      </c>
      <c r="N103" s="13" t="str">
        <f>IFERROR(__xludf.DUMMYFUNCTION("""COMPUTED_VALUE"""),"Yes")</f>
        <v>Yes</v>
      </c>
      <c r="O103" s="13" t="str">
        <f>IFERROR(__xludf.DUMMYFUNCTION("""COMPUTED_VALUE"""),"Unclear")</f>
        <v>Unclear</v>
      </c>
      <c r="P103" s="13" t="str">
        <f>IFERROR(__xludf.DUMMYFUNCTION("""COMPUTED_VALUE"""),"Yes")</f>
        <v>Yes</v>
      </c>
      <c r="Q103" s="13" t="str">
        <f>IFERROR(__xludf.DUMMYFUNCTION("""COMPUTED_VALUE"""),"Yes")</f>
        <v>Yes</v>
      </c>
      <c r="R103" s="13" t="str">
        <f>IFERROR(__xludf.DUMMYFUNCTION("""COMPUTED_VALUE"""),"Unclear")</f>
        <v>Unclear</v>
      </c>
      <c r="S103" s="13" t="str">
        <f>IFERROR(__xludf.DUMMYFUNCTION("""COMPUTED_VALUE"""),"N/A")</f>
        <v>N/A</v>
      </c>
      <c r="T103" s="13" t="str">
        <f>IFERROR(__xludf.DUMMYFUNCTION("""COMPUTED_VALUE"""),"N/A")</f>
        <v>N/A</v>
      </c>
      <c r="U103" s="13" t="str">
        <f>IFERROR(__xludf.DUMMYFUNCTION("""COMPUTED_VALUE"""),"Some concerns")</f>
        <v>Some concerns</v>
      </c>
      <c r="V103" s="13" t="str">
        <f>IFERROR(__xludf.DUMMYFUNCTION("""COMPUTED_VALUE"""),"Some concerns")</f>
        <v>Some concerns</v>
      </c>
      <c r="W103" s="13" t="str">
        <f>IFERROR(__xludf.DUMMYFUNCTION("""COMPUTED_VALUE"""),"High")</f>
        <v>High</v>
      </c>
    </row>
    <row r="104" ht="16.5" customHeight="1">
      <c r="A104" s="5" t="str">
        <f>IFERROR(__xludf.DUMMYFUNCTION("""COMPUTED_VALUE"""),"SCOPUS-000076")</f>
        <v>SCOPUS-000076</v>
      </c>
      <c r="B104" s="13" t="str">
        <f>IFERROR(__xludf.DUMMYFUNCTION("""COMPUTED_VALUE"""),"Yes")</f>
        <v>Yes</v>
      </c>
      <c r="C104" s="13" t="str">
        <f>IFERROR(__xludf.DUMMYFUNCTION("""COMPUTED_VALUE"""),"Partial")</f>
        <v>Partial</v>
      </c>
      <c r="D104" s="13" t="str">
        <f>IFERROR(__xludf.DUMMYFUNCTION("""COMPUTED_VALUE"""),"Yes")</f>
        <v>Yes</v>
      </c>
      <c r="E104" s="13" t="str">
        <f>IFERROR(__xludf.DUMMYFUNCTION("""COMPUTED_VALUE"""),"Yes")</f>
        <v>Yes</v>
      </c>
      <c r="F104" s="13" t="str">
        <f>IFERROR(__xludf.DUMMYFUNCTION("""COMPUTED_VALUE"""),"Yes")</f>
        <v>Yes</v>
      </c>
      <c r="G104" s="13" t="str">
        <f>IFERROR(__xludf.DUMMYFUNCTION("""COMPUTED_VALUE"""),"Yes")</f>
        <v>Yes</v>
      </c>
      <c r="H104" s="13" t="str">
        <f>IFERROR(__xludf.DUMMYFUNCTION("""COMPUTED_VALUE"""),"Yes")</f>
        <v>Yes</v>
      </c>
      <c r="I104" s="13" t="str">
        <f>IFERROR(__xludf.DUMMYFUNCTION("""COMPUTED_VALUE"""),"No")</f>
        <v>No</v>
      </c>
      <c r="J104" s="13" t="str">
        <f>IFERROR(__xludf.DUMMYFUNCTION("""COMPUTED_VALUE"""),"Yes")</f>
        <v>Yes</v>
      </c>
      <c r="K104" s="13" t="str">
        <f>IFERROR(__xludf.DUMMYFUNCTION("""COMPUTED_VALUE"""),"Yes")</f>
        <v>Yes</v>
      </c>
      <c r="L104" s="13" t="str">
        <f>IFERROR(__xludf.DUMMYFUNCTION("""COMPUTED_VALUE"""),"Yes")</f>
        <v>Yes</v>
      </c>
      <c r="M104" s="13" t="str">
        <f>IFERROR(__xludf.DUMMYFUNCTION("""COMPUTED_VALUE"""),"Yes")</f>
        <v>Yes</v>
      </c>
      <c r="N104" s="13" t="str">
        <f>IFERROR(__xludf.DUMMYFUNCTION("""COMPUTED_VALUE"""),"Partial")</f>
        <v>Partial</v>
      </c>
      <c r="O104" s="13" t="str">
        <f>IFERROR(__xludf.DUMMYFUNCTION("""COMPUTED_VALUE"""),"Unclear")</f>
        <v>Unclear</v>
      </c>
      <c r="P104" s="13" t="str">
        <f>IFERROR(__xludf.DUMMYFUNCTION("""COMPUTED_VALUE"""),"Yes")</f>
        <v>Yes</v>
      </c>
      <c r="Q104" s="13" t="str">
        <f>IFERROR(__xludf.DUMMYFUNCTION("""COMPUTED_VALUE"""),"Yes")</f>
        <v>Yes</v>
      </c>
      <c r="R104" s="13" t="str">
        <f>IFERROR(__xludf.DUMMYFUNCTION("""COMPUTED_VALUE"""),"Unclear")</f>
        <v>Unclear</v>
      </c>
      <c r="S104" s="13" t="str">
        <f>IFERROR(__xludf.DUMMYFUNCTION("""COMPUTED_VALUE"""),"N/A")</f>
        <v>N/A</v>
      </c>
      <c r="T104" s="13" t="str">
        <f>IFERROR(__xludf.DUMMYFUNCTION("""COMPUTED_VALUE"""),"N/A")</f>
        <v>N/A</v>
      </c>
      <c r="U104" s="13" t="str">
        <f>IFERROR(__xludf.DUMMYFUNCTION("""COMPUTED_VALUE"""),"Some concerns")</f>
        <v>Some concerns</v>
      </c>
      <c r="V104" s="13" t="str">
        <f>IFERROR(__xludf.DUMMYFUNCTION("""COMPUTED_VALUE"""),"Some concerns")</f>
        <v>Some concerns</v>
      </c>
      <c r="W104" s="13" t="str">
        <f>IFERROR(__xludf.DUMMYFUNCTION("""COMPUTED_VALUE"""),"Some concerns")</f>
        <v>Some concerns</v>
      </c>
    </row>
    <row r="105" ht="16.5" customHeight="1">
      <c r="A105" s="5" t="str">
        <f>IFERROR(__xludf.DUMMYFUNCTION("""COMPUTED_VALUE"""),"SCOPUS-000087")</f>
        <v>SCOPUS-000087</v>
      </c>
      <c r="B105" s="13" t="str">
        <f>IFERROR(__xludf.DUMMYFUNCTION("""COMPUTED_VALUE"""),"Yes")</f>
        <v>Yes</v>
      </c>
      <c r="C105" s="13" t="str">
        <f>IFERROR(__xludf.DUMMYFUNCTION("""COMPUTED_VALUE"""),"Partial")</f>
        <v>Partial</v>
      </c>
      <c r="D105" s="13" t="str">
        <f>IFERROR(__xludf.DUMMYFUNCTION("""COMPUTED_VALUE"""),"Yes")</f>
        <v>Yes</v>
      </c>
      <c r="E105" s="13" t="str">
        <f>IFERROR(__xludf.DUMMYFUNCTION("""COMPUTED_VALUE"""),"Partial")</f>
        <v>Partial</v>
      </c>
      <c r="F105" s="13" t="str">
        <f>IFERROR(__xludf.DUMMYFUNCTION("""COMPUTED_VALUE"""),"Yes")</f>
        <v>Yes</v>
      </c>
      <c r="G105" s="13" t="str">
        <f>IFERROR(__xludf.DUMMYFUNCTION("""COMPUTED_VALUE"""),"Yes")</f>
        <v>Yes</v>
      </c>
      <c r="H105" s="13" t="str">
        <f>IFERROR(__xludf.DUMMYFUNCTION("""COMPUTED_VALUE"""),"Yes")</f>
        <v>Yes</v>
      </c>
      <c r="I105" s="13" t="str">
        <f>IFERROR(__xludf.DUMMYFUNCTION("""COMPUTED_VALUE"""),"No")</f>
        <v>No</v>
      </c>
      <c r="J105" s="13" t="str">
        <f>IFERROR(__xludf.DUMMYFUNCTION("""COMPUTED_VALUE"""),"Partial")</f>
        <v>Partial</v>
      </c>
      <c r="K105" s="13" t="str">
        <f>IFERROR(__xludf.DUMMYFUNCTION("""COMPUTED_VALUE"""),"Yes")</f>
        <v>Yes</v>
      </c>
      <c r="L105" s="13" t="str">
        <f>IFERROR(__xludf.DUMMYFUNCTION("""COMPUTED_VALUE"""),"Yes")</f>
        <v>Yes</v>
      </c>
      <c r="M105" s="13" t="str">
        <f>IFERROR(__xludf.DUMMYFUNCTION("""COMPUTED_VALUE"""),"Partial")</f>
        <v>Partial</v>
      </c>
      <c r="N105" s="13" t="str">
        <f>IFERROR(__xludf.DUMMYFUNCTION("""COMPUTED_VALUE"""),"No")</f>
        <v>No</v>
      </c>
      <c r="O105" s="13" t="str">
        <f>IFERROR(__xludf.DUMMYFUNCTION("""COMPUTED_VALUE"""),"Unclear")</f>
        <v>Unclear</v>
      </c>
      <c r="P105" s="13" t="str">
        <f>IFERROR(__xludf.DUMMYFUNCTION("""COMPUTED_VALUE"""),"Yes")</f>
        <v>Yes</v>
      </c>
      <c r="Q105" s="13" t="str">
        <f>IFERROR(__xludf.DUMMYFUNCTION("""COMPUTED_VALUE"""),"Yes")</f>
        <v>Yes</v>
      </c>
      <c r="R105" s="13" t="str">
        <f>IFERROR(__xludf.DUMMYFUNCTION("""COMPUTED_VALUE"""),"Unclear")</f>
        <v>Unclear</v>
      </c>
      <c r="S105" s="13" t="str">
        <f>IFERROR(__xludf.DUMMYFUNCTION("""COMPUTED_VALUE"""),"N/A")</f>
        <v>N/A</v>
      </c>
      <c r="T105" s="13" t="str">
        <f>IFERROR(__xludf.DUMMYFUNCTION("""COMPUTED_VALUE"""),"N/A")</f>
        <v>N/A</v>
      </c>
      <c r="U105" s="13" t="str">
        <f>IFERROR(__xludf.DUMMYFUNCTION("""COMPUTED_VALUE"""),"Some concerns")</f>
        <v>Some concerns</v>
      </c>
      <c r="V105" s="13" t="str">
        <f>IFERROR(__xludf.DUMMYFUNCTION("""COMPUTED_VALUE"""),"Some concerns")</f>
        <v>Some concerns</v>
      </c>
      <c r="W105" s="13" t="str">
        <f>IFERROR(__xludf.DUMMYFUNCTION("""COMPUTED_VALUE"""),"High")</f>
        <v>High</v>
      </c>
    </row>
    <row r="106" ht="16.5" customHeight="1">
      <c r="A106" s="5" t="str">
        <f>IFERROR(__xludf.DUMMYFUNCTION("""COMPUTED_VALUE"""),"SCOPUS-000089")</f>
        <v>SCOPUS-000089</v>
      </c>
      <c r="B106" s="13" t="str">
        <f>IFERROR(__xludf.DUMMYFUNCTION("""COMPUTED_VALUE"""),"Yes")</f>
        <v>Yes</v>
      </c>
      <c r="C106" s="13" t="str">
        <f>IFERROR(__xludf.DUMMYFUNCTION("""COMPUTED_VALUE"""),"Partial")</f>
        <v>Partial</v>
      </c>
      <c r="D106" s="13" t="str">
        <f>IFERROR(__xludf.DUMMYFUNCTION("""COMPUTED_VALUE"""),"Yes")</f>
        <v>Yes</v>
      </c>
      <c r="E106" s="13" t="str">
        <f>IFERROR(__xludf.DUMMYFUNCTION("""COMPUTED_VALUE"""),"Yes")</f>
        <v>Yes</v>
      </c>
      <c r="F106" s="13" t="str">
        <f>IFERROR(__xludf.DUMMYFUNCTION("""COMPUTED_VALUE"""),"Yes")</f>
        <v>Yes</v>
      </c>
      <c r="G106" s="13" t="str">
        <f>IFERROR(__xludf.DUMMYFUNCTION("""COMPUTED_VALUE"""),"Yes")</f>
        <v>Yes</v>
      </c>
      <c r="H106" s="13" t="str">
        <f>IFERROR(__xludf.DUMMYFUNCTION("""COMPUTED_VALUE"""),"Yes")</f>
        <v>Yes</v>
      </c>
      <c r="I106" s="13" t="str">
        <f>IFERROR(__xludf.DUMMYFUNCTION("""COMPUTED_VALUE"""),"No")</f>
        <v>No</v>
      </c>
      <c r="J106" s="13" t="str">
        <f>IFERROR(__xludf.DUMMYFUNCTION("""COMPUTED_VALUE"""),"Partial")</f>
        <v>Partial</v>
      </c>
      <c r="K106" s="13" t="str">
        <f>IFERROR(__xludf.DUMMYFUNCTION("""COMPUTED_VALUE"""),"Yes")</f>
        <v>Yes</v>
      </c>
      <c r="L106" s="13" t="str">
        <f>IFERROR(__xludf.DUMMYFUNCTION("""COMPUTED_VALUE"""),"Yes")</f>
        <v>Yes</v>
      </c>
      <c r="M106" s="13" t="str">
        <f>IFERROR(__xludf.DUMMYFUNCTION("""COMPUTED_VALUE"""),"Partial")</f>
        <v>Partial</v>
      </c>
      <c r="N106" s="13" t="str">
        <f>IFERROR(__xludf.DUMMYFUNCTION("""COMPUTED_VALUE"""),"Unclear")</f>
        <v>Unclear</v>
      </c>
      <c r="O106" s="13" t="str">
        <f>IFERROR(__xludf.DUMMYFUNCTION("""COMPUTED_VALUE"""),"Unclear")</f>
        <v>Unclear</v>
      </c>
      <c r="P106" s="13" t="str">
        <f>IFERROR(__xludf.DUMMYFUNCTION("""COMPUTED_VALUE"""),"Yes")</f>
        <v>Yes</v>
      </c>
      <c r="Q106" s="13" t="str">
        <f>IFERROR(__xludf.DUMMYFUNCTION("""COMPUTED_VALUE"""),"Partial")</f>
        <v>Partial</v>
      </c>
      <c r="R106" s="13" t="str">
        <f>IFERROR(__xludf.DUMMYFUNCTION("""COMPUTED_VALUE"""),"Unclear")</f>
        <v>Unclear</v>
      </c>
      <c r="S106" s="13" t="str">
        <f>IFERROR(__xludf.DUMMYFUNCTION("""COMPUTED_VALUE"""),"N/A")</f>
        <v>N/A</v>
      </c>
      <c r="T106" s="13" t="str">
        <f>IFERROR(__xludf.DUMMYFUNCTION("""COMPUTED_VALUE"""),"N/A")</f>
        <v>N/A</v>
      </c>
      <c r="U106" s="13" t="str">
        <f>IFERROR(__xludf.DUMMYFUNCTION("""COMPUTED_VALUE"""),"Some concerns")</f>
        <v>Some concerns</v>
      </c>
      <c r="V106" s="13" t="str">
        <f>IFERROR(__xludf.DUMMYFUNCTION("""COMPUTED_VALUE"""),"Some concerns")</f>
        <v>Some concerns</v>
      </c>
      <c r="W106" s="13" t="str">
        <f>IFERROR(__xludf.DUMMYFUNCTION("""COMPUTED_VALUE"""),"Some concerns")</f>
        <v>Some concerns</v>
      </c>
    </row>
    <row r="107" ht="16.5" customHeight="1">
      <c r="A107" s="5" t="str">
        <f>IFERROR(__xludf.DUMMYFUNCTION("""COMPUTED_VALUE"""),"SCOPUS-000140")</f>
        <v>SCOPUS-000140</v>
      </c>
      <c r="B107" s="13" t="str">
        <f>IFERROR(__xludf.DUMMYFUNCTION("""COMPUTED_VALUE"""),"Yes")</f>
        <v>Yes</v>
      </c>
      <c r="C107" s="13" t="str">
        <f>IFERROR(__xludf.DUMMYFUNCTION("""COMPUTED_VALUE"""),"Yes")</f>
        <v>Yes</v>
      </c>
      <c r="D107" s="13" t="str">
        <f>IFERROR(__xludf.DUMMYFUNCTION("""COMPUTED_VALUE"""),"Yes")</f>
        <v>Yes</v>
      </c>
      <c r="E107" s="13" t="str">
        <f>IFERROR(__xludf.DUMMYFUNCTION("""COMPUTED_VALUE"""),"Partial")</f>
        <v>Partial</v>
      </c>
      <c r="F107" s="13" t="str">
        <f>IFERROR(__xludf.DUMMYFUNCTION("""COMPUTED_VALUE"""),"Yes")</f>
        <v>Yes</v>
      </c>
      <c r="G107" s="13" t="str">
        <f>IFERROR(__xludf.DUMMYFUNCTION("""COMPUTED_VALUE"""),"Yes")</f>
        <v>Yes</v>
      </c>
      <c r="H107" s="13" t="str">
        <f>IFERROR(__xludf.DUMMYFUNCTION("""COMPUTED_VALUE"""),"Partial")</f>
        <v>Partial</v>
      </c>
      <c r="I107" s="13" t="str">
        <f>IFERROR(__xludf.DUMMYFUNCTION("""COMPUTED_VALUE"""),"No")</f>
        <v>No</v>
      </c>
      <c r="J107" s="13" t="str">
        <f>IFERROR(__xludf.DUMMYFUNCTION("""COMPUTED_VALUE"""),"Yes")</f>
        <v>Yes</v>
      </c>
      <c r="K107" s="13" t="str">
        <f>IFERROR(__xludf.DUMMYFUNCTION("""COMPUTED_VALUE"""),"Yes")</f>
        <v>Yes</v>
      </c>
      <c r="L107" s="13" t="str">
        <f>IFERROR(__xludf.DUMMYFUNCTION("""COMPUTED_VALUE"""),"Yes")</f>
        <v>Yes</v>
      </c>
      <c r="M107" s="13" t="str">
        <f>IFERROR(__xludf.DUMMYFUNCTION("""COMPUTED_VALUE"""),"Yes")</f>
        <v>Yes</v>
      </c>
      <c r="N107" s="13" t="str">
        <f>IFERROR(__xludf.DUMMYFUNCTION("""COMPUTED_VALUE"""),"No")</f>
        <v>No</v>
      </c>
      <c r="O107" s="13" t="str">
        <f>IFERROR(__xludf.DUMMYFUNCTION("""COMPUTED_VALUE"""),"Unclear")</f>
        <v>Unclear</v>
      </c>
      <c r="P107" s="13" t="str">
        <f>IFERROR(__xludf.DUMMYFUNCTION("""COMPUTED_VALUE"""),"Yes")</f>
        <v>Yes</v>
      </c>
      <c r="Q107" s="13" t="str">
        <f>IFERROR(__xludf.DUMMYFUNCTION("""COMPUTED_VALUE"""),"Yes")</f>
        <v>Yes</v>
      </c>
      <c r="R107" s="13" t="str">
        <f>IFERROR(__xludf.DUMMYFUNCTION("""COMPUTED_VALUE"""),"Unclear")</f>
        <v>Unclear</v>
      </c>
      <c r="S107" s="13" t="str">
        <f>IFERROR(__xludf.DUMMYFUNCTION("""COMPUTED_VALUE"""),"N/A")</f>
        <v>N/A</v>
      </c>
      <c r="T107" s="13" t="str">
        <f>IFERROR(__xludf.DUMMYFUNCTION("""COMPUTED_VALUE"""),"N/A")</f>
        <v>N/A</v>
      </c>
      <c r="U107" s="13" t="str">
        <f>IFERROR(__xludf.DUMMYFUNCTION("""COMPUTED_VALUE"""),"Some concerns")</f>
        <v>Some concerns</v>
      </c>
      <c r="V107" s="13" t="str">
        <f>IFERROR(__xludf.DUMMYFUNCTION("""COMPUTED_VALUE"""),"Some concerns")</f>
        <v>Some concerns</v>
      </c>
      <c r="W107" s="13" t="str">
        <f>IFERROR(__xludf.DUMMYFUNCTION("""COMPUTED_VALUE"""),"Some concerns")</f>
        <v>Some concerns</v>
      </c>
    </row>
    <row r="108" ht="16.5" customHeight="1">
      <c r="A108" s="5" t="str">
        <f>IFERROR(__xludf.DUMMYFUNCTION("""COMPUTED_VALUE"""),"SCOPUS-000148")</f>
        <v>SCOPUS-000148</v>
      </c>
      <c r="B108" s="13" t="str">
        <f>IFERROR(__xludf.DUMMYFUNCTION("""COMPUTED_VALUE"""),"Yes")</f>
        <v>Yes</v>
      </c>
      <c r="C108" s="13" t="str">
        <f>IFERROR(__xludf.DUMMYFUNCTION("""COMPUTED_VALUE"""),"Partial")</f>
        <v>Partial</v>
      </c>
      <c r="D108" s="13" t="str">
        <f>IFERROR(__xludf.DUMMYFUNCTION("""COMPUTED_VALUE"""),"Yes")</f>
        <v>Yes</v>
      </c>
      <c r="E108" s="13" t="str">
        <f>IFERROR(__xludf.DUMMYFUNCTION("""COMPUTED_VALUE"""),"Partial")</f>
        <v>Partial</v>
      </c>
      <c r="F108" s="13" t="str">
        <f>IFERROR(__xludf.DUMMYFUNCTION("""COMPUTED_VALUE"""),"Yes")</f>
        <v>Yes</v>
      </c>
      <c r="G108" s="13" t="str">
        <f>IFERROR(__xludf.DUMMYFUNCTION("""COMPUTED_VALUE"""),"Yes")</f>
        <v>Yes</v>
      </c>
      <c r="H108" s="13" t="str">
        <f>IFERROR(__xludf.DUMMYFUNCTION("""COMPUTED_VALUE"""),"Yes")</f>
        <v>Yes</v>
      </c>
      <c r="I108" s="13" t="str">
        <f>IFERROR(__xludf.DUMMYFUNCTION("""COMPUTED_VALUE"""),"No")</f>
        <v>No</v>
      </c>
      <c r="J108" s="13" t="str">
        <f>IFERROR(__xludf.DUMMYFUNCTION("""COMPUTED_VALUE"""),"Yes")</f>
        <v>Yes</v>
      </c>
      <c r="K108" s="13" t="str">
        <f>IFERROR(__xludf.DUMMYFUNCTION("""COMPUTED_VALUE"""),"Yes")</f>
        <v>Yes</v>
      </c>
      <c r="L108" s="13" t="str">
        <f>IFERROR(__xludf.DUMMYFUNCTION("""COMPUTED_VALUE"""),"Yes")</f>
        <v>Yes</v>
      </c>
      <c r="M108" s="13" t="str">
        <f>IFERROR(__xludf.DUMMYFUNCTION("""COMPUTED_VALUE"""),"Partial")</f>
        <v>Partial</v>
      </c>
      <c r="N108" s="13" t="str">
        <f>IFERROR(__xludf.DUMMYFUNCTION("""COMPUTED_VALUE"""),"Yes")</f>
        <v>Yes</v>
      </c>
      <c r="O108" s="13" t="str">
        <f>IFERROR(__xludf.DUMMYFUNCTION("""COMPUTED_VALUE"""),"Unclear")</f>
        <v>Unclear</v>
      </c>
      <c r="P108" s="13" t="str">
        <f>IFERROR(__xludf.DUMMYFUNCTION("""COMPUTED_VALUE"""),"Yes")</f>
        <v>Yes</v>
      </c>
      <c r="Q108" s="13" t="str">
        <f>IFERROR(__xludf.DUMMYFUNCTION("""COMPUTED_VALUE"""),"Partial")</f>
        <v>Partial</v>
      </c>
      <c r="R108" s="13" t="str">
        <f>IFERROR(__xludf.DUMMYFUNCTION("""COMPUTED_VALUE"""),"Unclear")</f>
        <v>Unclear</v>
      </c>
      <c r="S108" s="13" t="str">
        <f>IFERROR(__xludf.DUMMYFUNCTION("""COMPUTED_VALUE"""),"N/A")</f>
        <v>N/A</v>
      </c>
      <c r="T108" s="13" t="str">
        <f>IFERROR(__xludf.DUMMYFUNCTION("""COMPUTED_VALUE"""),"N/A")</f>
        <v>N/A</v>
      </c>
      <c r="U108" s="13" t="str">
        <f>IFERROR(__xludf.DUMMYFUNCTION("""COMPUTED_VALUE"""),"Some concerns")</f>
        <v>Some concerns</v>
      </c>
      <c r="V108" s="13" t="str">
        <f>IFERROR(__xludf.DUMMYFUNCTION("""COMPUTED_VALUE"""),"Some concerns")</f>
        <v>Some concerns</v>
      </c>
      <c r="W108" s="13" t="str">
        <f>IFERROR(__xludf.DUMMYFUNCTION("""COMPUTED_VALUE"""),"Some concerns")</f>
        <v>Some concerns</v>
      </c>
    </row>
    <row r="109" ht="16.5" customHeight="1">
      <c r="A109" s="5" t="str">
        <f>IFERROR(__xludf.DUMMYFUNCTION("""COMPUTED_VALUE"""),"SCOPUS-000156")</f>
        <v>SCOPUS-000156</v>
      </c>
      <c r="B109" s="13" t="str">
        <f>IFERROR(__xludf.DUMMYFUNCTION("""COMPUTED_VALUE"""),"Yes")</f>
        <v>Yes</v>
      </c>
      <c r="C109" s="13" t="str">
        <f>IFERROR(__xludf.DUMMYFUNCTION("""COMPUTED_VALUE"""),"Partial")</f>
        <v>Partial</v>
      </c>
      <c r="D109" s="13" t="str">
        <f>IFERROR(__xludf.DUMMYFUNCTION("""COMPUTED_VALUE"""),"Yes")</f>
        <v>Yes</v>
      </c>
      <c r="E109" s="13" t="str">
        <f>IFERROR(__xludf.DUMMYFUNCTION("""COMPUTED_VALUE"""),"Yes")</f>
        <v>Yes</v>
      </c>
      <c r="F109" s="13" t="str">
        <f>IFERROR(__xludf.DUMMYFUNCTION("""COMPUTED_VALUE"""),"Yes")</f>
        <v>Yes</v>
      </c>
      <c r="G109" s="13" t="str">
        <f>IFERROR(__xludf.DUMMYFUNCTION("""COMPUTED_VALUE"""),"Yes")</f>
        <v>Yes</v>
      </c>
      <c r="H109" s="13" t="str">
        <f>IFERROR(__xludf.DUMMYFUNCTION("""COMPUTED_VALUE"""),"Yes")</f>
        <v>Yes</v>
      </c>
      <c r="I109" s="13" t="str">
        <f>IFERROR(__xludf.DUMMYFUNCTION("""COMPUTED_VALUE"""),"No")</f>
        <v>No</v>
      </c>
      <c r="J109" s="13" t="str">
        <f>IFERROR(__xludf.DUMMYFUNCTION("""COMPUTED_VALUE"""),"Yes")</f>
        <v>Yes</v>
      </c>
      <c r="K109" s="13" t="str">
        <f>IFERROR(__xludf.DUMMYFUNCTION("""COMPUTED_VALUE"""),"Yes")</f>
        <v>Yes</v>
      </c>
      <c r="L109" s="13" t="str">
        <f>IFERROR(__xludf.DUMMYFUNCTION("""COMPUTED_VALUE"""),"Yes")</f>
        <v>Yes</v>
      </c>
      <c r="M109" s="13" t="str">
        <f>IFERROR(__xludf.DUMMYFUNCTION("""COMPUTED_VALUE"""),"Partial")</f>
        <v>Partial</v>
      </c>
      <c r="N109" s="13" t="str">
        <f>IFERROR(__xludf.DUMMYFUNCTION("""COMPUTED_VALUE"""),"Yes")</f>
        <v>Yes</v>
      </c>
      <c r="O109" s="13" t="str">
        <f>IFERROR(__xludf.DUMMYFUNCTION("""COMPUTED_VALUE"""),"Unclear")</f>
        <v>Unclear</v>
      </c>
      <c r="P109" s="13" t="str">
        <f>IFERROR(__xludf.DUMMYFUNCTION("""COMPUTED_VALUE"""),"Yes")</f>
        <v>Yes</v>
      </c>
      <c r="Q109" s="13" t="str">
        <f>IFERROR(__xludf.DUMMYFUNCTION("""COMPUTED_VALUE"""),"Yes")</f>
        <v>Yes</v>
      </c>
      <c r="R109" s="13" t="str">
        <f>IFERROR(__xludf.DUMMYFUNCTION("""COMPUTED_VALUE"""),"Unclear")</f>
        <v>Unclear</v>
      </c>
      <c r="S109" s="13" t="str">
        <f>IFERROR(__xludf.DUMMYFUNCTION("""COMPUTED_VALUE"""),"N/A")</f>
        <v>N/A</v>
      </c>
      <c r="T109" s="13" t="str">
        <f>IFERROR(__xludf.DUMMYFUNCTION("""COMPUTED_VALUE"""),"N/A")</f>
        <v>N/A</v>
      </c>
      <c r="U109" s="13" t="str">
        <f>IFERROR(__xludf.DUMMYFUNCTION("""COMPUTED_VALUE"""),"Some concerns")</f>
        <v>Some concerns</v>
      </c>
      <c r="V109" s="13" t="str">
        <f>IFERROR(__xludf.DUMMYFUNCTION("""COMPUTED_VALUE"""),"Some concerns")</f>
        <v>Some concerns</v>
      </c>
      <c r="W109" s="13" t="str">
        <f>IFERROR(__xludf.DUMMYFUNCTION("""COMPUTED_VALUE"""),"Some concerns")</f>
        <v>Some concerns</v>
      </c>
    </row>
    <row r="110" ht="16.5" customHeight="1">
      <c r="A110" s="5" t="str">
        <f>IFERROR(__xludf.DUMMYFUNCTION("""COMPUTED_VALUE"""),"SCOPUS-000166")</f>
        <v>SCOPUS-000166</v>
      </c>
      <c r="B110" s="13" t="str">
        <f>IFERROR(__xludf.DUMMYFUNCTION("""COMPUTED_VALUE"""),"Yes")</f>
        <v>Yes</v>
      </c>
      <c r="C110" s="13" t="str">
        <f>IFERROR(__xludf.DUMMYFUNCTION("""COMPUTED_VALUE"""),"Yes")</f>
        <v>Yes</v>
      </c>
      <c r="D110" s="13" t="str">
        <f>IFERROR(__xludf.DUMMYFUNCTION("""COMPUTED_VALUE"""),"Yes")</f>
        <v>Yes</v>
      </c>
      <c r="E110" s="13" t="str">
        <f>IFERROR(__xludf.DUMMYFUNCTION("""COMPUTED_VALUE"""),"Yes")</f>
        <v>Yes</v>
      </c>
      <c r="F110" s="13" t="str">
        <f>IFERROR(__xludf.DUMMYFUNCTION("""COMPUTED_VALUE"""),"Yes")</f>
        <v>Yes</v>
      </c>
      <c r="G110" s="13" t="str">
        <f>IFERROR(__xludf.DUMMYFUNCTION("""COMPUTED_VALUE"""),"Yes")</f>
        <v>Yes</v>
      </c>
      <c r="H110" s="13" t="str">
        <f>IFERROR(__xludf.DUMMYFUNCTION("""COMPUTED_VALUE"""),"Yes")</f>
        <v>Yes</v>
      </c>
      <c r="I110" s="13" t="str">
        <f>IFERROR(__xludf.DUMMYFUNCTION("""COMPUTED_VALUE"""),"No")</f>
        <v>No</v>
      </c>
      <c r="J110" s="13" t="str">
        <f>IFERROR(__xludf.DUMMYFUNCTION("""COMPUTED_VALUE"""),"Yes")</f>
        <v>Yes</v>
      </c>
      <c r="K110" s="13" t="str">
        <f>IFERROR(__xludf.DUMMYFUNCTION("""COMPUTED_VALUE"""),"Yes")</f>
        <v>Yes</v>
      </c>
      <c r="L110" s="13" t="str">
        <f>IFERROR(__xludf.DUMMYFUNCTION("""COMPUTED_VALUE"""),"Yes")</f>
        <v>Yes</v>
      </c>
      <c r="M110" s="13" t="str">
        <f>IFERROR(__xludf.DUMMYFUNCTION("""COMPUTED_VALUE"""),"Yes")</f>
        <v>Yes</v>
      </c>
      <c r="N110" s="13" t="str">
        <f>IFERROR(__xludf.DUMMYFUNCTION("""COMPUTED_VALUE"""),"Partial")</f>
        <v>Partial</v>
      </c>
      <c r="O110" s="13" t="str">
        <f>IFERROR(__xludf.DUMMYFUNCTION("""COMPUTED_VALUE"""),"Unclear")</f>
        <v>Unclear</v>
      </c>
      <c r="P110" s="13" t="str">
        <f>IFERROR(__xludf.DUMMYFUNCTION("""COMPUTED_VALUE"""),"Yes")</f>
        <v>Yes</v>
      </c>
      <c r="Q110" s="13" t="str">
        <f>IFERROR(__xludf.DUMMYFUNCTION("""COMPUTED_VALUE"""),"Yes")</f>
        <v>Yes</v>
      </c>
      <c r="R110" s="13" t="str">
        <f>IFERROR(__xludf.DUMMYFUNCTION("""COMPUTED_VALUE"""),"Unclear")</f>
        <v>Unclear</v>
      </c>
      <c r="S110" s="13" t="str">
        <f>IFERROR(__xludf.DUMMYFUNCTION("""COMPUTED_VALUE"""),"N/A")</f>
        <v>N/A</v>
      </c>
      <c r="T110" s="13" t="str">
        <f>IFERROR(__xludf.DUMMYFUNCTION("""COMPUTED_VALUE"""),"N/A")</f>
        <v>N/A</v>
      </c>
      <c r="U110" s="13" t="str">
        <f>IFERROR(__xludf.DUMMYFUNCTION("""COMPUTED_VALUE"""),"Some concerns")</f>
        <v>Some concerns</v>
      </c>
      <c r="V110" s="13" t="str">
        <f>IFERROR(__xludf.DUMMYFUNCTION("""COMPUTED_VALUE"""),"Some concerns")</f>
        <v>Some concerns</v>
      </c>
      <c r="W110" s="13" t="str">
        <f>IFERROR(__xludf.DUMMYFUNCTION("""COMPUTED_VALUE"""),"Some concerns")</f>
        <v>Some concerns</v>
      </c>
    </row>
    <row r="111" ht="16.5" customHeight="1">
      <c r="A111" s="5" t="str">
        <f>IFERROR(__xludf.DUMMYFUNCTION("""COMPUTED_VALUE"""),"SCOPUS-000184")</f>
        <v>SCOPUS-000184</v>
      </c>
      <c r="B111" s="13" t="str">
        <f>IFERROR(__xludf.DUMMYFUNCTION("""COMPUTED_VALUE"""),"Yes")</f>
        <v>Yes</v>
      </c>
      <c r="C111" s="13" t="str">
        <f>IFERROR(__xludf.DUMMYFUNCTION("""COMPUTED_VALUE"""),"Yes")</f>
        <v>Yes</v>
      </c>
      <c r="D111" s="13" t="str">
        <f>IFERROR(__xludf.DUMMYFUNCTION("""COMPUTED_VALUE"""),"Yes")</f>
        <v>Yes</v>
      </c>
      <c r="E111" s="13" t="str">
        <f>IFERROR(__xludf.DUMMYFUNCTION("""COMPUTED_VALUE"""),"Partial")</f>
        <v>Partial</v>
      </c>
      <c r="F111" s="13" t="str">
        <f>IFERROR(__xludf.DUMMYFUNCTION("""COMPUTED_VALUE"""),"Yes")</f>
        <v>Yes</v>
      </c>
      <c r="G111" s="13" t="str">
        <f>IFERROR(__xludf.DUMMYFUNCTION("""COMPUTED_VALUE"""),"Yes")</f>
        <v>Yes</v>
      </c>
      <c r="H111" s="13" t="str">
        <f>IFERROR(__xludf.DUMMYFUNCTION("""COMPUTED_VALUE"""),"Yes")</f>
        <v>Yes</v>
      </c>
      <c r="I111" s="13" t="str">
        <f>IFERROR(__xludf.DUMMYFUNCTION("""COMPUTED_VALUE"""),"No")</f>
        <v>No</v>
      </c>
      <c r="J111" s="13" t="str">
        <f>IFERROR(__xludf.DUMMYFUNCTION("""COMPUTED_VALUE"""),"Yes")</f>
        <v>Yes</v>
      </c>
      <c r="K111" s="13" t="str">
        <f>IFERROR(__xludf.DUMMYFUNCTION("""COMPUTED_VALUE"""),"Yes")</f>
        <v>Yes</v>
      </c>
      <c r="L111" s="13" t="str">
        <f>IFERROR(__xludf.DUMMYFUNCTION("""COMPUTED_VALUE"""),"Yes")</f>
        <v>Yes</v>
      </c>
      <c r="M111" s="13" t="str">
        <f>IFERROR(__xludf.DUMMYFUNCTION("""COMPUTED_VALUE"""),"Yes")</f>
        <v>Yes</v>
      </c>
      <c r="N111" s="13" t="str">
        <f>IFERROR(__xludf.DUMMYFUNCTION("""COMPUTED_VALUE"""),"Yes")</f>
        <v>Yes</v>
      </c>
      <c r="O111" s="13" t="str">
        <f>IFERROR(__xludf.DUMMYFUNCTION("""COMPUTED_VALUE"""),"Unclear")</f>
        <v>Unclear</v>
      </c>
      <c r="P111" s="13" t="str">
        <f>IFERROR(__xludf.DUMMYFUNCTION("""COMPUTED_VALUE"""),"Yes")</f>
        <v>Yes</v>
      </c>
      <c r="Q111" s="13" t="str">
        <f>IFERROR(__xludf.DUMMYFUNCTION("""COMPUTED_VALUE"""),"Yes")</f>
        <v>Yes</v>
      </c>
      <c r="R111" s="13" t="str">
        <f>IFERROR(__xludf.DUMMYFUNCTION("""COMPUTED_VALUE"""),"Unclear")</f>
        <v>Unclear</v>
      </c>
      <c r="S111" s="13" t="str">
        <f>IFERROR(__xludf.DUMMYFUNCTION("""COMPUTED_VALUE"""),"N/A")</f>
        <v>N/A</v>
      </c>
      <c r="T111" s="13" t="str">
        <f>IFERROR(__xludf.DUMMYFUNCTION("""COMPUTED_VALUE"""),"N/A")</f>
        <v>N/A</v>
      </c>
      <c r="U111" s="13" t="str">
        <f>IFERROR(__xludf.DUMMYFUNCTION("""COMPUTED_VALUE"""),"Some concerns")</f>
        <v>Some concerns</v>
      </c>
      <c r="V111" s="13" t="str">
        <f>IFERROR(__xludf.DUMMYFUNCTION("""COMPUTED_VALUE"""),"Some concerns")</f>
        <v>Some concerns</v>
      </c>
      <c r="W111" s="13" t="str">
        <f>IFERROR(__xludf.DUMMYFUNCTION("""COMPUTED_VALUE"""),"Some concerns")</f>
        <v>Some concerns</v>
      </c>
    </row>
    <row r="112" ht="16.5" customHeight="1">
      <c r="A112" s="5" t="str">
        <f>IFERROR(__xludf.DUMMYFUNCTION("""COMPUTED_VALUE"""),"SCOPUS-000192")</f>
        <v>SCOPUS-000192</v>
      </c>
      <c r="B112" s="13" t="str">
        <f>IFERROR(__xludf.DUMMYFUNCTION("""COMPUTED_VALUE"""),"Yes")</f>
        <v>Yes</v>
      </c>
      <c r="C112" s="13" t="str">
        <f>IFERROR(__xludf.DUMMYFUNCTION("""COMPUTED_VALUE"""),"Yes")</f>
        <v>Yes</v>
      </c>
      <c r="D112" s="13" t="str">
        <f>IFERROR(__xludf.DUMMYFUNCTION("""COMPUTED_VALUE"""),"Yes")</f>
        <v>Yes</v>
      </c>
      <c r="E112" s="13" t="str">
        <f>IFERROR(__xludf.DUMMYFUNCTION("""COMPUTED_VALUE"""),"Partial")</f>
        <v>Partial</v>
      </c>
      <c r="F112" s="13" t="str">
        <f>IFERROR(__xludf.DUMMYFUNCTION("""COMPUTED_VALUE"""),"Yes")</f>
        <v>Yes</v>
      </c>
      <c r="G112" s="13" t="str">
        <f>IFERROR(__xludf.DUMMYFUNCTION("""COMPUTED_VALUE"""),"Yes")</f>
        <v>Yes</v>
      </c>
      <c r="H112" s="13" t="str">
        <f>IFERROR(__xludf.DUMMYFUNCTION("""COMPUTED_VALUE"""),"Yes")</f>
        <v>Yes</v>
      </c>
      <c r="I112" s="13" t="str">
        <f>IFERROR(__xludf.DUMMYFUNCTION("""COMPUTED_VALUE"""),"No")</f>
        <v>No</v>
      </c>
      <c r="J112" s="13" t="str">
        <f>IFERROR(__xludf.DUMMYFUNCTION("""COMPUTED_VALUE"""),"Yes")</f>
        <v>Yes</v>
      </c>
      <c r="K112" s="13" t="str">
        <f>IFERROR(__xludf.DUMMYFUNCTION("""COMPUTED_VALUE"""),"Partial")</f>
        <v>Partial</v>
      </c>
      <c r="L112" s="13" t="str">
        <f>IFERROR(__xludf.DUMMYFUNCTION("""COMPUTED_VALUE"""),"Yes")</f>
        <v>Yes</v>
      </c>
      <c r="M112" s="13" t="str">
        <f>IFERROR(__xludf.DUMMYFUNCTION("""COMPUTED_VALUE"""),"Yes")</f>
        <v>Yes</v>
      </c>
      <c r="N112" s="13" t="str">
        <f>IFERROR(__xludf.DUMMYFUNCTION("""COMPUTED_VALUE"""),"Partial")</f>
        <v>Partial</v>
      </c>
      <c r="O112" s="13" t="str">
        <f>IFERROR(__xludf.DUMMYFUNCTION("""COMPUTED_VALUE"""),"Unclear")</f>
        <v>Unclear</v>
      </c>
      <c r="P112" s="13" t="str">
        <f>IFERROR(__xludf.DUMMYFUNCTION("""COMPUTED_VALUE"""),"Yes")</f>
        <v>Yes</v>
      </c>
      <c r="Q112" s="13" t="str">
        <f>IFERROR(__xludf.DUMMYFUNCTION("""COMPUTED_VALUE"""),"Yes")</f>
        <v>Yes</v>
      </c>
      <c r="R112" s="13" t="str">
        <f>IFERROR(__xludf.DUMMYFUNCTION("""COMPUTED_VALUE"""),"Unclear")</f>
        <v>Unclear</v>
      </c>
      <c r="S112" s="13" t="str">
        <f>IFERROR(__xludf.DUMMYFUNCTION("""COMPUTED_VALUE"""),"N/A")</f>
        <v>N/A</v>
      </c>
      <c r="T112" s="13" t="str">
        <f>IFERROR(__xludf.DUMMYFUNCTION("""COMPUTED_VALUE"""),"N/A")</f>
        <v>N/A</v>
      </c>
      <c r="U112" s="13" t="str">
        <f>IFERROR(__xludf.DUMMYFUNCTION("""COMPUTED_VALUE"""),"Some concerns")</f>
        <v>Some concerns</v>
      </c>
      <c r="V112" s="13" t="str">
        <f>IFERROR(__xludf.DUMMYFUNCTION("""COMPUTED_VALUE"""),"Some concerns")</f>
        <v>Some concerns</v>
      </c>
      <c r="W112" s="13" t="str">
        <f>IFERROR(__xludf.DUMMYFUNCTION("""COMPUTED_VALUE"""),"Some concerns")</f>
        <v>Some concerns</v>
      </c>
    </row>
    <row r="113" ht="16.5" customHeight="1">
      <c r="A113" s="5" t="str">
        <f>IFERROR(__xludf.DUMMYFUNCTION("""COMPUTED_VALUE"""),"SCOPUS-000221")</f>
        <v>SCOPUS-000221</v>
      </c>
      <c r="B113" s="13" t="str">
        <f>IFERROR(__xludf.DUMMYFUNCTION("""COMPUTED_VALUE"""),"Yes")</f>
        <v>Yes</v>
      </c>
      <c r="C113" s="13" t="str">
        <f>IFERROR(__xludf.DUMMYFUNCTION("""COMPUTED_VALUE"""),"Yes")</f>
        <v>Yes</v>
      </c>
      <c r="D113" s="13" t="str">
        <f>IFERROR(__xludf.DUMMYFUNCTION("""COMPUTED_VALUE"""),"Yes")</f>
        <v>Yes</v>
      </c>
      <c r="E113" s="13" t="str">
        <f>IFERROR(__xludf.DUMMYFUNCTION("""COMPUTED_VALUE"""),"Partial")</f>
        <v>Partial</v>
      </c>
      <c r="F113" s="13" t="str">
        <f>IFERROR(__xludf.DUMMYFUNCTION("""COMPUTED_VALUE"""),"Yes")</f>
        <v>Yes</v>
      </c>
      <c r="G113" s="13" t="str">
        <f>IFERROR(__xludf.DUMMYFUNCTION("""COMPUTED_VALUE"""),"Yes")</f>
        <v>Yes</v>
      </c>
      <c r="H113" s="13" t="str">
        <f>IFERROR(__xludf.DUMMYFUNCTION("""COMPUTED_VALUE"""),"Yes")</f>
        <v>Yes</v>
      </c>
      <c r="I113" s="13" t="str">
        <f>IFERROR(__xludf.DUMMYFUNCTION("""COMPUTED_VALUE"""),"No")</f>
        <v>No</v>
      </c>
      <c r="J113" s="13" t="str">
        <f>IFERROR(__xludf.DUMMYFUNCTION("""COMPUTED_VALUE"""),"Partial")</f>
        <v>Partial</v>
      </c>
      <c r="K113" s="13" t="str">
        <f>IFERROR(__xludf.DUMMYFUNCTION("""COMPUTED_VALUE"""),"Yes")</f>
        <v>Yes</v>
      </c>
      <c r="L113" s="13" t="str">
        <f>IFERROR(__xludf.DUMMYFUNCTION("""COMPUTED_VALUE"""),"Yes")</f>
        <v>Yes</v>
      </c>
      <c r="M113" s="13" t="str">
        <f>IFERROR(__xludf.DUMMYFUNCTION("""COMPUTED_VALUE"""),"Partial")</f>
        <v>Partial</v>
      </c>
      <c r="N113" s="13" t="str">
        <f>IFERROR(__xludf.DUMMYFUNCTION("""COMPUTED_VALUE"""),"Yes")</f>
        <v>Yes</v>
      </c>
      <c r="O113" s="13" t="str">
        <f>IFERROR(__xludf.DUMMYFUNCTION("""COMPUTED_VALUE"""),"Unclear")</f>
        <v>Unclear</v>
      </c>
      <c r="P113" s="13" t="str">
        <f>IFERROR(__xludf.DUMMYFUNCTION("""COMPUTED_VALUE"""),"Yes")</f>
        <v>Yes</v>
      </c>
      <c r="Q113" s="13" t="str">
        <f>IFERROR(__xludf.DUMMYFUNCTION("""COMPUTED_VALUE"""),"Yes")</f>
        <v>Yes</v>
      </c>
      <c r="R113" s="13" t="str">
        <f>IFERROR(__xludf.DUMMYFUNCTION("""COMPUTED_VALUE"""),"Unclear")</f>
        <v>Unclear</v>
      </c>
      <c r="S113" s="13" t="str">
        <f>IFERROR(__xludf.DUMMYFUNCTION("""COMPUTED_VALUE"""),"N/A")</f>
        <v>N/A</v>
      </c>
      <c r="T113" s="13" t="str">
        <f>IFERROR(__xludf.DUMMYFUNCTION("""COMPUTED_VALUE"""),"N/A")</f>
        <v>N/A</v>
      </c>
      <c r="U113" s="13" t="str">
        <f>IFERROR(__xludf.DUMMYFUNCTION("""COMPUTED_VALUE"""),"Some concerns")</f>
        <v>Some concerns</v>
      </c>
      <c r="V113" s="13" t="str">
        <f>IFERROR(__xludf.DUMMYFUNCTION("""COMPUTED_VALUE"""),"Some concerns")</f>
        <v>Some concerns</v>
      </c>
      <c r="W113" s="13" t="str">
        <f>IFERROR(__xludf.DUMMYFUNCTION("""COMPUTED_VALUE"""),"Some concerns")</f>
        <v>Some concerns</v>
      </c>
    </row>
    <row r="114" ht="16.5" customHeight="1">
      <c r="A114" s="5" t="str">
        <f>IFERROR(__xludf.DUMMYFUNCTION("""COMPUTED_VALUE"""),"SCOPUS-000224")</f>
        <v>SCOPUS-000224</v>
      </c>
      <c r="B114" s="13" t="str">
        <f>IFERROR(__xludf.DUMMYFUNCTION("""COMPUTED_VALUE"""),"Yes")</f>
        <v>Yes</v>
      </c>
      <c r="C114" s="13" t="str">
        <f>IFERROR(__xludf.DUMMYFUNCTION("""COMPUTED_VALUE"""),"Partial")</f>
        <v>Partial</v>
      </c>
      <c r="D114" s="13" t="str">
        <f>IFERROR(__xludf.DUMMYFUNCTION("""COMPUTED_VALUE"""),"Yes")</f>
        <v>Yes</v>
      </c>
      <c r="E114" s="13" t="str">
        <f>IFERROR(__xludf.DUMMYFUNCTION("""COMPUTED_VALUE"""),"Partial")</f>
        <v>Partial</v>
      </c>
      <c r="F114" s="13" t="str">
        <f>IFERROR(__xludf.DUMMYFUNCTION("""COMPUTED_VALUE"""),"Yes")</f>
        <v>Yes</v>
      </c>
      <c r="G114" s="13" t="str">
        <f>IFERROR(__xludf.DUMMYFUNCTION("""COMPUTED_VALUE"""),"Yes")</f>
        <v>Yes</v>
      </c>
      <c r="H114" s="13" t="str">
        <f>IFERROR(__xludf.DUMMYFUNCTION("""COMPUTED_VALUE"""),"Yes")</f>
        <v>Yes</v>
      </c>
      <c r="I114" s="13" t="str">
        <f>IFERROR(__xludf.DUMMYFUNCTION("""COMPUTED_VALUE"""),"No")</f>
        <v>No</v>
      </c>
      <c r="J114" s="13" t="str">
        <f>IFERROR(__xludf.DUMMYFUNCTION("""COMPUTED_VALUE"""),"Yes")</f>
        <v>Yes</v>
      </c>
      <c r="K114" s="13" t="str">
        <f>IFERROR(__xludf.DUMMYFUNCTION("""COMPUTED_VALUE"""),"Yes")</f>
        <v>Yes</v>
      </c>
      <c r="L114" s="13" t="str">
        <f>IFERROR(__xludf.DUMMYFUNCTION("""COMPUTED_VALUE"""),"Yes")</f>
        <v>Yes</v>
      </c>
      <c r="M114" s="13" t="str">
        <f>IFERROR(__xludf.DUMMYFUNCTION("""COMPUTED_VALUE"""),"Partial")</f>
        <v>Partial</v>
      </c>
      <c r="N114" s="13" t="str">
        <f>IFERROR(__xludf.DUMMYFUNCTION("""COMPUTED_VALUE"""),"Yes")</f>
        <v>Yes</v>
      </c>
      <c r="O114" s="13" t="str">
        <f>IFERROR(__xludf.DUMMYFUNCTION("""COMPUTED_VALUE"""),"Unclear")</f>
        <v>Unclear</v>
      </c>
      <c r="P114" s="13" t="str">
        <f>IFERROR(__xludf.DUMMYFUNCTION("""COMPUTED_VALUE"""),"Yes")</f>
        <v>Yes</v>
      </c>
      <c r="Q114" s="13" t="str">
        <f>IFERROR(__xludf.DUMMYFUNCTION("""COMPUTED_VALUE"""),"Yes")</f>
        <v>Yes</v>
      </c>
      <c r="R114" s="13" t="str">
        <f>IFERROR(__xludf.DUMMYFUNCTION("""COMPUTED_VALUE"""),"Unclear")</f>
        <v>Unclear</v>
      </c>
      <c r="S114" s="13" t="str">
        <f>IFERROR(__xludf.DUMMYFUNCTION("""COMPUTED_VALUE"""),"N/A")</f>
        <v>N/A</v>
      </c>
      <c r="T114" s="13" t="str">
        <f>IFERROR(__xludf.DUMMYFUNCTION("""COMPUTED_VALUE"""),"N/A")</f>
        <v>N/A</v>
      </c>
      <c r="U114" s="13" t="str">
        <f>IFERROR(__xludf.DUMMYFUNCTION("""COMPUTED_VALUE"""),"Some concerns")</f>
        <v>Some concerns</v>
      </c>
      <c r="V114" s="13" t="str">
        <f>IFERROR(__xludf.DUMMYFUNCTION("""COMPUTED_VALUE"""),"Some concerns")</f>
        <v>Some concerns</v>
      </c>
      <c r="W114" s="13" t="str">
        <f>IFERROR(__xludf.DUMMYFUNCTION("""COMPUTED_VALUE"""),"Some concerns")</f>
        <v>Some concerns</v>
      </c>
    </row>
    <row r="115" ht="16.5" customHeight="1">
      <c r="A115" s="5" t="str">
        <f>IFERROR(__xludf.DUMMYFUNCTION("""COMPUTED_VALUE"""),"SCOPUS-000227")</f>
        <v>SCOPUS-000227</v>
      </c>
      <c r="B115" s="13" t="str">
        <f>IFERROR(__xludf.DUMMYFUNCTION("""COMPUTED_VALUE"""),"Yes")</f>
        <v>Yes</v>
      </c>
      <c r="C115" s="13" t="str">
        <f>IFERROR(__xludf.DUMMYFUNCTION("""COMPUTED_VALUE"""),"Yes")</f>
        <v>Yes</v>
      </c>
      <c r="D115" s="13" t="str">
        <f>IFERROR(__xludf.DUMMYFUNCTION("""COMPUTED_VALUE"""),"Yes")</f>
        <v>Yes</v>
      </c>
      <c r="E115" s="13" t="str">
        <f>IFERROR(__xludf.DUMMYFUNCTION("""COMPUTED_VALUE"""),"Yes")</f>
        <v>Yes</v>
      </c>
      <c r="F115" s="13" t="str">
        <f>IFERROR(__xludf.DUMMYFUNCTION("""COMPUTED_VALUE"""),"Yes")</f>
        <v>Yes</v>
      </c>
      <c r="G115" s="13" t="str">
        <f>IFERROR(__xludf.DUMMYFUNCTION("""COMPUTED_VALUE"""),"Yes")</f>
        <v>Yes</v>
      </c>
      <c r="H115" s="13" t="str">
        <f>IFERROR(__xludf.DUMMYFUNCTION("""COMPUTED_VALUE"""),"Yes")</f>
        <v>Yes</v>
      </c>
      <c r="I115" s="13" t="str">
        <f>IFERROR(__xludf.DUMMYFUNCTION("""COMPUTED_VALUE"""),"Yes")</f>
        <v>Yes</v>
      </c>
      <c r="J115" s="13" t="str">
        <f>IFERROR(__xludf.DUMMYFUNCTION("""COMPUTED_VALUE"""),"Yes")</f>
        <v>Yes</v>
      </c>
      <c r="K115" s="13" t="str">
        <f>IFERROR(__xludf.DUMMYFUNCTION("""COMPUTED_VALUE"""),"Yes")</f>
        <v>Yes</v>
      </c>
      <c r="L115" s="13" t="str">
        <f>IFERROR(__xludf.DUMMYFUNCTION("""COMPUTED_VALUE"""),"Yes")</f>
        <v>Yes</v>
      </c>
      <c r="M115" s="13" t="str">
        <f>IFERROR(__xludf.DUMMYFUNCTION("""COMPUTED_VALUE"""),"Partial")</f>
        <v>Partial</v>
      </c>
      <c r="N115" s="13" t="str">
        <f>IFERROR(__xludf.DUMMYFUNCTION("""COMPUTED_VALUE"""),"Yes")</f>
        <v>Yes</v>
      </c>
      <c r="O115" s="13" t="str">
        <f>IFERROR(__xludf.DUMMYFUNCTION("""COMPUTED_VALUE"""),"Unclear")</f>
        <v>Unclear</v>
      </c>
      <c r="P115" s="13" t="str">
        <f>IFERROR(__xludf.DUMMYFUNCTION("""COMPUTED_VALUE"""),"Yes")</f>
        <v>Yes</v>
      </c>
      <c r="Q115" s="13" t="str">
        <f>IFERROR(__xludf.DUMMYFUNCTION("""COMPUTED_VALUE"""),"Yes")</f>
        <v>Yes</v>
      </c>
      <c r="R115" s="13" t="str">
        <f>IFERROR(__xludf.DUMMYFUNCTION("""COMPUTED_VALUE"""),"Unclear")</f>
        <v>Unclear</v>
      </c>
      <c r="S115" s="13" t="str">
        <f>IFERROR(__xludf.DUMMYFUNCTION("""COMPUTED_VALUE"""),"N/A")</f>
        <v>N/A</v>
      </c>
      <c r="T115" s="13" t="str">
        <f>IFERROR(__xludf.DUMMYFUNCTION("""COMPUTED_VALUE"""),"N/A")</f>
        <v>N/A</v>
      </c>
      <c r="U115" s="13" t="str">
        <f>IFERROR(__xludf.DUMMYFUNCTION("""COMPUTED_VALUE"""),"Some concerns")</f>
        <v>Some concerns</v>
      </c>
      <c r="V115" s="13" t="str">
        <f>IFERROR(__xludf.DUMMYFUNCTION("""COMPUTED_VALUE"""),"Some concerns")</f>
        <v>Some concerns</v>
      </c>
      <c r="W115" s="13" t="str">
        <f>IFERROR(__xludf.DUMMYFUNCTION("""COMPUTED_VALUE"""),"Some concerns")</f>
        <v>Some concerns</v>
      </c>
    </row>
    <row r="116" ht="16.5" customHeight="1">
      <c r="A116" s="5" t="str">
        <f>IFERROR(__xludf.DUMMYFUNCTION("""COMPUTED_VALUE"""),"SCOPUS-000238")</f>
        <v>SCOPUS-000238</v>
      </c>
      <c r="B116" s="13" t="str">
        <f>IFERROR(__xludf.DUMMYFUNCTION("""COMPUTED_VALUE"""),"Yes")</f>
        <v>Yes</v>
      </c>
      <c r="C116" s="13" t="str">
        <f>IFERROR(__xludf.DUMMYFUNCTION("""COMPUTED_VALUE"""),"Yes")</f>
        <v>Yes</v>
      </c>
      <c r="D116" s="13" t="str">
        <f>IFERROR(__xludf.DUMMYFUNCTION("""COMPUTED_VALUE"""),"Yes")</f>
        <v>Yes</v>
      </c>
      <c r="E116" s="13" t="str">
        <f>IFERROR(__xludf.DUMMYFUNCTION("""COMPUTED_VALUE"""),"Partial")</f>
        <v>Partial</v>
      </c>
      <c r="F116" s="13" t="str">
        <f>IFERROR(__xludf.DUMMYFUNCTION("""COMPUTED_VALUE"""),"Yes")</f>
        <v>Yes</v>
      </c>
      <c r="G116" s="13" t="str">
        <f>IFERROR(__xludf.DUMMYFUNCTION("""COMPUTED_VALUE"""),"Yes")</f>
        <v>Yes</v>
      </c>
      <c r="H116" s="13" t="str">
        <f>IFERROR(__xludf.DUMMYFUNCTION("""COMPUTED_VALUE"""),"Yes")</f>
        <v>Yes</v>
      </c>
      <c r="I116" s="13" t="str">
        <f>IFERROR(__xludf.DUMMYFUNCTION("""COMPUTED_VALUE"""),"Partial")</f>
        <v>Partial</v>
      </c>
      <c r="J116" s="13" t="str">
        <f>IFERROR(__xludf.DUMMYFUNCTION("""COMPUTED_VALUE"""),"Yes")</f>
        <v>Yes</v>
      </c>
      <c r="K116" s="13" t="str">
        <f>IFERROR(__xludf.DUMMYFUNCTION("""COMPUTED_VALUE"""),"Partial")</f>
        <v>Partial</v>
      </c>
      <c r="L116" s="13" t="str">
        <f>IFERROR(__xludf.DUMMYFUNCTION("""COMPUTED_VALUE"""),"Yes")</f>
        <v>Yes</v>
      </c>
      <c r="M116" s="13" t="str">
        <f>IFERROR(__xludf.DUMMYFUNCTION("""COMPUTED_VALUE"""),"Partial")</f>
        <v>Partial</v>
      </c>
      <c r="N116" s="13" t="str">
        <f>IFERROR(__xludf.DUMMYFUNCTION("""COMPUTED_VALUE"""),"Yes")</f>
        <v>Yes</v>
      </c>
      <c r="O116" s="13" t="str">
        <f>IFERROR(__xludf.DUMMYFUNCTION("""COMPUTED_VALUE"""),"Unclear")</f>
        <v>Unclear</v>
      </c>
      <c r="P116" s="13" t="str">
        <f>IFERROR(__xludf.DUMMYFUNCTION("""COMPUTED_VALUE"""),"Yes")</f>
        <v>Yes</v>
      </c>
      <c r="Q116" s="13" t="str">
        <f>IFERROR(__xludf.DUMMYFUNCTION("""COMPUTED_VALUE"""),"Yes")</f>
        <v>Yes</v>
      </c>
      <c r="R116" s="13" t="str">
        <f>IFERROR(__xludf.DUMMYFUNCTION("""COMPUTED_VALUE"""),"Unclear")</f>
        <v>Unclear</v>
      </c>
      <c r="S116" s="13" t="str">
        <f>IFERROR(__xludf.DUMMYFUNCTION("""COMPUTED_VALUE"""),"N/A")</f>
        <v>N/A</v>
      </c>
      <c r="T116" s="13" t="str">
        <f>IFERROR(__xludf.DUMMYFUNCTION("""COMPUTED_VALUE"""),"N/A")</f>
        <v>N/A</v>
      </c>
      <c r="U116" s="13" t="str">
        <f>IFERROR(__xludf.DUMMYFUNCTION("""COMPUTED_VALUE"""),"Some concerns")</f>
        <v>Some concerns</v>
      </c>
      <c r="V116" s="13" t="str">
        <f>IFERROR(__xludf.DUMMYFUNCTION("""COMPUTED_VALUE"""),"Some concerns")</f>
        <v>Some concerns</v>
      </c>
      <c r="W116" s="13" t="str">
        <f>IFERROR(__xludf.DUMMYFUNCTION("""COMPUTED_VALUE"""),"Some concerns")</f>
        <v>Some concerns</v>
      </c>
    </row>
    <row r="117" ht="16.5" customHeight="1">
      <c r="A117" s="5" t="str">
        <f>IFERROR(__xludf.DUMMYFUNCTION("""COMPUTED_VALUE"""),"SCOPUS-000251")</f>
        <v>SCOPUS-000251</v>
      </c>
      <c r="B117" s="13" t="str">
        <f>IFERROR(__xludf.DUMMYFUNCTION("""COMPUTED_VALUE"""),"Yes")</f>
        <v>Yes</v>
      </c>
      <c r="C117" s="13" t="str">
        <f>IFERROR(__xludf.DUMMYFUNCTION("""COMPUTED_VALUE"""),"Yes")</f>
        <v>Yes</v>
      </c>
      <c r="D117" s="13" t="str">
        <f>IFERROR(__xludf.DUMMYFUNCTION("""COMPUTED_VALUE"""),"Yes")</f>
        <v>Yes</v>
      </c>
      <c r="E117" s="13" t="str">
        <f>IFERROR(__xludf.DUMMYFUNCTION("""COMPUTED_VALUE"""),"Yes")</f>
        <v>Yes</v>
      </c>
      <c r="F117" s="13" t="str">
        <f>IFERROR(__xludf.DUMMYFUNCTION("""COMPUTED_VALUE"""),"Yes")</f>
        <v>Yes</v>
      </c>
      <c r="G117" s="13" t="str">
        <f>IFERROR(__xludf.DUMMYFUNCTION("""COMPUTED_VALUE"""),"Yes")</f>
        <v>Yes</v>
      </c>
      <c r="H117" s="13" t="str">
        <f>IFERROR(__xludf.DUMMYFUNCTION("""COMPUTED_VALUE"""),"Yes")</f>
        <v>Yes</v>
      </c>
      <c r="I117" s="13" t="str">
        <f>IFERROR(__xludf.DUMMYFUNCTION("""COMPUTED_VALUE"""),"Yes")</f>
        <v>Yes</v>
      </c>
      <c r="J117" s="13" t="str">
        <f>IFERROR(__xludf.DUMMYFUNCTION("""COMPUTED_VALUE"""),"Yes")</f>
        <v>Yes</v>
      </c>
      <c r="K117" s="13" t="str">
        <f>IFERROR(__xludf.DUMMYFUNCTION("""COMPUTED_VALUE"""),"Yes")</f>
        <v>Yes</v>
      </c>
      <c r="L117" s="13" t="str">
        <f>IFERROR(__xludf.DUMMYFUNCTION("""COMPUTED_VALUE"""),"Yes")</f>
        <v>Yes</v>
      </c>
      <c r="M117" s="13" t="str">
        <f>IFERROR(__xludf.DUMMYFUNCTION("""COMPUTED_VALUE"""),"Yes")</f>
        <v>Yes</v>
      </c>
      <c r="N117" s="13" t="str">
        <f>IFERROR(__xludf.DUMMYFUNCTION("""COMPUTED_VALUE"""),"Yes")</f>
        <v>Yes</v>
      </c>
      <c r="O117" s="13" t="str">
        <f>IFERROR(__xludf.DUMMYFUNCTION("""COMPUTED_VALUE"""),"Unclear")</f>
        <v>Unclear</v>
      </c>
      <c r="P117" s="13" t="str">
        <f>IFERROR(__xludf.DUMMYFUNCTION("""COMPUTED_VALUE"""),"Yes")</f>
        <v>Yes</v>
      </c>
      <c r="Q117" s="13" t="str">
        <f>IFERROR(__xludf.DUMMYFUNCTION("""COMPUTED_VALUE"""),"Yes")</f>
        <v>Yes</v>
      </c>
      <c r="R117" s="13" t="str">
        <f>IFERROR(__xludf.DUMMYFUNCTION("""COMPUTED_VALUE"""),"Unclear")</f>
        <v>Unclear</v>
      </c>
      <c r="S117" s="13" t="str">
        <f>IFERROR(__xludf.DUMMYFUNCTION("""COMPUTED_VALUE"""),"N/A")</f>
        <v>N/A</v>
      </c>
      <c r="T117" s="13" t="str">
        <f>IFERROR(__xludf.DUMMYFUNCTION("""COMPUTED_VALUE"""),"N/A")</f>
        <v>N/A</v>
      </c>
      <c r="U117" s="13" t="str">
        <f>IFERROR(__xludf.DUMMYFUNCTION("""COMPUTED_VALUE"""),"Some concerns")</f>
        <v>Some concerns</v>
      </c>
      <c r="V117" s="13" t="str">
        <f>IFERROR(__xludf.DUMMYFUNCTION("""COMPUTED_VALUE"""),"Some concerns")</f>
        <v>Some concerns</v>
      </c>
      <c r="W117" s="13" t="str">
        <f>IFERROR(__xludf.DUMMYFUNCTION("""COMPUTED_VALUE"""),"Some concerns")</f>
        <v>Some concerns</v>
      </c>
    </row>
    <row r="118" ht="16.5" customHeight="1">
      <c r="A118" s="5" t="str">
        <f>IFERROR(__xludf.DUMMYFUNCTION("""COMPUTED_VALUE"""),"SCOPUS-000257")</f>
        <v>SCOPUS-000257</v>
      </c>
      <c r="B118" s="13" t="str">
        <f>IFERROR(__xludf.DUMMYFUNCTION("""COMPUTED_VALUE"""),"Yes")</f>
        <v>Yes</v>
      </c>
      <c r="C118" s="13" t="str">
        <f>IFERROR(__xludf.DUMMYFUNCTION("""COMPUTED_VALUE"""),"Partial")</f>
        <v>Partial</v>
      </c>
      <c r="D118" s="13" t="str">
        <f>IFERROR(__xludf.DUMMYFUNCTION("""COMPUTED_VALUE"""),"Yes")</f>
        <v>Yes</v>
      </c>
      <c r="E118" s="13" t="str">
        <f>IFERROR(__xludf.DUMMYFUNCTION("""COMPUTED_VALUE"""),"Partial")</f>
        <v>Partial</v>
      </c>
      <c r="F118" s="13" t="str">
        <f>IFERROR(__xludf.DUMMYFUNCTION("""COMPUTED_VALUE"""),"Yes")</f>
        <v>Yes</v>
      </c>
      <c r="G118" s="13" t="str">
        <f>IFERROR(__xludf.DUMMYFUNCTION("""COMPUTED_VALUE"""),"Yes")</f>
        <v>Yes</v>
      </c>
      <c r="H118" s="13" t="str">
        <f>IFERROR(__xludf.DUMMYFUNCTION("""COMPUTED_VALUE"""),"Yes")</f>
        <v>Yes</v>
      </c>
      <c r="I118" s="13" t="str">
        <f>IFERROR(__xludf.DUMMYFUNCTION("""COMPUTED_VALUE"""),"No")</f>
        <v>No</v>
      </c>
      <c r="J118" s="13" t="str">
        <f>IFERROR(__xludf.DUMMYFUNCTION("""COMPUTED_VALUE"""),"Yes")</f>
        <v>Yes</v>
      </c>
      <c r="K118" s="13" t="str">
        <f>IFERROR(__xludf.DUMMYFUNCTION("""COMPUTED_VALUE"""),"Partial")</f>
        <v>Partial</v>
      </c>
      <c r="L118" s="13" t="str">
        <f>IFERROR(__xludf.DUMMYFUNCTION("""COMPUTED_VALUE"""),"Yes")</f>
        <v>Yes</v>
      </c>
      <c r="M118" s="13" t="str">
        <f>IFERROR(__xludf.DUMMYFUNCTION("""COMPUTED_VALUE"""),"Partial")</f>
        <v>Partial</v>
      </c>
      <c r="N118" s="13" t="str">
        <f>IFERROR(__xludf.DUMMYFUNCTION("""COMPUTED_VALUE"""),"Yes")</f>
        <v>Yes</v>
      </c>
      <c r="O118" s="13" t="str">
        <f>IFERROR(__xludf.DUMMYFUNCTION("""COMPUTED_VALUE"""),"Unclear")</f>
        <v>Unclear</v>
      </c>
      <c r="P118" s="13" t="str">
        <f>IFERROR(__xludf.DUMMYFUNCTION("""COMPUTED_VALUE"""),"Yes")</f>
        <v>Yes</v>
      </c>
      <c r="Q118" s="13" t="str">
        <f>IFERROR(__xludf.DUMMYFUNCTION("""COMPUTED_VALUE"""),"Yes")</f>
        <v>Yes</v>
      </c>
      <c r="R118" s="13" t="str">
        <f>IFERROR(__xludf.DUMMYFUNCTION("""COMPUTED_VALUE"""),"Unclear")</f>
        <v>Unclear</v>
      </c>
      <c r="S118" s="13" t="str">
        <f>IFERROR(__xludf.DUMMYFUNCTION("""COMPUTED_VALUE"""),"N/A")</f>
        <v>N/A</v>
      </c>
      <c r="T118" s="13" t="str">
        <f>IFERROR(__xludf.DUMMYFUNCTION("""COMPUTED_VALUE"""),"N/A")</f>
        <v>N/A</v>
      </c>
      <c r="U118" s="13" t="str">
        <f>IFERROR(__xludf.DUMMYFUNCTION("""COMPUTED_VALUE"""),"Some concerns")</f>
        <v>Some concerns</v>
      </c>
      <c r="V118" s="13" t="str">
        <f>IFERROR(__xludf.DUMMYFUNCTION("""COMPUTED_VALUE"""),"Some concerns")</f>
        <v>Some concerns</v>
      </c>
      <c r="W118" s="13" t="str">
        <f>IFERROR(__xludf.DUMMYFUNCTION("""COMPUTED_VALUE"""),"Some concerns")</f>
        <v>Some concerns</v>
      </c>
    </row>
    <row r="119" ht="16.5" customHeight="1">
      <c r="A119" s="5" t="str">
        <f>IFERROR(__xludf.DUMMYFUNCTION("""COMPUTED_VALUE"""),"SCOPUS-000258")</f>
        <v>SCOPUS-000258</v>
      </c>
      <c r="B119" s="13" t="str">
        <f>IFERROR(__xludf.DUMMYFUNCTION("""COMPUTED_VALUE"""),"Yes")</f>
        <v>Yes</v>
      </c>
      <c r="C119" s="13" t="str">
        <f>IFERROR(__xludf.DUMMYFUNCTION("""COMPUTED_VALUE"""),"Partial")</f>
        <v>Partial</v>
      </c>
      <c r="D119" s="13" t="str">
        <f>IFERROR(__xludf.DUMMYFUNCTION("""COMPUTED_VALUE"""),"Yes")</f>
        <v>Yes</v>
      </c>
      <c r="E119" s="13" t="str">
        <f>IFERROR(__xludf.DUMMYFUNCTION("""COMPUTED_VALUE"""),"Partial")</f>
        <v>Partial</v>
      </c>
      <c r="F119" s="13" t="str">
        <f>IFERROR(__xludf.DUMMYFUNCTION("""COMPUTED_VALUE"""),"Yes")</f>
        <v>Yes</v>
      </c>
      <c r="G119" s="13" t="str">
        <f>IFERROR(__xludf.DUMMYFUNCTION("""COMPUTED_VALUE"""),"Yes")</f>
        <v>Yes</v>
      </c>
      <c r="H119" s="13" t="str">
        <f>IFERROR(__xludf.DUMMYFUNCTION("""COMPUTED_VALUE"""),"Partial")</f>
        <v>Partial</v>
      </c>
      <c r="I119" s="13" t="str">
        <f>IFERROR(__xludf.DUMMYFUNCTION("""COMPUTED_VALUE"""),"Yes")</f>
        <v>Yes</v>
      </c>
      <c r="J119" s="13" t="str">
        <f>IFERROR(__xludf.DUMMYFUNCTION("""COMPUTED_VALUE"""),"Yes")</f>
        <v>Yes</v>
      </c>
      <c r="K119" s="13" t="str">
        <f>IFERROR(__xludf.DUMMYFUNCTION("""COMPUTED_VALUE"""),"Partial")</f>
        <v>Partial</v>
      </c>
      <c r="L119" s="13" t="str">
        <f>IFERROR(__xludf.DUMMYFUNCTION("""COMPUTED_VALUE"""),"Yes")</f>
        <v>Yes</v>
      </c>
      <c r="M119" s="13" t="str">
        <f>IFERROR(__xludf.DUMMYFUNCTION("""COMPUTED_VALUE"""),"Partial")</f>
        <v>Partial</v>
      </c>
      <c r="N119" s="13" t="str">
        <f>IFERROR(__xludf.DUMMYFUNCTION("""COMPUTED_VALUE"""),"Yes")</f>
        <v>Yes</v>
      </c>
      <c r="O119" s="13" t="str">
        <f>IFERROR(__xludf.DUMMYFUNCTION("""COMPUTED_VALUE"""),"Unclear")</f>
        <v>Unclear</v>
      </c>
      <c r="P119" s="13" t="str">
        <f>IFERROR(__xludf.DUMMYFUNCTION("""COMPUTED_VALUE"""),"Yes")</f>
        <v>Yes</v>
      </c>
      <c r="Q119" s="13" t="str">
        <f>IFERROR(__xludf.DUMMYFUNCTION("""COMPUTED_VALUE"""),"Yes")</f>
        <v>Yes</v>
      </c>
      <c r="R119" s="13" t="str">
        <f>IFERROR(__xludf.DUMMYFUNCTION("""COMPUTED_VALUE"""),"Unclear")</f>
        <v>Unclear</v>
      </c>
      <c r="S119" s="13" t="str">
        <f>IFERROR(__xludf.DUMMYFUNCTION("""COMPUTED_VALUE"""),"N/A")</f>
        <v>N/A</v>
      </c>
      <c r="T119" s="13" t="str">
        <f>IFERROR(__xludf.DUMMYFUNCTION("""COMPUTED_VALUE"""),"N/A")</f>
        <v>N/A</v>
      </c>
      <c r="U119" s="13" t="str">
        <f>IFERROR(__xludf.DUMMYFUNCTION("""COMPUTED_VALUE"""),"Some concerns")</f>
        <v>Some concerns</v>
      </c>
      <c r="V119" s="13" t="str">
        <f>IFERROR(__xludf.DUMMYFUNCTION("""COMPUTED_VALUE"""),"Some concerns")</f>
        <v>Some concerns</v>
      </c>
      <c r="W119" s="13" t="str">
        <f>IFERROR(__xludf.DUMMYFUNCTION("""COMPUTED_VALUE"""),"Some concerns")</f>
        <v>Some concerns</v>
      </c>
    </row>
    <row r="120" ht="16.5" customHeight="1">
      <c r="A120" s="5" t="str">
        <f>IFERROR(__xludf.DUMMYFUNCTION("""COMPUTED_VALUE"""),"SCOPUS-000262")</f>
        <v>SCOPUS-000262</v>
      </c>
      <c r="B120" s="13" t="str">
        <f>IFERROR(__xludf.DUMMYFUNCTION("""COMPUTED_VALUE"""),"Yes")</f>
        <v>Yes</v>
      </c>
      <c r="C120" s="13" t="str">
        <f>IFERROR(__xludf.DUMMYFUNCTION("""COMPUTED_VALUE"""),"Partial")</f>
        <v>Partial</v>
      </c>
      <c r="D120" s="13" t="str">
        <f>IFERROR(__xludf.DUMMYFUNCTION("""COMPUTED_VALUE"""),"Yes")</f>
        <v>Yes</v>
      </c>
      <c r="E120" s="13" t="str">
        <f>IFERROR(__xludf.DUMMYFUNCTION("""COMPUTED_VALUE"""),"Partial")</f>
        <v>Partial</v>
      </c>
      <c r="F120" s="13" t="str">
        <f>IFERROR(__xludf.DUMMYFUNCTION("""COMPUTED_VALUE"""),"Yes")</f>
        <v>Yes</v>
      </c>
      <c r="G120" s="13" t="str">
        <f>IFERROR(__xludf.DUMMYFUNCTION("""COMPUTED_VALUE"""),"Yes")</f>
        <v>Yes</v>
      </c>
      <c r="H120" s="13" t="str">
        <f>IFERROR(__xludf.DUMMYFUNCTION("""COMPUTED_VALUE"""),"Partial")</f>
        <v>Partial</v>
      </c>
      <c r="I120" s="13" t="str">
        <f>IFERROR(__xludf.DUMMYFUNCTION("""COMPUTED_VALUE"""),"Yes")</f>
        <v>Yes</v>
      </c>
      <c r="J120" s="13" t="str">
        <f>IFERROR(__xludf.DUMMYFUNCTION("""COMPUTED_VALUE"""),"Yes")</f>
        <v>Yes</v>
      </c>
      <c r="K120" s="13" t="str">
        <f>IFERROR(__xludf.DUMMYFUNCTION("""COMPUTED_VALUE"""),"Yes")</f>
        <v>Yes</v>
      </c>
      <c r="L120" s="13" t="str">
        <f>IFERROR(__xludf.DUMMYFUNCTION("""COMPUTED_VALUE"""),"Yes")</f>
        <v>Yes</v>
      </c>
      <c r="M120" s="13" t="str">
        <f>IFERROR(__xludf.DUMMYFUNCTION("""COMPUTED_VALUE"""),"Partial")</f>
        <v>Partial</v>
      </c>
      <c r="N120" s="13" t="str">
        <f>IFERROR(__xludf.DUMMYFUNCTION("""COMPUTED_VALUE"""),"Partial")</f>
        <v>Partial</v>
      </c>
      <c r="O120" s="13" t="str">
        <f>IFERROR(__xludf.DUMMYFUNCTION("""COMPUTED_VALUE"""),"Unclear")</f>
        <v>Unclear</v>
      </c>
      <c r="P120" s="13" t="str">
        <f>IFERROR(__xludf.DUMMYFUNCTION("""COMPUTED_VALUE"""),"Yes")</f>
        <v>Yes</v>
      </c>
      <c r="Q120" s="13" t="str">
        <f>IFERROR(__xludf.DUMMYFUNCTION("""COMPUTED_VALUE"""),"Yes")</f>
        <v>Yes</v>
      </c>
      <c r="R120" s="13" t="str">
        <f>IFERROR(__xludf.DUMMYFUNCTION("""COMPUTED_VALUE"""),"Unclear")</f>
        <v>Unclear</v>
      </c>
      <c r="S120" s="13" t="str">
        <f>IFERROR(__xludf.DUMMYFUNCTION("""COMPUTED_VALUE"""),"N/A")</f>
        <v>N/A</v>
      </c>
      <c r="T120" s="13" t="str">
        <f>IFERROR(__xludf.DUMMYFUNCTION("""COMPUTED_VALUE"""),"N/A")</f>
        <v>N/A</v>
      </c>
      <c r="U120" s="13" t="str">
        <f>IFERROR(__xludf.DUMMYFUNCTION("""COMPUTED_VALUE"""),"Some concerns")</f>
        <v>Some concerns</v>
      </c>
      <c r="V120" s="13" t="str">
        <f>IFERROR(__xludf.DUMMYFUNCTION("""COMPUTED_VALUE"""),"Some concerns")</f>
        <v>Some concerns</v>
      </c>
      <c r="W120" s="13" t="str">
        <f>IFERROR(__xludf.DUMMYFUNCTION("""COMPUTED_VALUE"""),"Some concerns")</f>
        <v>Some concerns</v>
      </c>
    </row>
    <row r="121" ht="16.5" customHeight="1">
      <c r="A121" s="5" t="str">
        <f>IFERROR(__xludf.DUMMYFUNCTION("""COMPUTED_VALUE"""),"SCOPUS-000281")</f>
        <v>SCOPUS-000281</v>
      </c>
      <c r="B121" s="13" t="str">
        <f>IFERROR(__xludf.DUMMYFUNCTION("""COMPUTED_VALUE"""),"Yes")</f>
        <v>Yes</v>
      </c>
      <c r="C121" s="13" t="str">
        <f>IFERROR(__xludf.DUMMYFUNCTION("""COMPUTED_VALUE"""),"Yes")</f>
        <v>Yes</v>
      </c>
      <c r="D121" s="13" t="str">
        <f>IFERROR(__xludf.DUMMYFUNCTION("""COMPUTED_VALUE"""),"Yes")</f>
        <v>Yes</v>
      </c>
      <c r="E121" s="13" t="str">
        <f>IFERROR(__xludf.DUMMYFUNCTION("""COMPUTED_VALUE"""),"Partial")</f>
        <v>Partial</v>
      </c>
      <c r="F121" s="13" t="str">
        <f>IFERROR(__xludf.DUMMYFUNCTION("""COMPUTED_VALUE"""),"Yes")</f>
        <v>Yes</v>
      </c>
      <c r="G121" s="13" t="str">
        <f>IFERROR(__xludf.DUMMYFUNCTION("""COMPUTED_VALUE"""),"Yes")</f>
        <v>Yes</v>
      </c>
      <c r="H121" s="13" t="str">
        <f>IFERROR(__xludf.DUMMYFUNCTION("""COMPUTED_VALUE"""),"Partial")</f>
        <v>Partial</v>
      </c>
      <c r="I121" s="13" t="str">
        <f>IFERROR(__xludf.DUMMYFUNCTION("""COMPUTED_VALUE"""),"No")</f>
        <v>No</v>
      </c>
      <c r="J121" s="13" t="str">
        <f>IFERROR(__xludf.DUMMYFUNCTION("""COMPUTED_VALUE"""),"Yes")</f>
        <v>Yes</v>
      </c>
      <c r="K121" s="13" t="str">
        <f>IFERROR(__xludf.DUMMYFUNCTION("""COMPUTED_VALUE"""),"Yes")</f>
        <v>Yes</v>
      </c>
      <c r="L121" s="13" t="str">
        <f>IFERROR(__xludf.DUMMYFUNCTION("""COMPUTED_VALUE"""),"Yes")</f>
        <v>Yes</v>
      </c>
      <c r="M121" s="13" t="str">
        <f>IFERROR(__xludf.DUMMYFUNCTION("""COMPUTED_VALUE"""),"Partial")</f>
        <v>Partial</v>
      </c>
      <c r="N121" s="13" t="str">
        <f>IFERROR(__xludf.DUMMYFUNCTION("""COMPUTED_VALUE"""),"No")</f>
        <v>No</v>
      </c>
      <c r="O121" s="13" t="str">
        <f>IFERROR(__xludf.DUMMYFUNCTION("""COMPUTED_VALUE"""),"Unclear")</f>
        <v>Unclear</v>
      </c>
      <c r="P121" s="13" t="str">
        <f>IFERROR(__xludf.DUMMYFUNCTION("""COMPUTED_VALUE"""),"Yes")</f>
        <v>Yes</v>
      </c>
      <c r="Q121" s="13" t="str">
        <f>IFERROR(__xludf.DUMMYFUNCTION("""COMPUTED_VALUE"""),"Yes")</f>
        <v>Yes</v>
      </c>
      <c r="R121" s="13" t="str">
        <f>IFERROR(__xludf.DUMMYFUNCTION("""COMPUTED_VALUE"""),"Unclear")</f>
        <v>Unclear</v>
      </c>
      <c r="S121" s="13" t="str">
        <f>IFERROR(__xludf.DUMMYFUNCTION("""COMPUTED_VALUE"""),"N/A")</f>
        <v>N/A</v>
      </c>
      <c r="T121" s="13" t="str">
        <f>IFERROR(__xludf.DUMMYFUNCTION("""COMPUTED_VALUE"""),"N/A")</f>
        <v>N/A</v>
      </c>
      <c r="U121" s="13" t="str">
        <f>IFERROR(__xludf.DUMMYFUNCTION("""COMPUTED_VALUE"""),"Some concerns")</f>
        <v>Some concerns</v>
      </c>
      <c r="V121" s="13" t="str">
        <f>IFERROR(__xludf.DUMMYFUNCTION("""COMPUTED_VALUE"""),"Some concerns")</f>
        <v>Some concerns</v>
      </c>
      <c r="W121" s="13" t="str">
        <f>IFERROR(__xludf.DUMMYFUNCTION("""COMPUTED_VALUE"""),"Some concerns")</f>
        <v>Some concerns</v>
      </c>
    </row>
    <row r="122" ht="16.5" customHeight="1">
      <c r="A122" s="5" t="str">
        <f>IFERROR(__xludf.DUMMYFUNCTION("""COMPUTED_VALUE"""),"SCOPUS-000288")</f>
        <v>SCOPUS-000288</v>
      </c>
      <c r="B122" s="13" t="str">
        <f>IFERROR(__xludf.DUMMYFUNCTION("""COMPUTED_VALUE"""),"Yes")</f>
        <v>Yes</v>
      </c>
      <c r="C122" s="13" t="str">
        <f>IFERROR(__xludf.DUMMYFUNCTION("""COMPUTED_VALUE"""),"Partial")</f>
        <v>Partial</v>
      </c>
      <c r="D122" s="13" t="str">
        <f>IFERROR(__xludf.DUMMYFUNCTION("""COMPUTED_VALUE"""),"Yes")</f>
        <v>Yes</v>
      </c>
      <c r="E122" s="13" t="str">
        <f>IFERROR(__xludf.DUMMYFUNCTION("""COMPUTED_VALUE"""),"Partial")</f>
        <v>Partial</v>
      </c>
      <c r="F122" s="13" t="str">
        <f>IFERROR(__xludf.DUMMYFUNCTION("""COMPUTED_VALUE"""),"Yes")</f>
        <v>Yes</v>
      </c>
      <c r="G122" s="13" t="str">
        <f>IFERROR(__xludf.DUMMYFUNCTION("""COMPUTED_VALUE"""),"Yes")</f>
        <v>Yes</v>
      </c>
      <c r="H122" s="13" t="str">
        <f>IFERROR(__xludf.DUMMYFUNCTION("""COMPUTED_VALUE"""),"Partial")</f>
        <v>Partial</v>
      </c>
      <c r="I122" s="13" t="str">
        <f>IFERROR(__xludf.DUMMYFUNCTION("""COMPUTED_VALUE"""),"Yes")</f>
        <v>Yes</v>
      </c>
      <c r="J122" s="13" t="str">
        <f>IFERROR(__xludf.DUMMYFUNCTION("""COMPUTED_VALUE"""),"Partial")</f>
        <v>Partial</v>
      </c>
      <c r="K122" s="13" t="str">
        <f>IFERROR(__xludf.DUMMYFUNCTION("""COMPUTED_VALUE"""),"Yes")</f>
        <v>Yes</v>
      </c>
      <c r="L122" s="13" t="str">
        <f>IFERROR(__xludf.DUMMYFUNCTION("""COMPUTED_VALUE"""),"Yes")</f>
        <v>Yes</v>
      </c>
      <c r="M122" s="13" t="str">
        <f>IFERROR(__xludf.DUMMYFUNCTION("""COMPUTED_VALUE"""),"Partial")</f>
        <v>Partial</v>
      </c>
      <c r="N122" s="13" t="str">
        <f>IFERROR(__xludf.DUMMYFUNCTION("""COMPUTED_VALUE"""),"Partial")</f>
        <v>Partial</v>
      </c>
      <c r="O122" s="13" t="str">
        <f>IFERROR(__xludf.DUMMYFUNCTION("""COMPUTED_VALUE"""),"Unclear")</f>
        <v>Unclear</v>
      </c>
      <c r="P122" s="13" t="str">
        <f>IFERROR(__xludf.DUMMYFUNCTION("""COMPUTED_VALUE"""),"Yes")</f>
        <v>Yes</v>
      </c>
      <c r="Q122" s="13" t="str">
        <f>IFERROR(__xludf.DUMMYFUNCTION("""COMPUTED_VALUE"""),"Partial")</f>
        <v>Partial</v>
      </c>
      <c r="R122" s="13" t="str">
        <f>IFERROR(__xludf.DUMMYFUNCTION("""COMPUTED_VALUE"""),"Unclear")</f>
        <v>Unclear</v>
      </c>
      <c r="S122" s="13" t="str">
        <f>IFERROR(__xludf.DUMMYFUNCTION("""COMPUTED_VALUE"""),"N/A")</f>
        <v>N/A</v>
      </c>
      <c r="T122" s="13" t="str">
        <f>IFERROR(__xludf.DUMMYFUNCTION("""COMPUTED_VALUE"""),"N/A")</f>
        <v>N/A</v>
      </c>
      <c r="U122" s="13" t="str">
        <f>IFERROR(__xludf.DUMMYFUNCTION("""COMPUTED_VALUE"""),"Some concerns")</f>
        <v>Some concerns</v>
      </c>
      <c r="V122" s="13" t="str">
        <f>IFERROR(__xludf.DUMMYFUNCTION("""COMPUTED_VALUE"""),"High")</f>
        <v>High</v>
      </c>
      <c r="W122" s="13" t="str">
        <f>IFERROR(__xludf.DUMMYFUNCTION("""COMPUTED_VALUE"""),"Some concerns")</f>
        <v>Some concerns</v>
      </c>
    </row>
    <row r="123" ht="16.5" customHeight="1">
      <c r="A123" s="5" t="str">
        <f>IFERROR(__xludf.DUMMYFUNCTION("""COMPUTED_VALUE"""),"SCOPUS-000289")</f>
        <v>SCOPUS-000289</v>
      </c>
      <c r="B123" s="13" t="str">
        <f>IFERROR(__xludf.DUMMYFUNCTION("""COMPUTED_VALUE"""),"Yes")</f>
        <v>Yes</v>
      </c>
      <c r="C123" s="13" t="str">
        <f>IFERROR(__xludf.DUMMYFUNCTION("""COMPUTED_VALUE"""),"Yes")</f>
        <v>Yes</v>
      </c>
      <c r="D123" s="13" t="str">
        <f>IFERROR(__xludf.DUMMYFUNCTION("""COMPUTED_VALUE"""),"Yes")</f>
        <v>Yes</v>
      </c>
      <c r="E123" s="13" t="str">
        <f>IFERROR(__xludf.DUMMYFUNCTION("""COMPUTED_VALUE"""),"Partial")</f>
        <v>Partial</v>
      </c>
      <c r="F123" s="13" t="str">
        <f>IFERROR(__xludf.DUMMYFUNCTION("""COMPUTED_VALUE"""),"Yes")</f>
        <v>Yes</v>
      </c>
      <c r="G123" s="13" t="str">
        <f>IFERROR(__xludf.DUMMYFUNCTION("""COMPUTED_VALUE"""),"Yes")</f>
        <v>Yes</v>
      </c>
      <c r="H123" s="13" t="str">
        <f>IFERROR(__xludf.DUMMYFUNCTION("""COMPUTED_VALUE"""),"Yes")</f>
        <v>Yes</v>
      </c>
      <c r="I123" s="13" t="str">
        <f>IFERROR(__xludf.DUMMYFUNCTION("""COMPUTED_VALUE"""),"No")</f>
        <v>No</v>
      </c>
      <c r="J123" s="13" t="str">
        <f>IFERROR(__xludf.DUMMYFUNCTION("""COMPUTED_VALUE"""),"Yes")</f>
        <v>Yes</v>
      </c>
      <c r="K123" s="13" t="str">
        <f>IFERROR(__xludf.DUMMYFUNCTION("""COMPUTED_VALUE"""),"Yes")</f>
        <v>Yes</v>
      </c>
      <c r="L123" s="13" t="str">
        <f>IFERROR(__xludf.DUMMYFUNCTION("""COMPUTED_VALUE"""),"Yes")</f>
        <v>Yes</v>
      </c>
      <c r="M123" s="13" t="str">
        <f>IFERROR(__xludf.DUMMYFUNCTION("""COMPUTED_VALUE"""),"Partial")</f>
        <v>Partial</v>
      </c>
      <c r="N123" s="13" t="str">
        <f>IFERROR(__xludf.DUMMYFUNCTION("""COMPUTED_VALUE"""),"Yes")</f>
        <v>Yes</v>
      </c>
      <c r="O123" s="13" t="str">
        <f>IFERROR(__xludf.DUMMYFUNCTION("""COMPUTED_VALUE"""),"Unclear")</f>
        <v>Unclear</v>
      </c>
      <c r="P123" s="13" t="str">
        <f>IFERROR(__xludf.DUMMYFUNCTION("""COMPUTED_VALUE"""),"Yes")</f>
        <v>Yes</v>
      </c>
      <c r="Q123" s="13" t="str">
        <f>IFERROR(__xludf.DUMMYFUNCTION("""COMPUTED_VALUE"""),"Yes")</f>
        <v>Yes</v>
      </c>
      <c r="R123" s="13" t="str">
        <f>IFERROR(__xludf.DUMMYFUNCTION("""COMPUTED_VALUE"""),"Unclear")</f>
        <v>Unclear</v>
      </c>
      <c r="S123" s="13" t="str">
        <f>IFERROR(__xludf.DUMMYFUNCTION("""COMPUTED_VALUE"""),"N/A")</f>
        <v>N/A</v>
      </c>
      <c r="T123" s="13" t="str">
        <f>IFERROR(__xludf.DUMMYFUNCTION("""COMPUTED_VALUE"""),"N/A")</f>
        <v>N/A</v>
      </c>
      <c r="U123" s="13" t="str">
        <f>IFERROR(__xludf.DUMMYFUNCTION("""COMPUTED_VALUE"""),"Some concerns")</f>
        <v>Some concerns</v>
      </c>
      <c r="V123" s="13" t="str">
        <f>IFERROR(__xludf.DUMMYFUNCTION("""COMPUTED_VALUE"""),"Some concerns")</f>
        <v>Some concerns</v>
      </c>
      <c r="W123" s="13" t="str">
        <f>IFERROR(__xludf.DUMMYFUNCTION("""COMPUTED_VALUE"""),"Some concerns")</f>
        <v>Some concerns</v>
      </c>
    </row>
    <row r="124" ht="16.5" customHeight="1">
      <c r="A124" s="5" t="str">
        <f>IFERROR(__xludf.DUMMYFUNCTION("""COMPUTED_VALUE"""),"SCOPUS-000306")</f>
        <v>SCOPUS-000306</v>
      </c>
      <c r="B124" s="13" t="str">
        <f>IFERROR(__xludf.DUMMYFUNCTION("""COMPUTED_VALUE"""),"Yes")</f>
        <v>Yes</v>
      </c>
      <c r="C124" s="13" t="str">
        <f>IFERROR(__xludf.DUMMYFUNCTION("""COMPUTED_VALUE"""),"Yes")</f>
        <v>Yes</v>
      </c>
      <c r="D124" s="13" t="str">
        <f>IFERROR(__xludf.DUMMYFUNCTION("""COMPUTED_VALUE"""),"Yes")</f>
        <v>Yes</v>
      </c>
      <c r="E124" s="13" t="str">
        <f>IFERROR(__xludf.DUMMYFUNCTION("""COMPUTED_VALUE"""),"Partial")</f>
        <v>Partial</v>
      </c>
      <c r="F124" s="13" t="str">
        <f>IFERROR(__xludf.DUMMYFUNCTION("""COMPUTED_VALUE"""),"Yes")</f>
        <v>Yes</v>
      </c>
      <c r="G124" s="13" t="str">
        <f>IFERROR(__xludf.DUMMYFUNCTION("""COMPUTED_VALUE"""),"Yes")</f>
        <v>Yes</v>
      </c>
      <c r="H124" s="13" t="str">
        <f>IFERROR(__xludf.DUMMYFUNCTION("""COMPUTED_VALUE"""),"Partial")</f>
        <v>Partial</v>
      </c>
      <c r="I124" s="13" t="str">
        <f>IFERROR(__xludf.DUMMYFUNCTION("""COMPUTED_VALUE"""),"No")</f>
        <v>No</v>
      </c>
      <c r="J124" s="13" t="str">
        <f>IFERROR(__xludf.DUMMYFUNCTION("""COMPUTED_VALUE"""),"Yes")</f>
        <v>Yes</v>
      </c>
      <c r="K124" s="13" t="str">
        <f>IFERROR(__xludf.DUMMYFUNCTION("""COMPUTED_VALUE"""),"Yes")</f>
        <v>Yes</v>
      </c>
      <c r="L124" s="13" t="str">
        <f>IFERROR(__xludf.DUMMYFUNCTION("""COMPUTED_VALUE"""),"Yes")</f>
        <v>Yes</v>
      </c>
      <c r="M124" s="13" t="str">
        <f>IFERROR(__xludf.DUMMYFUNCTION("""COMPUTED_VALUE"""),"Yes")</f>
        <v>Yes</v>
      </c>
      <c r="N124" s="13" t="str">
        <f>IFERROR(__xludf.DUMMYFUNCTION("""COMPUTED_VALUE"""),"No")</f>
        <v>No</v>
      </c>
      <c r="O124" s="13" t="str">
        <f>IFERROR(__xludf.DUMMYFUNCTION("""COMPUTED_VALUE"""),"Unclear")</f>
        <v>Unclear</v>
      </c>
      <c r="P124" s="13" t="str">
        <f>IFERROR(__xludf.DUMMYFUNCTION("""COMPUTED_VALUE"""),"Yes")</f>
        <v>Yes</v>
      </c>
      <c r="Q124" s="13" t="str">
        <f>IFERROR(__xludf.DUMMYFUNCTION("""COMPUTED_VALUE"""),"Partial")</f>
        <v>Partial</v>
      </c>
      <c r="R124" s="13" t="str">
        <f>IFERROR(__xludf.DUMMYFUNCTION("""COMPUTED_VALUE"""),"Unclear")</f>
        <v>Unclear</v>
      </c>
      <c r="S124" s="13" t="str">
        <f>IFERROR(__xludf.DUMMYFUNCTION("""COMPUTED_VALUE"""),"N/A")</f>
        <v>N/A</v>
      </c>
      <c r="T124" s="13" t="str">
        <f>IFERROR(__xludf.DUMMYFUNCTION("""COMPUTED_VALUE"""),"N/A")</f>
        <v>N/A</v>
      </c>
      <c r="U124" s="13" t="str">
        <f>IFERROR(__xludf.DUMMYFUNCTION("""COMPUTED_VALUE"""),"Some concerns")</f>
        <v>Some concerns</v>
      </c>
      <c r="V124" s="13" t="str">
        <f>IFERROR(__xludf.DUMMYFUNCTION("""COMPUTED_VALUE"""),"Some concerns")</f>
        <v>Some concerns</v>
      </c>
      <c r="W124" s="13" t="str">
        <f>IFERROR(__xludf.DUMMYFUNCTION("""COMPUTED_VALUE"""),"Some concerns")</f>
        <v>Some concerns</v>
      </c>
    </row>
    <row r="125" ht="16.5" customHeight="1">
      <c r="A125" s="5" t="str">
        <f>IFERROR(__xludf.DUMMYFUNCTION("""COMPUTED_VALUE"""),"SCOPUS-000319")</f>
        <v>SCOPUS-000319</v>
      </c>
      <c r="B125" s="13" t="str">
        <f>IFERROR(__xludf.DUMMYFUNCTION("""COMPUTED_VALUE"""),"Yes")</f>
        <v>Yes</v>
      </c>
      <c r="C125" s="13" t="str">
        <f>IFERROR(__xludf.DUMMYFUNCTION("""COMPUTED_VALUE"""),"Partial")</f>
        <v>Partial</v>
      </c>
      <c r="D125" s="13" t="str">
        <f>IFERROR(__xludf.DUMMYFUNCTION("""COMPUTED_VALUE"""),"Yes")</f>
        <v>Yes</v>
      </c>
      <c r="E125" s="13" t="str">
        <f>IFERROR(__xludf.DUMMYFUNCTION("""COMPUTED_VALUE"""),"Partial")</f>
        <v>Partial</v>
      </c>
      <c r="F125" s="13" t="str">
        <f>IFERROR(__xludf.DUMMYFUNCTION("""COMPUTED_VALUE"""),"Yes")</f>
        <v>Yes</v>
      </c>
      <c r="G125" s="13" t="str">
        <f>IFERROR(__xludf.DUMMYFUNCTION("""COMPUTED_VALUE"""),"Yes")</f>
        <v>Yes</v>
      </c>
      <c r="H125" s="13" t="str">
        <f>IFERROR(__xludf.DUMMYFUNCTION("""COMPUTED_VALUE"""),"Partial")</f>
        <v>Partial</v>
      </c>
      <c r="I125" s="13" t="str">
        <f>IFERROR(__xludf.DUMMYFUNCTION("""COMPUTED_VALUE"""),"No")</f>
        <v>No</v>
      </c>
      <c r="J125" s="13" t="str">
        <f>IFERROR(__xludf.DUMMYFUNCTION("""COMPUTED_VALUE"""),"Yes")</f>
        <v>Yes</v>
      </c>
      <c r="K125" s="13" t="str">
        <f>IFERROR(__xludf.DUMMYFUNCTION("""COMPUTED_VALUE"""),"Yes")</f>
        <v>Yes</v>
      </c>
      <c r="L125" s="13" t="str">
        <f>IFERROR(__xludf.DUMMYFUNCTION("""COMPUTED_VALUE"""),"Yes")</f>
        <v>Yes</v>
      </c>
      <c r="M125" s="13" t="str">
        <f>IFERROR(__xludf.DUMMYFUNCTION("""COMPUTED_VALUE"""),"Partial")</f>
        <v>Partial</v>
      </c>
      <c r="N125" s="13" t="str">
        <f>IFERROR(__xludf.DUMMYFUNCTION("""COMPUTED_VALUE"""),"Yes")</f>
        <v>Yes</v>
      </c>
      <c r="O125" s="13" t="str">
        <f>IFERROR(__xludf.DUMMYFUNCTION("""COMPUTED_VALUE"""),"Unclear")</f>
        <v>Unclear</v>
      </c>
      <c r="P125" s="13" t="str">
        <f>IFERROR(__xludf.DUMMYFUNCTION("""COMPUTED_VALUE"""),"Yes")</f>
        <v>Yes</v>
      </c>
      <c r="Q125" s="13" t="str">
        <f>IFERROR(__xludf.DUMMYFUNCTION("""COMPUTED_VALUE"""),"Partial")</f>
        <v>Partial</v>
      </c>
      <c r="R125" s="13" t="str">
        <f>IFERROR(__xludf.DUMMYFUNCTION("""COMPUTED_VALUE"""),"Unclear")</f>
        <v>Unclear</v>
      </c>
      <c r="S125" s="13" t="str">
        <f>IFERROR(__xludf.DUMMYFUNCTION("""COMPUTED_VALUE"""),"N/A")</f>
        <v>N/A</v>
      </c>
      <c r="T125" s="13" t="str">
        <f>IFERROR(__xludf.DUMMYFUNCTION("""COMPUTED_VALUE"""),"N/A")</f>
        <v>N/A</v>
      </c>
      <c r="U125" s="13" t="str">
        <f>IFERROR(__xludf.DUMMYFUNCTION("""COMPUTED_VALUE"""),"Some concerns")</f>
        <v>Some concerns</v>
      </c>
      <c r="V125" s="13" t="str">
        <f>IFERROR(__xludf.DUMMYFUNCTION("""COMPUTED_VALUE"""),"Some concerns")</f>
        <v>Some concerns</v>
      </c>
      <c r="W125" s="13" t="str">
        <f>IFERROR(__xludf.DUMMYFUNCTION("""COMPUTED_VALUE"""),"Some concerns")</f>
        <v>Some concerns</v>
      </c>
    </row>
    <row r="126" ht="16.5" customHeight="1">
      <c r="A126" s="5" t="str">
        <f>IFERROR(__xludf.DUMMYFUNCTION("""COMPUTED_VALUE"""),"SCOPUS-000344")</f>
        <v>SCOPUS-000344</v>
      </c>
      <c r="B126" s="13" t="str">
        <f>IFERROR(__xludf.DUMMYFUNCTION("""COMPUTED_VALUE"""),"Yes")</f>
        <v>Yes</v>
      </c>
      <c r="C126" s="13" t="str">
        <f>IFERROR(__xludf.DUMMYFUNCTION("""COMPUTED_VALUE"""),"Partial")</f>
        <v>Partial</v>
      </c>
      <c r="D126" s="13" t="str">
        <f>IFERROR(__xludf.DUMMYFUNCTION("""COMPUTED_VALUE"""),"Yes")</f>
        <v>Yes</v>
      </c>
      <c r="E126" s="13" t="str">
        <f>IFERROR(__xludf.DUMMYFUNCTION("""COMPUTED_VALUE"""),"Yes")</f>
        <v>Yes</v>
      </c>
      <c r="F126" s="13" t="str">
        <f>IFERROR(__xludf.DUMMYFUNCTION("""COMPUTED_VALUE"""),"Yes")</f>
        <v>Yes</v>
      </c>
      <c r="G126" s="13" t="str">
        <f>IFERROR(__xludf.DUMMYFUNCTION("""COMPUTED_VALUE"""),"Yes")</f>
        <v>Yes</v>
      </c>
      <c r="H126" s="13" t="str">
        <f>IFERROR(__xludf.DUMMYFUNCTION("""COMPUTED_VALUE"""),"Partial")</f>
        <v>Partial</v>
      </c>
      <c r="I126" s="13" t="str">
        <f>IFERROR(__xludf.DUMMYFUNCTION("""COMPUTED_VALUE"""),"No")</f>
        <v>No</v>
      </c>
      <c r="J126" s="13" t="str">
        <f>IFERROR(__xludf.DUMMYFUNCTION("""COMPUTED_VALUE"""),"Yes")</f>
        <v>Yes</v>
      </c>
      <c r="K126" s="13" t="str">
        <f>IFERROR(__xludf.DUMMYFUNCTION("""COMPUTED_VALUE"""),"Yes")</f>
        <v>Yes</v>
      </c>
      <c r="L126" s="13" t="str">
        <f>IFERROR(__xludf.DUMMYFUNCTION("""COMPUTED_VALUE"""),"Yes")</f>
        <v>Yes</v>
      </c>
      <c r="M126" s="13" t="str">
        <f>IFERROR(__xludf.DUMMYFUNCTION("""COMPUTED_VALUE"""),"Yes")</f>
        <v>Yes</v>
      </c>
      <c r="N126" s="13" t="str">
        <f>IFERROR(__xludf.DUMMYFUNCTION("""COMPUTED_VALUE"""),"Partial")</f>
        <v>Partial</v>
      </c>
      <c r="O126" s="13" t="str">
        <f>IFERROR(__xludf.DUMMYFUNCTION("""COMPUTED_VALUE"""),"Unclear")</f>
        <v>Unclear</v>
      </c>
      <c r="P126" s="13" t="str">
        <f>IFERROR(__xludf.DUMMYFUNCTION("""COMPUTED_VALUE"""),"Yes")</f>
        <v>Yes</v>
      </c>
      <c r="Q126" s="13" t="str">
        <f>IFERROR(__xludf.DUMMYFUNCTION("""COMPUTED_VALUE"""),"Partial")</f>
        <v>Partial</v>
      </c>
      <c r="R126" s="13" t="str">
        <f>IFERROR(__xludf.DUMMYFUNCTION("""COMPUTED_VALUE"""),"Unclear")</f>
        <v>Unclear</v>
      </c>
      <c r="S126" s="13" t="str">
        <f>IFERROR(__xludf.DUMMYFUNCTION("""COMPUTED_VALUE"""),"N/A")</f>
        <v>N/A</v>
      </c>
      <c r="T126" s="13" t="str">
        <f>IFERROR(__xludf.DUMMYFUNCTION("""COMPUTED_VALUE"""),"N/A")</f>
        <v>N/A</v>
      </c>
      <c r="U126" s="13" t="str">
        <f>IFERROR(__xludf.DUMMYFUNCTION("""COMPUTED_VALUE"""),"Some concerns")</f>
        <v>Some concerns</v>
      </c>
      <c r="V126" s="13" t="str">
        <f>IFERROR(__xludf.DUMMYFUNCTION("""COMPUTED_VALUE"""),"Some concerns")</f>
        <v>Some concerns</v>
      </c>
      <c r="W126" s="13" t="str">
        <f>IFERROR(__xludf.DUMMYFUNCTION("""COMPUTED_VALUE"""),"Some concerns")</f>
        <v>Some concerns</v>
      </c>
    </row>
    <row r="127" ht="16.5" customHeight="1">
      <c r="A127" s="5" t="str">
        <f>IFERROR(__xludf.DUMMYFUNCTION("""COMPUTED_VALUE"""),"SCOPUS-000364")</f>
        <v>SCOPUS-000364</v>
      </c>
      <c r="B127" s="13" t="str">
        <f>IFERROR(__xludf.DUMMYFUNCTION("""COMPUTED_VALUE"""),"Yes")</f>
        <v>Yes</v>
      </c>
      <c r="C127" s="13" t="str">
        <f>IFERROR(__xludf.DUMMYFUNCTION("""COMPUTED_VALUE"""),"Yes")</f>
        <v>Yes</v>
      </c>
      <c r="D127" s="13" t="str">
        <f>IFERROR(__xludf.DUMMYFUNCTION("""COMPUTED_VALUE"""),"Yes")</f>
        <v>Yes</v>
      </c>
      <c r="E127" s="13" t="str">
        <f>IFERROR(__xludf.DUMMYFUNCTION("""COMPUTED_VALUE"""),"Yes")</f>
        <v>Yes</v>
      </c>
      <c r="F127" s="13" t="str">
        <f>IFERROR(__xludf.DUMMYFUNCTION("""COMPUTED_VALUE"""),"Yes")</f>
        <v>Yes</v>
      </c>
      <c r="G127" s="13" t="str">
        <f>IFERROR(__xludf.DUMMYFUNCTION("""COMPUTED_VALUE"""),"Yes")</f>
        <v>Yes</v>
      </c>
      <c r="H127" s="13" t="str">
        <f>IFERROR(__xludf.DUMMYFUNCTION("""COMPUTED_VALUE"""),"Yes")</f>
        <v>Yes</v>
      </c>
      <c r="I127" s="13" t="str">
        <f>IFERROR(__xludf.DUMMYFUNCTION("""COMPUTED_VALUE"""),"Yes")</f>
        <v>Yes</v>
      </c>
      <c r="J127" s="13" t="str">
        <f>IFERROR(__xludf.DUMMYFUNCTION("""COMPUTED_VALUE"""),"Yes")</f>
        <v>Yes</v>
      </c>
      <c r="K127" s="13" t="str">
        <f>IFERROR(__xludf.DUMMYFUNCTION("""COMPUTED_VALUE"""),"Yes")</f>
        <v>Yes</v>
      </c>
      <c r="L127" s="13" t="str">
        <f>IFERROR(__xludf.DUMMYFUNCTION("""COMPUTED_VALUE"""),"Yes")</f>
        <v>Yes</v>
      </c>
      <c r="M127" s="13" t="str">
        <f>IFERROR(__xludf.DUMMYFUNCTION("""COMPUTED_VALUE"""),"Yes")</f>
        <v>Yes</v>
      </c>
      <c r="N127" s="13" t="str">
        <f>IFERROR(__xludf.DUMMYFUNCTION("""COMPUTED_VALUE"""),"Yes")</f>
        <v>Yes</v>
      </c>
      <c r="O127" s="13" t="str">
        <f>IFERROR(__xludf.DUMMYFUNCTION("""COMPUTED_VALUE"""),"Unclear")</f>
        <v>Unclear</v>
      </c>
      <c r="P127" s="13" t="str">
        <f>IFERROR(__xludf.DUMMYFUNCTION("""COMPUTED_VALUE"""),"Yes")</f>
        <v>Yes</v>
      </c>
      <c r="Q127" s="13" t="str">
        <f>IFERROR(__xludf.DUMMYFUNCTION("""COMPUTED_VALUE"""),"Yes")</f>
        <v>Yes</v>
      </c>
      <c r="R127" s="13" t="str">
        <f>IFERROR(__xludf.DUMMYFUNCTION("""COMPUTED_VALUE"""),"Unclear")</f>
        <v>Unclear</v>
      </c>
      <c r="S127" s="13" t="str">
        <f>IFERROR(__xludf.DUMMYFUNCTION("""COMPUTED_VALUE"""),"N/A")</f>
        <v>N/A</v>
      </c>
      <c r="T127" s="13" t="str">
        <f>IFERROR(__xludf.DUMMYFUNCTION("""COMPUTED_VALUE"""),"N/A")</f>
        <v>N/A</v>
      </c>
      <c r="U127" s="13" t="str">
        <f>IFERROR(__xludf.DUMMYFUNCTION("""COMPUTED_VALUE"""),"Some concerns")</f>
        <v>Some concerns</v>
      </c>
      <c r="V127" s="13" t="str">
        <f>IFERROR(__xludf.DUMMYFUNCTION("""COMPUTED_VALUE"""),"Some concerns")</f>
        <v>Some concerns</v>
      </c>
      <c r="W127" s="13" t="str">
        <f>IFERROR(__xludf.DUMMYFUNCTION("""COMPUTED_VALUE"""),"Some concerns")</f>
        <v>Some concerns</v>
      </c>
    </row>
    <row r="128" ht="16.5" customHeight="1">
      <c r="A128" s="5" t="str">
        <f>IFERROR(__xludf.DUMMYFUNCTION("""COMPUTED_VALUE"""),"SCOPUS-000372")</f>
        <v>SCOPUS-000372</v>
      </c>
      <c r="B128" s="13" t="str">
        <f>IFERROR(__xludf.DUMMYFUNCTION("""COMPUTED_VALUE"""),"Yes")</f>
        <v>Yes</v>
      </c>
      <c r="C128" s="13" t="str">
        <f>IFERROR(__xludf.DUMMYFUNCTION("""COMPUTED_VALUE"""),"Yes")</f>
        <v>Yes</v>
      </c>
      <c r="D128" s="13" t="str">
        <f>IFERROR(__xludf.DUMMYFUNCTION("""COMPUTED_VALUE"""),"Yes")</f>
        <v>Yes</v>
      </c>
      <c r="E128" s="13" t="str">
        <f>IFERROR(__xludf.DUMMYFUNCTION("""COMPUTED_VALUE"""),"Yes")</f>
        <v>Yes</v>
      </c>
      <c r="F128" s="13" t="str">
        <f>IFERROR(__xludf.DUMMYFUNCTION("""COMPUTED_VALUE"""),"Yes")</f>
        <v>Yes</v>
      </c>
      <c r="G128" s="13" t="str">
        <f>IFERROR(__xludf.DUMMYFUNCTION("""COMPUTED_VALUE"""),"Yes")</f>
        <v>Yes</v>
      </c>
      <c r="H128" s="13" t="str">
        <f>IFERROR(__xludf.DUMMYFUNCTION("""COMPUTED_VALUE"""),"Yes")</f>
        <v>Yes</v>
      </c>
      <c r="I128" s="13" t="str">
        <f>IFERROR(__xludf.DUMMYFUNCTION("""COMPUTED_VALUE"""),"Yes")</f>
        <v>Yes</v>
      </c>
      <c r="J128" s="13" t="str">
        <f>IFERROR(__xludf.DUMMYFUNCTION("""COMPUTED_VALUE"""),"Yes")</f>
        <v>Yes</v>
      </c>
      <c r="K128" s="13" t="str">
        <f>IFERROR(__xludf.DUMMYFUNCTION("""COMPUTED_VALUE"""),"Yes")</f>
        <v>Yes</v>
      </c>
      <c r="L128" s="13" t="str">
        <f>IFERROR(__xludf.DUMMYFUNCTION("""COMPUTED_VALUE"""),"Yes")</f>
        <v>Yes</v>
      </c>
      <c r="M128" s="13" t="str">
        <f>IFERROR(__xludf.DUMMYFUNCTION("""COMPUTED_VALUE"""),"Yes")</f>
        <v>Yes</v>
      </c>
      <c r="N128" s="13" t="str">
        <f>IFERROR(__xludf.DUMMYFUNCTION("""COMPUTED_VALUE"""),"Yes")</f>
        <v>Yes</v>
      </c>
      <c r="O128" s="13" t="str">
        <f>IFERROR(__xludf.DUMMYFUNCTION("""COMPUTED_VALUE"""),"Unclear")</f>
        <v>Unclear</v>
      </c>
      <c r="P128" s="13" t="str">
        <f>IFERROR(__xludf.DUMMYFUNCTION("""COMPUTED_VALUE"""),"Yes")</f>
        <v>Yes</v>
      </c>
      <c r="Q128" s="13" t="str">
        <f>IFERROR(__xludf.DUMMYFUNCTION("""COMPUTED_VALUE"""),"Yes")</f>
        <v>Yes</v>
      </c>
      <c r="R128" s="13" t="str">
        <f>IFERROR(__xludf.DUMMYFUNCTION("""COMPUTED_VALUE"""),"Unclear")</f>
        <v>Unclear</v>
      </c>
      <c r="S128" s="13" t="str">
        <f>IFERROR(__xludf.DUMMYFUNCTION("""COMPUTED_VALUE"""),"N/A")</f>
        <v>N/A</v>
      </c>
      <c r="T128" s="13" t="str">
        <f>IFERROR(__xludf.DUMMYFUNCTION("""COMPUTED_VALUE"""),"N/A")</f>
        <v>N/A</v>
      </c>
      <c r="U128" s="13" t="str">
        <f>IFERROR(__xludf.DUMMYFUNCTION("""COMPUTED_VALUE"""),"Some concerns")</f>
        <v>Some concerns</v>
      </c>
      <c r="V128" s="13" t="str">
        <f>IFERROR(__xludf.DUMMYFUNCTION("""COMPUTED_VALUE"""),"Some concerns")</f>
        <v>Some concerns</v>
      </c>
      <c r="W128" s="13" t="str">
        <f>IFERROR(__xludf.DUMMYFUNCTION("""COMPUTED_VALUE"""),"Some concerns")</f>
        <v>Some concerns</v>
      </c>
    </row>
    <row r="129" ht="16.5" customHeight="1">
      <c r="A129" s="5" t="str">
        <f>IFERROR(__xludf.DUMMYFUNCTION("""COMPUTED_VALUE"""),"SCOPUS-000379")</f>
        <v>SCOPUS-000379</v>
      </c>
      <c r="B129" s="13" t="str">
        <f>IFERROR(__xludf.DUMMYFUNCTION("""COMPUTED_VALUE"""),"Yes")</f>
        <v>Yes</v>
      </c>
      <c r="C129" s="13" t="str">
        <f>IFERROR(__xludf.DUMMYFUNCTION("""COMPUTED_VALUE"""),"Yes")</f>
        <v>Yes</v>
      </c>
      <c r="D129" s="13" t="str">
        <f>IFERROR(__xludf.DUMMYFUNCTION("""COMPUTED_VALUE"""),"Yes")</f>
        <v>Yes</v>
      </c>
      <c r="E129" s="13" t="str">
        <f>IFERROR(__xludf.DUMMYFUNCTION("""COMPUTED_VALUE"""),"Partial")</f>
        <v>Partial</v>
      </c>
      <c r="F129" s="13" t="str">
        <f>IFERROR(__xludf.DUMMYFUNCTION("""COMPUTED_VALUE"""),"Yes")</f>
        <v>Yes</v>
      </c>
      <c r="G129" s="13" t="str">
        <f>IFERROR(__xludf.DUMMYFUNCTION("""COMPUTED_VALUE"""),"Yes")</f>
        <v>Yes</v>
      </c>
      <c r="H129" s="13" t="str">
        <f>IFERROR(__xludf.DUMMYFUNCTION("""COMPUTED_VALUE"""),"Yes")</f>
        <v>Yes</v>
      </c>
      <c r="I129" s="13" t="str">
        <f>IFERROR(__xludf.DUMMYFUNCTION("""COMPUTED_VALUE"""),"No")</f>
        <v>No</v>
      </c>
      <c r="J129" s="13" t="str">
        <f>IFERROR(__xludf.DUMMYFUNCTION("""COMPUTED_VALUE"""),"Yes")</f>
        <v>Yes</v>
      </c>
      <c r="K129" s="13" t="str">
        <f>IFERROR(__xludf.DUMMYFUNCTION("""COMPUTED_VALUE"""),"Yes")</f>
        <v>Yes</v>
      </c>
      <c r="L129" s="13" t="str">
        <f>IFERROR(__xludf.DUMMYFUNCTION("""COMPUTED_VALUE"""),"Yes")</f>
        <v>Yes</v>
      </c>
      <c r="M129" s="13" t="str">
        <f>IFERROR(__xludf.DUMMYFUNCTION("""COMPUTED_VALUE"""),"Partial")</f>
        <v>Partial</v>
      </c>
      <c r="N129" s="13" t="str">
        <f>IFERROR(__xludf.DUMMYFUNCTION("""COMPUTED_VALUE"""),"Partial")</f>
        <v>Partial</v>
      </c>
      <c r="O129" s="13" t="str">
        <f>IFERROR(__xludf.DUMMYFUNCTION("""COMPUTED_VALUE"""),"Unclear")</f>
        <v>Unclear</v>
      </c>
      <c r="P129" s="13" t="str">
        <f>IFERROR(__xludf.DUMMYFUNCTION("""COMPUTED_VALUE"""),"Yes")</f>
        <v>Yes</v>
      </c>
      <c r="Q129" s="13" t="str">
        <f>IFERROR(__xludf.DUMMYFUNCTION("""COMPUTED_VALUE"""),"Yes")</f>
        <v>Yes</v>
      </c>
      <c r="R129" s="13" t="str">
        <f>IFERROR(__xludf.DUMMYFUNCTION("""COMPUTED_VALUE"""),"Unclear")</f>
        <v>Unclear</v>
      </c>
      <c r="S129" s="13" t="str">
        <f>IFERROR(__xludf.DUMMYFUNCTION("""COMPUTED_VALUE"""),"N/A")</f>
        <v>N/A</v>
      </c>
      <c r="T129" s="13" t="str">
        <f>IFERROR(__xludf.DUMMYFUNCTION("""COMPUTED_VALUE"""),"N/A")</f>
        <v>N/A</v>
      </c>
      <c r="U129" s="13" t="str">
        <f>IFERROR(__xludf.DUMMYFUNCTION("""COMPUTED_VALUE"""),"Some concerns")</f>
        <v>Some concerns</v>
      </c>
      <c r="V129" s="13" t="str">
        <f>IFERROR(__xludf.DUMMYFUNCTION("""COMPUTED_VALUE"""),"Some concerns")</f>
        <v>Some concerns</v>
      </c>
      <c r="W129" s="13" t="str">
        <f>IFERROR(__xludf.DUMMYFUNCTION("""COMPUTED_VALUE"""),"Some concerns")</f>
        <v>Some concerns</v>
      </c>
    </row>
    <row r="130" ht="16.5" customHeight="1">
      <c r="A130" s="5" t="str">
        <f>IFERROR(__xludf.DUMMYFUNCTION("""COMPUTED_VALUE"""),"SCOPUS-000383")</f>
        <v>SCOPUS-000383</v>
      </c>
      <c r="B130" s="13" t="str">
        <f>IFERROR(__xludf.DUMMYFUNCTION("""COMPUTED_VALUE"""),"Yes")</f>
        <v>Yes</v>
      </c>
      <c r="C130" s="13" t="str">
        <f>IFERROR(__xludf.DUMMYFUNCTION("""COMPUTED_VALUE"""),"Yes")</f>
        <v>Yes</v>
      </c>
      <c r="D130" s="13" t="str">
        <f>IFERROR(__xludf.DUMMYFUNCTION("""COMPUTED_VALUE"""),"Yes")</f>
        <v>Yes</v>
      </c>
      <c r="E130" s="13" t="str">
        <f>IFERROR(__xludf.DUMMYFUNCTION("""COMPUTED_VALUE"""),"Yes")</f>
        <v>Yes</v>
      </c>
      <c r="F130" s="13" t="str">
        <f>IFERROR(__xludf.DUMMYFUNCTION("""COMPUTED_VALUE"""),"Yes")</f>
        <v>Yes</v>
      </c>
      <c r="G130" s="13" t="str">
        <f>IFERROR(__xludf.DUMMYFUNCTION("""COMPUTED_VALUE"""),"Yes")</f>
        <v>Yes</v>
      </c>
      <c r="H130" s="13" t="str">
        <f>IFERROR(__xludf.DUMMYFUNCTION("""COMPUTED_VALUE"""),"Yes")</f>
        <v>Yes</v>
      </c>
      <c r="I130" s="13" t="str">
        <f>IFERROR(__xludf.DUMMYFUNCTION("""COMPUTED_VALUE"""),"No")</f>
        <v>No</v>
      </c>
      <c r="J130" s="13" t="str">
        <f>IFERROR(__xludf.DUMMYFUNCTION("""COMPUTED_VALUE"""),"Yes")</f>
        <v>Yes</v>
      </c>
      <c r="K130" s="13" t="str">
        <f>IFERROR(__xludf.DUMMYFUNCTION("""COMPUTED_VALUE"""),"Yes")</f>
        <v>Yes</v>
      </c>
      <c r="L130" s="13" t="str">
        <f>IFERROR(__xludf.DUMMYFUNCTION("""COMPUTED_VALUE"""),"Yes")</f>
        <v>Yes</v>
      </c>
      <c r="M130" s="13" t="str">
        <f>IFERROR(__xludf.DUMMYFUNCTION("""COMPUTED_VALUE"""),"Partial")</f>
        <v>Partial</v>
      </c>
      <c r="N130" s="13" t="str">
        <f>IFERROR(__xludf.DUMMYFUNCTION("""COMPUTED_VALUE"""),"Partial")</f>
        <v>Partial</v>
      </c>
      <c r="O130" s="13" t="str">
        <f>IFERROR(__xludf.DUMMYFUNCTION("""COMPUTED_VALUE"""),"Unclear")</f>
        <v>Unclear</v>
      </c>
      <c r="P130" s="13" t="str">
        <f>IFERROR(__xludf.DUMMYFUNCTION("""COMPUTED_VALUE"""),"Yes")</f>
        <v>Yes</v>
      </c>
      <c r="Q130" s="13" t="str">
        <f>IFERROR(__xludf.DUMMYFUNCTION("""COMPUTED_VALUE"""),"Yes")</f>
        <v>Yes</v>
      </c>
      <c r="R130" s="13" t="str">
        <f>IFERROR(__xludf.DUMMYFUNCTION("""COMPUTED_VALUE"""),"Unclear")</f>
        <v>Unclear</v>
      </c>
      <c r="S130" s="13" t="str">
        <f>IFERROR(__xludf.DUMMYFUNCTION("""COMPUTED_VALUE"""),"N/A")</f>
        <v>N/A</v>
      </c>
      <c r="T130" s="13" t="str">
        <f>IFERROR(__xludf.DUMMYFUNCTION("""COMPUTED_VALUE"""),"N/A")</f>
        <v>N/A</v>
      </c>
      <c r="U130" s="13" t="str">
        <f>IFERROR(__xludf.DUMMYFUNCTION("""COMPUTED_VALUE"""),"Some concerns")</f>
        <v>Some concerns</v>
      </c>
      <c r="V130" s="13" t="str">
        <f>IFERROR(__xludf.DUMMYFUNCTION("""COMPUTED_VALUE"""),"Some concerns")</f>
        <v>Some concerns</v>
      </c>
      <c r="W130" s="13" t="str">
        <f>IFERROR(__xludf.DUMMYFUNCTION("""COMPUTED_VALUE"""),"Some concerns")</f>
        <v>Some concerns</v>
      </c>
    </row>
    <row r="131" ht="16.5" customHeight="1">
      <c r="A131" s="5" t="str">
        <f>IFERROR(__xludf.DUMMYFUNCTION("""COMPUTED_VALUE"""),"SCOPUS-000402")</f>
        <v>SCOPUS-000402</v>
      </c>
      <c r="B131" s="13" t="str">
        <f>IFERROR(__xludf.DUMMYFUNCTION("""COMPUTED_VALUE"""),"Yes")</f>
        <v>Yes</v>
      </c>
      <c r="C131" s="13" t="str">
        <f>IFERROR(__xludf.DUMMYFUNCTION("""COMPUTED_VALUE"""),"Yes")</f>
        <v>Yes</v>
      </c>
      <c r="D131" s="13" t="str">
        <f>IFERROR(__xludf.DUMMYFUNCTION("""COMPUTED_VALUE"""),"Yes")</f>
        <v>Yes</v>
      </c>
      <c r="E131" s="13" t="str">
        <f>IFERROR(__xludf.DUMMYFUNCTION("""COMPUTED_VALUE"""),"Yes")</f>
        <v>Yes</v>
      </c>
      <c r="F131" s="13" t="str">
        <f>IFERROR(__xludf.DUMMYFUNCTION("""COMPUTED_VALUE"""),"Yes")</f>
        <v>Yes</v>
      </c>
      <c r="G131" s="13" t="str">
        <f>IFERROR(__xludf.DUMMYFUNCTION("""COMPUTED_VALUE"""),"Yes")</f>
        <v>Yes</v>
      </c>
      <c r="H131" s="13" t="str">
        <f>IFERROR(__xludf.DUMMYFUNCTION("""COMPUTED_VALUE"""),"Yes")</f>
        <v>Yes</v>
      </c>
      <c r="I131" s="13" t="str">
        <f>IFERROR(__xludf.DUMMYFUNCTION("""COMPUTED_VALUE"""),"Yes")</f>
        <v>Yes</v>
      </c>
      <c r="J131" s="13" t="str">
        <f>IFERROR(__xludf.DUMMYFUNCTION("""COMPUTED_VALUE"""),"Yes")</f>
        <v>Yes</v>
      </c>
      <c r="K131" s="13" t="str">
        <f>IFERROR(__xludf.DUMMYFUNCTION("""COMPUTED_VALUE"""),"Yes")</f>
        <v>Yes</v>
      </c>
      <c r="L131" s="13" t="str">
        <f>IFERROR(__xludf.DUMMYFUNCTION("""COMPUTED_VALUE"""),"Yes")</f>
        <v>Yes</v>
      </c>
      <c r="M131" s="13" t="str">
        <f>IFERROR(__xludf.DUMMYFUNCTION("""COMPUTED_VALUE"""),"Partial")</f>
        <v>Partial</v>
      </c>
      <c r="N131" s="13" t="str">
        <f>IFERROR(__xludf.DUMMYFUNCTION("""COMPUTED_VALUE"""),"Yes")</f>
        <v>Yes</v>
      </c>
      <c r="O131" s="13" t="str">
        <f>IFERROR(__xludf.DUMMYFUNCTION("""COMPUTED_VALUE"""),"Unclear")</f>
        <v>Unclear</v>
      </c>
      <c r="P131" s="13" t="str">
        <f>IFERROR(__xludf.DUMMYFUNCTION("""COMPUTED_VALUE"""),"Yes")</f>
        <v>Yes</v>
      </c>
      <c r="Q131" s="13" t="str">
        <f>IFERROR(__xludf.DUMMYFUNCTION("""COMPUTED_VALUE"""),"Yes")</f>
        <v>Yes</v>
      </c>
      <c r="R131" s="13" t="str">
        <f>IFERROR(__xludf.DUMMYFUNCTION("""COMPUTED_VALUE"""),"Unclear")</f>
        <v>Unclear</v>
      </c>
      <c r="S131" s="13" t="str">
        <f>IFERROR(__xludf.DUMMYFUNCTION("""COMPUTED_VALUE"""),"N/A")</f>
        <v>N/A</v>
      </c>
      <c r="T131" s="13" t="str">
        <f>IFERROR(__xludf.DUMMYFUNCTION("""COMPUTED_VALUE"""),"N/A")</f>
        <v>N/A</v>
      </c>
      <c r="U131" s="13" t="str">
        <f>IFERROR(__xludf.DUMMYFUNCTION("""COMPUTED_VALUE"""),"Some concerns")</f>
        <v>Some concerns</v>
      </c>
      <c r="V131" s="13" t="str">
        <f>IFERROR(__xludf.DUMMYFUNCTION("""COMPUTED_VALUE"""),"Some concerns")</f>
        <v>Some concerns</v>
      </c>
      <c r="W131" s="13" t="str">
        <f>IFERROR(__xludf.DUMMYFUNCTION("""COMPUTED_VALUE"""),"Some concerns")</f>
        <v>Some concerns</v>
      </c>
    </row>
    <row r="132" ht="16.5" customHeight="1">
      <c r="A132" s="5" t="str">
        <f>IFERROR(__xludf.DUMMYFUNCTION("""COMPUTED_VALUE"""),"SCOPUS-000415")</f>
        <v>SCOPUS-000415</v>
      </c>
      <c r="B132" s="13" t="str">
        <f>IFERROR(__xludf.DUMMYFUNCTION("""COMPUTED_VALUE"""),"Yes")</f>
        <v>Yes</v>
      </c>
      <c r="C132" s="13" t="str">
        <f>IFERROR(__xludf.DUMMYFUNCTION("""COMPUTED_VALUE"""),"Yes")</f>
        <v>Yes</v>
      </c>
      <c r="D132" s="13" t="str">
        <f>IFERROR(__xludf.DUMMYFUNCTION("""COMPUTED_VALUE"""),"Yes")</f>
        <v>Yes</v>
      </c>
      <c r="E132" s="13" t="str">
        <f>IFERROR(__xludf.DUMMYFUNCTION("""COMPUTED_VALUE"""),"Partial")</f>
        <v>Partial</v>
      </c>
      <c r="F132" s="13" t="str">
        <f>IFERROR(__xludf.DUMMYFUNCTION("""COMPUTED_VALUE"""),"Yes")</f>
        <v>Yes</v>
      </c>
      <c r="G132" s="13" t="str">
        <f>IFERROR(__xludf.DUMMYFUNCTION("""COMPUTED_VALUE"""),"Yes")</f>
        <v>Yes</v>
      </c>
      <c r="H132" s="13" t="str">
        <f>IFERROR(__xludf.DUMMYFUNCTION("""COMPUTED_VALUE"""),"Partial")</f>
        <v>Partial</v>
      </c>
      <c r="I132" s="13" t="str">
        <f>IFERROR(__xludf.DUMMYFUNCTION("""COMPUTED_VALUE"""),"No")</f>
        <v>No</v>
      </c>
      <c r="J132" s="13" t="str">
        <f>IFERROR(__xludf.DUMMYFUNCTION("""COMPUTED_VALUE"""),"Yes")</f>
        <v>Yes</v>
      </c>
      <c r="K132" s="13" t="str">
        <f>IFERROR(__xludf.DUMMYFUNCTION("""COMPUTED_VALUE"""),"Yes")</f>
        <v>Yes</v>
      </c>
      <c r="L132" s="13" t="str">
        <f>IFERROR(__xludf.DUMMYFUNCTION("""COMPUTED_VALUE"""),"Yes")</f>
        <v>Yes</v>
      </c>
      <c r="M132" s="13" t="str">
        <f>IFERROR(__xludf.DUMMYFUNCTION("""COMPUTED_VALUE"""),"Partial")</f>
        <v>Partial</v>
      </c>
      <c r="N132" s="13" t="str">
        <f>IFERROR(__xludf.DUMMYFUNCTION("""COMPUTED_VALUE"""),"Yes")</f>
        <v>Yes</v>
      </c>
      <c r="O132" s="13" t="str">
        <f>IFERROR(__xludf.DUMMYFUNCTION("""COMPUTED_VALUE"""),"Unclear")</f>
        <v>Unclear</v>
      </c>
      <c r="P132" s="13" t="str">
        <f>IFERROR(__xludf.DUMMYFUNCTION("""COMPUTED_VALUE"""),"Yes")</f>
        <v>Yes</v>
      </c>
      <c r="Q132" s="13" t="str">
        <f>IFERROR(__xludf.DUMMYFUNCTION("""COMPUTED_VALUE"""),"Yes")</f>
        <v>Yes</v>
      </c>
      <c r="R132" s="13" t="str">
        <f>IFERROR(__xludf.DUMMYFUNCTION("""COMPUTED_VALUE"""),"Unclear")</f>
        <v>Unclear</v>
      </c>
      <c r="S132" s="13" t="str">
        <f>IFERROR(__xludf.DUMMYFUNCTION("""COMPUTED_VALUE"""),"N/A")</f>
        <v>N/A</v>
      </c>
      <c r="T132" s="13" t="str">
        <f>IFERROR(__xludf.DUMMYFUNCTION("""COMPUTED_VALUE"""),"N/A")</f>
        <v>N/A</v>
      </c>
      <c r="U132" s="13" t="str">
        <f>IFERROR(__xludf.DUMMYFUNCTION("""COMPUTED_VALUE"""),"Some concerns")</f>
        <v>Some concerns</v>
      </c>
      <c r="V132" s="13" t="str">
        <f>IFERROR(__xludf.DUMMYFUNCTION("""COMPUTED_VALUE"""),"Some concerns")</f>
        <v>Some concerns</v>
      </c>
      <c r="W132" s="13" t="str">
        <f>IFERROR(__xludf.DUMMYFUNCTION("""COMPUTED_VALUE"""),"Some concerns")</f>
        <v>Some concerns</v>
      </c>
    </row>
    <row r="133" ht="16.5" customHeight="1">
      <c r="A133" s="5" t="str">
        <f>IFERROR(__xludf.DUMMYFUNCTION("""COMPUTED_VALUE"""),"SCOPUS-000421")</f>
        <v>SCOPUS-000421</v>
      </c>
      <c r="B133" s="13" t="str">
        <f>IFERROR(__xludf.DUMMYFUNCTION("""COMPUTED_VALUE"""),"Yes")</f>
        <v>Yes</v>
      </c>
      <c r="C133" s="13" t="str">
        <f>IFERROR(__xludf.DUMMYFUNCTION("""COMPUTED_VALUE"""),"Yes")</f>
        <v>Yes</v>
      </c>
      <c r="D133" s="13" t="str">
        <f>IFERROR(__xludf.DUMMYFUNCTION("""COMPUTED_VALUE"""),"Yes")</f>
        <v>Yes</v>
      </c>
      <c r="E133" s="13" t="str">
        <f>IFERROR(__xludf.DUMMYFUNCTION("""COMPUTED_VALUE"""),"Partial")</f>
        <v>Partial</v>
      </c>
      <c r="F133" s="13" t="str">
        <f>IFERROR(__xludf.DUMMYFUNCTION("""COMPUTED_VALUE"""),"Yes")</f>
        <v>Yes</v>
      </c>
      <c r="G133" s="13" t="str">
        <f>IFERROR(__xludf.DUMMYFUNCTION("""COMPUTED_VALUE"""),"Yes")</f>
        <v>Yes</v>
      </c>
      <c r="H133" s="13" t="str">
        <f>IFERROR(__xludf.DUMMYFUNCTION("""COMPUTED_VALUE"""),"Yes")</f>
        <v>Yes</v>
      </c>
      <c r="I133" s="13" t="str">
        <f>IFERROR(__xludf.DUMMYFUNCTION("""COMPUTED_VALUE"""),"No")</f>
        <v>No</v>
      </c>
      <c r="J133" s="13" t="str">
        <f>IFERROR(__xludf.DUMMYFUNCTION("""COMPUTED_VALUE"""),"Yes")</f>
        <v>Yes</v>
      </c>
      <c r="K133" s="13" t="str">
        <f>IFERROR(__xludf.DUMMYFUNCTION("""COMPUTED_VALUE"""),"Partial")</f>
        <v>Partial</v>
      </c>
      <c r="L133" s="13" t="str">
        <f>IFERROR(__xludf.DUMMYFUNCTION("""COMPUTED_VALUE"""),"Yes")</f>
        <v>Yes</v>
      </c>
      <c r="M133" s="13" t="str">
        <f>IFERROR(__xludf.DUMMYFUNCTION("""COMPUTED_VALUE"""),"Partial")</f>
        <v>Partial</v>
      </c>
      <c r="N133" s="13" t="str">
        <f>IFERROR(__xludf.DUMMYFUNCTION("""COMPUTED_VALUE"""),"Yes")</f>
        <v>Yes</v>
      </c>
      <c r="O133" s="13" t="str">
        <f>IFERROR(__xludf.DUMMYFUNCTION("""COMPUTED_VALUE"""),"Unclear")</f>
        <v>Unclear</v>
      </c>
      <c r="P133" s="13" t="str">
        <f>IFERROR(__xludf.DUMMYFUNCTION("""COMPUTED_VALUE"""),"Yes")</f>
        <v>Yes</v>
      </c>
      <c r="Q133" s="13" t="str">
        <f>IFERROR(__xludf.DUMMYFUNCTION("""COMPUTED_VALUE"""),"Yes")</f>
        <v>Yes</v>
      </c>
      <c r="R133" s="13" t="str">
        <f>IFERROR(__xludf.DUMMYFUNCTION("""COMPUTED_VALUE"""),"Unclear")</f>
        <v>Unclear</v>
      </c>
      <c r="S133" s="13" t="str">
        <f>IFERROR(__xludf.DUMMYFUNCTION("""COMPUTED_VALUE"""),"Yes")</f>
        <v>Yes</v>
      </c>
      <c r="T133" s="13" t="str">
        <f>IFERROR(__xludf.DUMMYFUNCTION("""COMPUTED_VALUE"""),"Partial")</f>
        <v>Partial</v>
      </c>
      <c r="U133" s="13" t="str">
        <f>IFERROR(__xludf.DUMMYFUNCTION("""COMPUTED_VALUE"""),"Some concerns")</f>
        <v>Some concerns</v>
      </c>
      <c r="V133" s="13" t="str">
        <f>IFERROR(__xludf.DUMMYFUNCTION("""COMPUTED_VALUE"""),"Some concerns")</f>
        <v>Some concerns</v>
      </c>
      <c r="W133" s="13" t="str">
        <f>IFERROR(__xludf.DUMMYFUNCTION("""COMPUTED_VALUE"""),"Some concerns")</f>
        <v>Some concerns</v>
      </c>
    </row>
    <row r="134" ht="16.5" customHeight="1">
      <c r="A134" s="5" t="str">
        <f>IFERROR(__xludf.DUMMYFUNCTION("""COMPUTED_VALUE"""),"SCOPUS-000429")</f>
        <v>SCOPUS-000429</v>
      </c>
      <c r="B134" s="13" t="str">
        <f>IFERROR(__xludf.DUMMYFUNCTION("""COMPUTED_VALUE"""),"Yes")</f>
        <v>Yes</v>
      </c>
      <c r="C134" s="13" t="str">
        <f>IFERROR(__xludf.DUMMYFUNCTION("""COMPUTED_VALUE"""),"Yes")</f>
        <v>Yes</v>
      </c>
      <c r="D134" s="13" t="str">
        <f>IFERROR(__xludf.DUMMYFUNCTION("""COMPUTED_VALUE"""),"Partial")</f>
        <v>Partial</v>
      </c>
      <c r="E134" s="13" t="str">
        <f>IFERROR(__xludf.DUMMYFUNCTION("""COMPUTED_VALUE"""),"Partial")</f>
        <v>Partial</v>
      </c>
      <c r="F134" s="13" t="str">
        <f>IFERROR(__xludf.DUMMYFUNCTION("""COMPUTED_VALUE"""),"Yes")</f>
        <v>Yes</v>
      </c>
      <c r="G134" s="13" t="str">
        <f>IFERROR(__xludf.DUMMYFUNCTION("""COMPUTED_VALUE"""),"Yes")</f>
        <v>Yes</v>
      </c>
      <c r="H134" s="13" t="str">
        <f>IFERROR(__xludf.DUMMYFUNCTION("""COMPUTED_VALUE"""),"Partial")</f>
        <v>Partial</v>
      </c>
      <c r="I134" s="13" t="str">
        <f>IFERROR(__xludf.DUMMYFUNCTION("""COMPUTED_VALUE"""),"No")</f>
        <v>No</v>
      </c>
      <c r="J134" s="13" t="str">
        <f>IFERROR(__xludf.DUMMYFUNCTION("""COMPUTED_VALUE"""),"Yes")</f>
        <v>Yes</v>
      </c>
      <c r="K134" s="13" t="str">
        <f>IFERROR(__xludf.DUMMYFUNCTION("""COMPUTED_VALUE"""),"Partial")</f>
        <v>Partial</v>
      </c>
      <c r="L134" s="13" t="str">
        <f>IFERROR(__xludf.DUMMYFUNCTION("""COMPUTED_VALUE"""),"Yes")</f>
        <v>Yes</v>
      </c>
      <c r="M134" s="13" t="str">
        <f>IFERROR(__xludf.DUMMYFUNCTION("""COMPUTED_VALUE"""),"Partial")</f>
        <v>Partial</v>
      </c>
      <c r="N134" s="13" t="str">
        <f>IFERROR(__xludf.DUMMYFUNCTION("""COMPUTED_VALUE"""),"Partial")</f>
        <v>Partial</v>
      </c>
      <c r="O134" s="13" t="str">
        <f>IFERROR(__xludf.DUMMYFUNCTION("""COMPUTED_VALUE"""),"Unclear")</f>
        <v>Unclear</v>
      </c>
      <c r="P134" s="13" t="str">
        <f>IFERROR(__xludf.DUMMYFUNCTION("""COMPUTED_VALUE"""),"Yes")</f>
        <v>Yes</v>
      </c>
      <c r="Q134" s="13" t="str">
        <f>IFERROR(__xludf.DUMMYFUNCTION("""COMPUTED_VALUE"""),"Yes")</f>
        <v>Yes</v>
      </c>
      <c r="R134" s="13" t="str">
        <f>IFERROR(__xludf.DUMMYFUNCTION("""COMPUTED_VALUE"""),"Unclear")</f>
        <v>Unclear</v>
      </c>
      <c r="S134" s="13" t="str">
        <f>IFERROR(__xludf.DUMMYFUNCTION("""COMPUTED_VALUE"""),"N/A")</f>
        <v>N/A</v>
      </c>
      <c r="T134" s="13" t="str">
        <f>IFERROR(__xludf.DUMMYFUNCTION("""COMPUTED_VALUE"""),"N/A")</f>
        <v>N/A</v>
      </c>
      <c r="U134" s="13" t="str">
        <f>IFERROR(__xludf.DUMMYFUNCTION("""COMPUTED_VALUE"""),"Some concerns")</f>
        <v>Some concerns</v>
      </c>
      <c r="V134" s="13" t="str">
        <f>IFERROR(__xludf.DUMMYFUNCTION("""COMPUTED_VALUE"""),"Some concerns")</f>
        <v>Some concerns</v>
      </c>
      <c r="W134" s="13" t="str">
        <f>IFERROR(__xludf.DUMMYFUNCTION("""COMPUTED_VALUE"""),"Some concerns")</f>
        <v>Some concerns</v>
      </c>
    </row>
    <row r="135" ht="16.5" customHeight="1">
      <c r="A135" s="5" t="str">
        <f>IFERROR(__xludf.DUMMYFUNCTION("""COMPUTED_VALUE"""),"SCOPUS-000441")</f>
        <v>SCOPUS-000441</v>
      </c>
      <c r="B135" s="13" t="str">
        <f>IFERROR(__xludf.DUMMYFUNCTION("""COMPUTED_VALUE"""),"Yes")</f>
        <v>Yes</v>
      </c>
      <c r="C135" s="13" t="str">
        <f>IFERROR(__xludf.DUMMYFUNCTION("""COMPUTED_VALUE"""),"Yes")</f>
        <v>Yes</v>
      </c>
      <c r="D135" s="13" t="str">
        <f>IFERROR(__xludf.DUMMYFUNCTION("""COMPUTED_VALUE"""),"Yes")</f>
        <v>Yes</v>
      </c>
      <c r="E135" s="13" t="str">
        <f>IFERROR(__xludf.DUMMYFUNCTION("""COMPUTED_VALUE"""),"Yes")</f>
        <v>Yes</v>
      </c>
      <c r="F135" s="13" t="str">
        <f>IFERROR(__xludf.DUMMYFUNCTION("""COMPUTED_VALUE"""),"Yes")</f>
        <v>Yes</v>
      </c>
      <c r="G135" s="13" t="str">
        <f>IFERROR(__xludf.DUMMYFUNCTION("""COMPUTED_VALUE"""),"Yes")</f>
        <v>Yes</v>
      </c>
      <c r="H135" s="13" t="str">
        <f>IFERROR(__xludf.DUMMYFUNCTION("""COMPUTED_VALUE"""),"Yes")</f>
        <v>Yes</v>
      </c>
      <c r="I135" s="13" t="str">
        <f>IFERROR(__xludf.DUMMYFUNCTION("""COMPUTED_VALUE"""),"No")</f>
        <v>No</v>
      </c>
      <c r="J135" s="13" t="str">
        <f>IFERROR(__xludf.DUMMYFUNCTION("""COMPUTED_VALUE"""),"Yes")</f>
        <v>Yes</v>
      </c>
      <c r="K135" s="13" t="str">
        <f>IFERROR(__xludf.DUMMYFUNCTION("""COMPUTED_VALUE"""),"Yes")</f>
        <v>Yes</v>
      </c>
      <c r="L135" s="13" t="str">
        <f>IFERROR(__xludf.DUMMYFUNCTION("""COMPUTED_VALUE"""),"Yes")</f>
        <v>Yes</v>
      </c>
      <c r="M135" s="13" t="str">
        <f>IFERROR(__xludf.DUMMYFUNCTION("""COMPUTED_VALUE"""),"Partial")</f>
        <v>Partial</v>
      </c>
      <c r="N135" s="13" t="str">
        <f>IFERROR(__xludf.DUMMYFUNCTION("""COMPUTED_VALUE"""),"Partial")</f>
        <v>Partial</v>
      </c>
      <c r="O135" s="13" t="str">
        <f>IFERROR(__xludf.DUMMYFUNCTION("""COMPUTED_VALUE"""),"Unclear")</f>
        <v>Unclear</v>
      </c>
      <c r="P135" s="13" t="str">
        <f>IFERROR(__xludf.DUMMYFUNCTION("""COMPUTED_VALUE"""),"Yes")</f>
        <v>Yes</v>
      </c>
      <c r="Q135" s="13" t="str">
        <f>IFERROR(__xludf.DUMMYFUNCTION("""COMPUTED_VALUE"""),"Partial")</f>
        <v>Partial</v>
      </c>
      <c r="R135" s="13" t="str">
        <f>IFERROR(__xludf.DUMMYFUNCTION("""COMPUTED_VALUE"""),"Unclear")</f>
        <v>Unclear</v>
      </c>
      <c r="S135" s="13" t="str">
        <f>IFERROR(__xludf.DUMMYFUNCTION("""COMPUTED_VALUE"""),"N/A")</f>
        <v>N/A</v>
      </c>
      <c r="T135" s="13" t="str">
        <f>IFERROR(__xludf.DUMMYFUNCTION("""COMPUTED_VALUE"""),"N/A")</f>
        <v>N/A</v>
      </c>
      <c r="U135" s="13" t="str">
        <f>IFERROR(__xludf.DUMMYFUNCTION("""COMPUTED_VALUE"""),"Some concerns")</f>
        <v>Some concerns</v>
      </c>
      <c r="V135" s="13" t="str">
        <f>IFERROR(__xludf.DUMMYFUNCTION("""COMPUTED_VALUE"""),"Some concerns")</f>
        <v>Some concerns</v>
      </c>
      <c r="W135" s="13" t="str">
        <f>IFERROR(__xludf.DUMMYFUNCTION("""COMPUTED_VALUE"""),"Some concerns")</f>
        <v>Some concerns</v>
      </c>
    </row>
    <row r="136" ht="16.5" customHeight="1">
      <c r="A136" s="5" t="str">
        <f>IFERROR(__xludf.DUMMYFUNCTION("""COMPUTED_VALUE"""),"SCOPUS-000454")</f>
        <v>SCOPUS-000454</v>
      </c>
      <c r="B136" s="13" t="str">
        <f>IFERROR(__xludf.DUMMYFUNCTION("""COMPUTED_VALUE"""),"Yes")</f>
        <v>Yes</v>
      </c>
      <c r="C136" s="13" t="str">
        <f>IFERROR(__xludf.DUMMYFUNCTION("""COMPUTED_VALUE"""),"Yes")</f>
        <v>Yes</v>
      </c>
      <c r="D136" s="13" t="str">
        <f>IFERROR(__xludf.DUMMYFUNCTION("""COMPUTED_VALUE"""),"Yes")</f>
        <v>Yes</v>
      </c>
      <c r="E136" s="13" t="str">
        <f>IFERROR(__xludf.DUMMYFUNCTION("""COMPUTED_VALUE"""),"Yes")</f>
        <v>Yes</v>
      </c>
      <c r="F136" s="13" t="str">
        <f>IFERROR(__xludf.DUMMYFUNCTION("""COMPUTED_VALUE"""),"Yes")</f>
        <v>Yes</v>
      </c>
      <c r="G136" s="13" t="str">
        <f>IFERROR(__xludf.DUMMYFUNCTION("""COMPUTED_VALUE"""),"Yes")</f>
        <v>Yes</v>
      </c>
      <c r="H136" s="13" t="str">
        <f>IFERROR(__xludf.DUMMYFUNCTION("""COMPUTED_VALUE"""),"Yes")</f>
        <v>Yes</v>
      </c>
      <c r="I136" s="13" t="str">
        <f>IFERROR(__xludf.DUMMYFUNCTION("""COMPUTED_VALUE"""),"Yes")</f>
        <v>Yes</v>
      </c>
      <c r="J136" s="13" t="str">
        <f>IFERROR(__xludf.DUMMYFUNCTION("""COMPUTED_VALUE"""),"Yes")</f>
        <v>Yes</v>
      </c>
      <c r="K136" s="13" t="str">
        <f>IFERROR(__xludf.DUMMYFUNCTION("""COMPUTED_VALUE"""),"Yes")</f>
        <v>Yes</v>
      </c>
      <c r="L136" s="13" t="str">
        <f>IFERROR(__xludf.DUMMYFUNCTION("""COMPUTED_VALUE"""),"Yes")</f>
        <v>Yes</v>
      </c>
      <c r="M136" s="13" t="str">
        <f>IFERROR(__xludf.DUMMYFUNCTION("""COMPUTED_VALUE"""),"Partial")</f>
        <v>Partial</v>
      </c>
      <c r="N136" s="13" t="str">
        <f>IFERROR(__xludf.DUMMYFUNCTION("""COMPUTED_VALUE"""),"Yes")</f>
        <v>Yes</v>
      </c>
      <c r="O136" s="13" t="str">
        <f>IFERROR(__xludf.DUMMYFUNCTION("""COMPUTED_VALUE"""),"Unclear")</f>
        <v>Unclear</v>
      </c>
      <c r="P136" s="13" t="str">
        <f>IFERROR(__xludf.DUMMYFUNCTION("""COMPUTED_VALUE"""),"Yes")</f>
        <v>Yes</v>
      </c>
      <c r="Q136" s="13" t="str">
        <f>IFERROR(__xludf.DUMMYFUNCTION("""COMPUTED_VALUE"""),"Yes")</f>
        <v>Yes</v>
      </c>
      <c r="R136" s="13" t="str">
        <f>IFERROR(__xludf.DUMMYFUNCTION("""COMPUTED_VALUE"""),"Unclear")</f>
        <v>Unclear</v>
      </c>
      <c r="S136" s="13" t="str">
        <f>IFERROR(__xludf.DUMMYFUNCTION("""COMPUTED_VALUE"""),"Yes")</f>
        <v>Yes</v>
      </c>
      <c r="T136" s="13" t="str">
        <f>IFERROR(__xludf.DUMMYFUNCTION("""COMPUTED_VALUE"""),"Yes")</f>
        <v>Yes</v>
      </c>
      <c r="U136" s="13" t="str">
        <f>IFERROR(__xludf.DUMMYFUNCTION("""COMPUTED_VALUE"""),"Some concerns")</f>
        <v>Some concerns</v>
      </c>
      <c r="V136" s="13" t="str">
        <f>IFERROR(__xludf.DUMMYFUNCTION("""COMPUTED_VALUE"""),"Some concerns")</f>
        <v>Some concerns</v>
      </c>
      <c r="W136" s="13" t="str">
        <f>IFERROR(__xludf.DUMMYFUNCTION("""COMPUTED_VALUE"""),"Some concerns")</f>
        <v>Some concerns</v>
      </c>
    </row>
    <row r="137" ht="16.5" customHeight="1">
      <c r="A137" s="5" t="str">
        <f>IFERROR(__xludf.DUMMYFUNCTION("""COMPUTED_VALUE"""),"SCOPUS-000459")</f>
        <v>SCOPUS-000459</v>
      </c>
      <c r="B137" s="13" t="str">
        <f>IFERROR(__xludf.DUMMYFUNCTION("""COMPUTED_VALUE"""),"Yes")</f>
        <v>Yes</v>
      </c>
      <c r="C137" s="13" t="str">
        <f>IFERROR(__xludf.DUMMYFUNCTION("""COMPUTED_VALUE"""),"Partial")</f>
        <v>Partial</v>
      </c>
      <c r="D137" s="13" t="str">
        <f>IFERROR(__xludf.DUMMYFUNCTION("""COMPUTED_VALUE"""),"Yes")</f>
        <v>Yes</v>
      </c>
      <c r="E137" s="13" t="str">
        <f>IFERROR(__xludf.DUMMYFUNCTION("""COMPUTED_VALUE"""),"Partial")</f>
        <v>Partial</v>
      </c>
      <c r="F137" s="13" t="str">
        <f>IFERROR(__xludf.DUMMYFUNCTION("""COMPUTED_VALUE"""),"Yes")</f>
        <v>Yes</v>
      </c>
      <c r="G137" s="13" t="str">
        <f>IFERROR(__xludf.DUMMYFUNCTION("""COMPUTED_VALUE"""),"Yes")</f>
        <v>Yes</v>
      </c>
      <c r="H137" s="13" t="str">
        <f>IFERROR(__xludf.DUMMYFUNCTION("""COMPUTED_VALUE"""),"Yes")</f>
        <v>Yes</v>
      </c>
      <c r="I137" s="13" t="str">
        <f>IFERROR(__xludf.DUMMYFUNCTION("""COMPUTED_VALUE"""),"No")</f>
        <v>No</v>
      </c>
      <c r="J137" s="13" t="str">
        <f>IFERROR(__xludf.DUMMYFUNCTION("""COMPUTED_VALUE"""),"Yes")</f>
        <v>Yes</v>
      </c>
      <c r="K137" s="13" t="str">
        <f>IFERROR(__xludf.DUMMYFUNCTION("""COMPUTED_VALUE"""),"Partial")</f>
        <v>Partial</v>
      </c>
      <c r="L137" s="13" t="str">
        <f>IFERROR(__xludf.DUMMYFUNCTION("""COMPUTED_VALUE"""),"Yes")</f>
        <v>Yes</v>
      </c>
      <c r="M137" s="13" t="str">
        <f>IFERROR(__xludf.DUMMYFUNCTION("""COMPUTED_VALUE"""),"Partial")</f>
        <v>Partial</v>
      </c>
      <c r="N137" s="13" t="str">
        <f>IFERROR(__xludf.DUMMYFUNCTION("""COMPUTED_VALUE"""),"Partial")</f>
        <v>Partial</v>
      </c>
      <c r="O137" s="13" t="str">
        <f>IFERROR(__xludf.DUMMYFUNCTION("""COMPUTED_VALUE"""),"Unclear")</f>
        <v>Unclear</v>
      </c>
      <c r="P137" s="13" t="str">
        <f>IFERROR(__xludf.DUMMYFUNCTION("""COMPUTED_VALUE"""),"Yes")</f>
        <v>Yes</v>
      </c>
      <c r="Q137" s="13" t="str">
        <f>IFERROR(__xludf.DUMMYFUNCTION("""COMPUTED_VALUE"""),"Partial")</f>
        <v>Partial</v>
      </c>
      <c r="R137" s="13" t="str">
        <f>IFERROR(__xludf.DUMMYFUNCTION("""COMPUTED_VALUE"""),"Unclear")</f>
        <v>Unclear</v>
      </c>
      <c r="S137" s="13" t="str">
        <f>IFERROR(__xludf.DUMMYFUNCTION("""COMPUTED_VALUE"""),"N/A")</f>
        <v>N/A</v>
      </c>
      <c r="T137" s="13" t="str">
        <f>IFERROR(__xludf.DUMMYFUNCTION("""COMPUTED_VALUE"""),"N/A")</f>
        <v>N/A</v>
      </c>
      <c r="U137" s="13" t="str">
        <f>IFERROR(__xludf.DUMMYFUNCTION("""COMPUTED_VALUE"""),"Some concerns")</f>
        <v>Some concerns</v>
      </c>
      <c r="V137" s="13" t="str">
        <f>IFERROR(__xludf.DUMMYFUNCTION("""COMPUTED_VALUE"""),"Some concerns")</f>
        <v>Some concerns</v>
      </c>
      <c r="W137" s="13" t="str">
        <f>IFERROR(__xludf.DUMMYFUNCTION("""COMPUTED_VALUE"""),"Some concerns")</f>
        <v>Some concerns</v>
      </c>
    </row>
    <row r="138" ht="16.5" customHeight="1">
      <c r="A138" s="5" t="str">
        <f>IFERROR(__xludf.DUMMYFUNCTION("""COMPUTED_VALUE"""),"SCOPUS-000471")</f>
        <v>SCOPUS-000471</v>
      </c>
      <c r="B138" s="13" t="str">
        <f>IFERROR(__xludf.DUMMYFUNCTION("""COMPUTED_VALUE"""),"Yes")</f>
        <v>Yes</v>
      </c>
      <c r="C138" s="13" t="str">
        <f>IFERROR(__xludf.DUMMYFUNCTION("""COMPUTED_VALUE"""),"Partial")</f>
        <v>Partial</v>
      </c>
      <c r="D138" s="13" t="str">
        <f>IFERROR(__xludf.DUMMYFUNCTION("""COMPUTED_VALUE"""),"Partial")</f>
        <v>Partial</v>
      </c>
      <c r="E138" s="13" t="str">
        <f>IFERROR(__xludf.DUMMYFUNCTION("""COMPUTED_VALUE"""),"Partial")</f>
        <v>Partial</v>
      </c>
      <c r="F138" s="13" t="str">
        <f>IFERROR(__xludf.DUMMYFUNCTION("""COMPUTED_VALUE"""),"Yes")</f>
        <v>Yes</v>
      </c>
      <c r="G138" s="13" t="str">
        <f>IFERROR(__xludf.DUMMYFUNCTION("""COMPUTED_VALUE"""),"Partial")</f>
        <v>Partial</v>
      </c>
      <c r="H138" s="13" t="str">
        <f>IFERROR(__xludf.DUMMYFUNCTION("""COMPUTED_VALUE"""),"Partial")</f>
        <v>Partial</v>
      </c>
      <c r="I138" s="13" t="str">
        <f>IFERROR(__xludf.DUMMYFUNCTION("""COMPUTED_VALUE"""),"No")</f>
        <v>No</v>
      </c>
      <c r="J138" s="13" t="str">
        <f>IFERROR(__xludf.DUMMYFUNCTION("""COMPUTED_VALUE"""),"Partial")</f>
        <v>Partial</v>
      </c>
      <c r="K138" s="13" t="str">
        <f>IFERROR(__xludf.DUMMYFUNCTION("""COMPUTED_VALUE"""),"Yes")</f>
        <v>Yes</v>
      </c>
      <c r="L138" s="13" t="str">
        <f>IFERROR(__xludf.DUMMYFUNCTION("""COMPUTED_VALUE"""),"Yes")</f>
        <v>Yes</v>
      </c>
      <c r="M138" s="13" t="str">
        <f>IFERROR(__xludf.DUMMYFUNCTION("""COMPUTED_VALUE"""),"Partial")</f>
        <v>Partial</v>
      </c>
      <c r="N138" s="13" t="str">
        <f>IFERROR(__xludf.DUMMYFUNCTION("""COMPUTED_VALUE"""),"No")</f>
        <v>No</v>
      </c>
      <c r="O138" s="13" t="str">
        <f>IFERROR(__xludf.DUMMYFUNCTION("""COMPUTED_VALUE"""),"Unclear")</f>
        <v>Unclear</v>
      </c>
      <c r="P138" s="13" t="str">
        <f>IFERROR(__xludf.DUMMYFUNCTION("""COMPUTED_VALUE"""),"Yes")</f>
        <v>Yes</v>
      </c>
      <c r="Q138" s="13" t="str">
        <f>IFERROR(__xludf.DUMMYFUNCTION("""COMPUTED_VALUE"""),"Partial")</f>
        <v>Partial</v>
      </c>
      <c r="R138" s="13" t="str">
        <f>IFERROR(__xludf.DUMMYFUNCTION("""COMPUTED_VALUE"""),"Unclear")</f>
        <v>Unclear</v>
      </c>
      <c r="S138" s="13" t="str">
        <f>IFERROR(__xludf.DUMMYFUNCTION("""COMPUTED_VALUE"""),"Yes")</f>
        <v>Yes</v>
      </c>
      <c r="T138" s="13" t="str">
        <f>IFERROR(__xludf.DUMMYFUNCTION("""COMPUTED_VALUE"""),"Partial")</f>
        <v>Partial</v>
      </c>
      <c r="U138" s="13" t="str">
        <f>IFERROR(__xludf.DUMMYFUNCTION("""COMPUTED_VALUE"""),"High")</f>
        <v>High</v>
      </c>
      <c r="V138" s="13" t="str">
        <f>IFERROR(__xludf.DUMMYFUNCTION("""COMPUTED_VALUE"""),"High")</f>
        <v>High</v>
      </c>
      <c r="W138" s="13" t="str">
        <f>IFERROR(__xludf.DUMMYFUNCTION("""COMPUTED_VALUE"""),"High")</f>
        <v>High</v>
      </c>
    </row>
    <row r="139" ht="16.5" customHeight="1">
      <c r="A139" s="5" t="str">
        <f>IFERROR(__xludf.DUMMYFUNCTION("""COMPUTED_VALUE"""),"SCOPUS-000480")</f>
        <v>SCOPUS-000480</v>
      </c>
      <c r="B139" s="13" t="str">
        <f>IFERROR(__xludf.DUMMYFUNCTION("""COMPUTED_VALUE"""),"Yes")</f>
        <v>Yes</v>
      </c>
      <c r="C139" s="13" t="str">
        <f>IFERROR(__xludf.DUMMYFUNCTION("""COMPUTED_VALUE"""),"Yes")</f>
        <v>Yes</v>
      </c>
      <c r="D139" s="13" t="str">
        <f>IFERROR(__xludf.DUMMYFUNCTION("""COMPUTED_VALUE"""),"Yes")</f>
        <v>Yes</v>
      </c>
      <c r="E139" s="13" t="str">
        <f>IFERROR(__xludf.DUMMYFUNCTION("""COMPUTED_VALUE"""),"Yes")</f>
        <v>Yes</v>
      </c>
      <c r="F139" s="13" t="str">
        <f>IFERROR(__xludf.DUMMYFUNCTION("""COMPUTED_VALUE"""),"Yes")</f>
        <v>Yes</v>
      </c>
      <c r="G139" s="13" t="str">
        <f>IFERROR(__xludf.DUMMYFUNCTION("""COMPUTED_VALUE"""),"Yes")</f>
        <v>Yes</v>
      </c>
      <c r="H139" s="13" t="str">
        <f>IFERROR(__xludf.DUMMYFUNCTION("""COMPUTED_VALUE"""),"Yes")</f>
        <v>Yes</v>
      </c>
      <c r="I139" s="13" t="str">
        <f>IFERROR(__xludf.DUMMYFUNCTION("""COMPUTED_VALUE"""),"No")</f>
        <v>No</v>
      </c>
      <c r="J139" s="13" t="str">
        <f>IFERROR(__xludf.DUMMYFUNCTION("""COMPUTED_VALUE"""),"Yes")</f>
        <v>Yes</v>
      </c>
      <c r="K139" s="13" t="str">
        <f>IFERROR(__xludf.DUMMYFUNCTION("""COMPUTED_VALUE"""),"Yes")</f>
        <v>Yes</v>
      </c>
      <c r="L139" s="13" t="str">
        <f>IFERROR(__xludf.DUMMYFUNCTION("""COMPUTED_VALUE"""),"Yes")</f>
        <v>Yes</v>
      </c>
      <c r="M139" s="13" t="str">
        <f>IFERROR(__xludf.DUMMYFUNCTION("""COMPUTED_VALUE"""),"Yes")</f>
        <v>Yes</v>
      </c>
      <c r="N139" s="13" t="str">
        <f>IFERROR(__xludf.DUMMYFUNCTION("""COMPUTED_VALUE"""),"Yes")</f>
        <v>Yes</v>
      </c>
      <c r="O139" s="13" t="str">
        <f>IFERROR(__xludf.DUMMYFUNCTION("""COMPUTED_VALUE"""),"Unclear")</f>
        <v>Unclear</v>
      </c>
      <c r="P139" s="13" t="str">
        <f>IFERROR(__xludf.DUMMYFUNCTION("""COMPUTED_VALUE"""),"Yes")</f>
        <v>Yes</v>
      </c>
      <c r="Q139" s="13" t="str">
        <f>IFERROR(__xludf.DUMMYFUNCTION("""COMPUTED_VALUE"""),"Yes")</f>
        <v>Yes</v>
      </c>
      <c r="R139" s="13" t="str">
        <f>IFERROR(__xludf.DUMMYFUNCTION("""COMPUTED_VALUE"""),"Unclear")</f>
        <v>Unclear</v>
      </c>
      <c r="S139" s="13" t="str">
        <f>IFERROR(__xludf.DUMMYFUNCTION("""COMPUTED_VALUE"""),"N/A")</f>
        <v>N/A</v>
      </c>
      <c r="T139" s="13" t="str">
        <f>IFERROR(__xludf.DUMMYFUNCTION("""COMPUTED_VALUE"""),"N/A")</f>
        <v>N/A</v>
      </c>
      <c r="U139" s="13" t="str">
        <f>IFERROR(__xludf.DUMMYFUNCTION("""COMPUTED_VALUE"""),"Some concerns")</f>
        <v>Some concerns</v>
      </c>
      <c r="V139" s="13" t="str">
        <f>IFERROR(__xludf.DUMMYFUNCTION("""COMPUTED_VALUE"""),"Some concerns")</f>
        <v>Some concerns</v>
      </c>
      <c r="W139" s="13" t="str">
        <f>IFERROR(__xludf.DUMMYFUNCTION("""COMPUTED_VALUE"""),"Some concerns")</f>
        <v>Some concerns</v>
      </c>
    </row>
    <row r="140" ht="16.5" customHeight="1">
      <c r="A140" s="5" t="str">
        <f>IFERROR(__xludf.DUMMYFUNCTION("""COMPUTED_VALUE"""),"SCOPUS-000492")</f>
        <v>SCOPUS-000492</v>
      </c>
      <c r="B140" s="13" t="str">
        <f>IFERROR(__xludf.DUMMYFUNCTION("""COMPUTED_VALUE"""),"Yes")</f>
        <v>Yes</v>
      </c>
      <c r="C140" s="13" t="str">
        <f>IFERROR(__xludf.DUMMYFUNCTION("""COMPUTED_VALUE"""),"Yes")</f>
        <v>Yes</v>
      </c>
      <c r="D140" s="13" t="str">
        <f>IFERROR(__xludf.DUMMYFUNCTION("""COMPUTED_VALUE"""),"Yes")</f>
        <v>Yes</v>
      </c>
      <c r="E140" s="13" t="str">
        <f>IFERROR(__xludf.DUMMYFUNCTION("""COMPUTED_VALUE"""),"Yes")</f>
        <v>Yes</v>
      </c>
      <c r="F140" s="13" t="str">
        <f>IFERROR(__xludf.DUMMYFUNCTION("""COMPUTED_VALUE"""),"Yes")</f>
        <v>Yes</v>
      </c>
      <c r="G140" s="13" t="str">
        <f>IFERROR(__xludf.DUMMYFUNCTION("""COMPUTED_VALUE"""),"Yes")</f>
        <v>Yes</v>
      </c>
      <c r="H140" s="13" t="str">
        <f>IFERROR(__xludf.DUMMYFUNCTION("""COMPUTED_VALUE"""),"Yes")</f>
        <v>Yes</v>
      </c>
      <c r="I140" s="13" t="str">
        <f>IFERROR(__xludf.DUMMYFUNCTION("""COMPUTED_VALUE"""),"Partial")</f>
        <v>Partial</v>
      </c>
      <c r="J140" s="13" t="str">
        <f>IFERROR(__xludf.DUMMYFUNCTION("""COMPUTED_VALUE"""),"Partial")</f>
        <v>Partial</v>
      </c>
      <c r="K140" s="13" t="str">
        <f>IFERROR(__xludf.DUMMYFUNCTION("""COMPUTED_VALUE"""),"Yes")</f>
        <v>Yes</v>
      </c>
      <c r="L140" s="13" t="str">
        <f>IFERROR(__xludf.DUMMYFUNCTION("""COMPUTED_VALUE"""),"Yes")</f>
        <v>Yes</v>
      </c>
      <c r="M140" s="13" t="str">
        <f>IFERROR(__xludf.DUMMYFUNCTION("""COMPUTED_VALUE"""),"Partial")</f>
        <v>Partial</v>
      </c>
      <c r="N140" s="13" t="str">
        <f>IFERROR(__xludf.DUMMYFUNCTION("""COMPUTED_VALUE"""),"Yes")</f>
        <v>Yes</v>
      </c>
      <c r="O140" s="13" t="str">
        <f>IFERROR(__xludf.DUMMYFUNCTION("""COMPUTED_VALUE"""),"Unclear")</f>
        <v>Unclear</v>
      </c>
      <c r="P140" s="13" t="str">
        <f>IFERROR(__xludf.DUMMYFUNCTION("""COMPUTED_VALUE"""),"Yes")</f>
        <v>Yes</v>
      </c>
      <c r="Q140" s="13" t="str">
        <f>IFERROR(__xludf.DUMMYFUNCTION("""COMPUTED_VALUE"""),"Yes")</f>
        <v>Yes</v>
      </c>
      <c r="R140" s="13" t="str">
        <f>IFERROR(__xludf.DUMMYFUNCTION("""COMPUTED_VALUE"""),"Unclear")</f>
        <v>Unclear</v>
      </c>
      <c r="S140" s="13" t="str">
        <f>IFERROR(__xludf.DUMMYFUNCTION("""COMPUTED_VALUE"""),"Yes")</f>
        <v>Yes</v>
      </c>
      <c r="T140" s="13" t="str">
        <f>IFERROR(__xludf.DUMMYFUNCTION("""COMPUTED_VALUE"""),"Yes")</f>
        <v>Yes</v>
      </c>
      <c r="U140" s="13" t="str">
        <f>IFERROR(__xludf.DUMMYFUNCTION("""COMPUTED_VALUE"""),"Some concerns")</f>
        <v>Some concerns</v>
      </c>
      <c r="V140" s="13" t="str">
        <f>IFERROR(__xludf.DUMMYFUNCTION("""COMPUTED_VALUE"""),"Some concerns")</f>
        <v>Some concerns</v>
      </c>
      <c r="W140" s="13" t="str">
        <f>IFERROR(__xludf.DUMMYFUNCTION("""COMPUTED_VALUE"""),"Some concerns")</f>
        <v>Some concerns</v>
      </c>
    </row>
    <row r="141" ht="16.5" customHeight="1">
      <c r="A141" s="5" t="str">
        <f>IFERROR(__xludf.DUMMYFUNCTION("""COMPUTED_VALUE"""),"SCOPUS-000493")</f>
        <v>SCOPUS-000493</v>
      </c>
      <c r="B141" s="13" t="str">
        <f>IFERROR(__xludf.DUMMYFUNCTION("""COMPUTED_VALUE"""),"Yes")</f>
        <v>Yes</v>
      </c>
      <c r="C141" s="13" t="str">
        <f>IFERROR(__xludf.DUMMYFUNCTION("""COMPUTED_VALUE"""),"Yes")</f>
        <v>Yes</v>
      </c>
      <c r="D141" s="13" t="str">
        <f>IFERROR(__xludf.DUMMYFUNCTION("""COMPUTED_VALUE"""),"Yes")</f>
        <v>Yes</v>
      </c>
      <c r="E141" s="13" t="str">
        <f>IFERROR(__xludf.DUMMYFUNCTION("""COMPUTED_VALUE"""),"Yes")</f>
        <v>Yes</v>
      </c>
      <c r="F141" s="13" t="str">
        <f>IFERROR(__xludf.DUMMYFUNCTION("""COMPUTED_VALUE"""),"Yes")</f>
        <v>Yes</v>
      </c>
      <c r="G141" s="13" t="str">
        <f>IFERROR(__xludf.DUMMYFUNCTION("""COMPUTED_VALUE"""),"Yes")</f>
        <v>Yes</v>
      </c>
      <c r="H141" s="13" t="str">
        <f>IFERROR(__xludf.DUMMYFUNCTION("""COMPUTED_VALUE"""),"Yes")</f>
        <v>Yes</v>
      </c>
      <c r="I141" s="13" t="str">
        <f>IFERROR(__xludf.DUMMYFUNCTION("""COMPUTED_VALUE"""),"No")</f>
        <v>No</v>
      </c>
      <c r="J141" s="13" t="str">
        <f>IFERROR(__xludf.DUMMYFUNCTION("""COMPUTED_VALUE"""),"Yes")</f>
        <v>Yes</v>
      </c>
      <c r="K141" s="13" t="str">
        <f>IFERROR(__xludf.DUMMYFUNCTION("""COMPUTED_VALUE"""),"Yes")</f>
        <v>Yes</v>
      </c>
      <c r="L141" s="13" t="str">
        <f>IFERROR(__xludf.DUMMYFUNCTION("""COMPUTED_VALUE"""),"Yes")</f>
        <v>Yes</v>
      </c>
      <c r="M141" s="13" t="str">
        <f>IFERROR(__xludf.DUMMYFUNCTION("""COMPUTED_VALUE"""),"Partial")</f>
        <v>Partial</v>
      </c>
      <c r="N141" s="13" t="str">
        <f>IFERROR(__xludf.DUMMYFUNCTION("""COMPUTED_VALUE"""),"Partial")</f>
        <v>Partial</v>
      </c>
      <c r="O141" s="13" t="str">
        <f>IFERROR(__xludf.DUMMYFUNCTION("""COMPUTED_VALUE"""),"Unclear")</f>
        <v>Unclear</v>
      </c>
      <c r="P141" s="13" t="str">
        <f>IFERROR(__xludf.DUMMYFUNCTION("""COMPUTED_VALUE"""),"Yes")</f>
        <v>Yes</v>
      </c>
      <c r="Q141" s="13" t="str">
        <f>IFERROR(__xludf.DUMMYFUNCTION("""COMPUTED_VALUE"""),"Partial")</f>
        <v>Partial</v>
      </c>
      <c r="R141" s="13" t="str">
        <f>IFERROR(__xludf.DUMMYFUNCTION("""COMPUTED_VALUE"""),"Unclear")</f>
        <v>Unclear</v>
      </c>
      <c r="S141" s="13" t="str">
        <f>IFERROR(__xludf.DUMMYFUNCTION("""COMPUTED_VALUE"""),"N/A")</f>
        <v>N/A</v>
      </c>
      <c r="T141" s="13" t="str">
        <f>IFERROR(__xludf.DUMMYFUNCTION("""COMPUTED_VALUE"""),"N/A")</f>
        <v>N/A</v>
      </c>
      <c r="U141" s="13" t="str">
        <f>IFERROR(__xludf.DUMMYFUNCTION("""COMPUTED_VALUE"""),"Some concerns")</f>
        <v>Some concerns</v>
      </c>
      <c r="V141" s="13" t="str">
        <f>IFERROR(__xludf.DUMMYFUNCTION("""COMPUTED_VALUE"""),"Some concerns")</f>
        <v>Some concerns</v>
      </c>
      <c r="W141" s="13" t="str">
        <f>IFERROR(__xludf.DUMMYFUNCTION("""COMPUTED_VALUE"""),"Some concerns")</f>
        <v>Some concerns</v>
      </c>
    </row>
    <row r="142" ht="16.5" customHeight="1">
      <c r="A142" s="5" t="str">
        <f>IFERROR(__xludf.DUMMYFUNCTION("""COMPUTED_VALUE"""),"SCOPUS-000505")</f>
        <v>SCOPUS-000505</v>
      </c>
      <c r="B142" s="13" t="str">
        <f>IFERROR(__xludf.DUMMYFUNCTION("""COMPUTED_VALUE"""),"Yes")</f>
        <v>Yes</v>
      </c>
      <c r="C142" s="13" t="str">
        <f>IFERROR(__xludf.DUMMYFUNCTION("""COMPUTED_VALUE"""),"Yes")</f>
        <v>Yes</v>
      </c>
      <c r="D142" s="13" t="str">
        <f>IFERROR(__xludf.DUMMYFUNCTION("""COMPUTED_VALUE"""),"Yes")</f>
        <v>Yes</v>
      </c>
      <c r="E142" s="13" t="str">
        <f>IFERROR(__xludf.DUMMYFUNCTION("""COMPUTED_VALUE"""),"Partial")</f>
        <v>Partial</v>
      </c>
      <c r="F142" s="13" t="str">
        <f>IFERROR(__xludf.DUMMYFUNCTION("""COMPUTED_VALUE"""),"Yes")</f>
        <v>Yes</v>
      </c>
      <c r="G142" s="13" t="str">
        <f>IFERROR(__xludf.DUMMYFUNCTION("""COMPUTED_VALUE"""),"Yes")</f>
        <v>Yes</v>
      </c>
      <c r="H142" s="13" t="str">
        <f>IFERROR(__xludf.DUMMYFUNCTION("""COMPUTED_VALUE"""),"Yes")</f>
        <v>Yes</v>
      </c>
      <c r="I142" s="13" t="str">
        <f>IFERROR(__xludf.DUMMYFUNCTION("""COMPUTED_VALUE"""),"Yes")</f>
        <v>Yes</v>
      </c>
      <c r="J142" s="13" t="str">
        <f>IFERROR(__xludf.DUMMYFUNCTION("""COMPUTED_VALUE"""),"Yes")</f>
        <v>Yes</v>
      </c>
      <c r="K142" s="13" t="str">
        <f>IFERROR(__xludf.DUMMYFUNCTION("""COMPUTED_VALUE"""),"Yes")</f>
        <v>Yes</v>
      </c>
      <c r="L142" s="13" t="str">
        <f>IFERROR(__xludf.DUMMYFUNCTION("""COMPUTED_VALUE"""),"Yes")</f>
        <v>Yes</v>
      </c>
      <c r="M142" s="13" t="str">
        <f>IFERROR(__xludf.DUMMYFUNCTION("""COMPUTED_VALUE"""),"Partial")</f>
        <v>Partial</v>
      </c>
      <c r="N142" s="13" t="str">
        <f>IFERROR(__xludf.DUMMYFUNCTION("""COMPUTED_VALUE"""),"Yes")</f>
        <v>Yes</v>
      </c>
      <c r="O142" s="13" t="str">
        <f>IFERROR(__xludf.DUMMYFUNCTION("""COMPUTED_VALUE"""),"Unclear")</f>
        <v>Unclear</v>
      </c>
      <c r="P142" s="13" t="str">
        <f>IFERROR(__xludf.DUMMYFUNCTION("""COMPUTED_VALUE"""),"Yes")</f>
        <v>Yes</v>
      </c>
      <c r="Q142" s="13" t="str">
        <f>IFERROR(__xludf.DUMMYFUNCTION("""COMPUTED_VALUE"""),"Partial")</f>
        <v>Partial</v>
      </c>
      <c r="R142" s="13" t="str">
        <f>IFERROR(__xludf.DUMMYFUNCTION("""COMPUTED_VALUE"""),"Unclear")</f>
        <v>Unclear</v>
      </c>
      <c r="S142" s="13" t="str">
        <f>IFERROR(__xludf.DUMMYFUNCTION("""COMPUTED_VALUE"""),"N/A")</f>
        <v>N/A</v>
      </c>
      <c r="T142" s="13" t="str">
        <f>IFERROR(__xludf.DUMMYFUNCTION("""COMPUTED_VALUE"""),"N/A")</f>
        <v>N/A</v>
      </c>
      <c r="U142" s="13" t="str">
        <f>IFERROR(__xludf.DUMMYFUNCTION("""COMPUTED_VALUE"""),"Some concerns")</f>
        <v>Some concerns</v>
      </c>
      <c r="V142" s="13" t="str">
        <f>IFERROR(__xludf.DUMMYFUNCTION("""COMPUTED_VALUE"""),"Some concerns")</f>
        <v>Some concerns</v>
      </c>
      <c r="W142" s="13" t="str">
        <f>IFERROR(__xludf.DUMMYFUNCTION("""COMPUTED_VALUE"""),"Some concerns")</f>
        <v>Some concerns</v>
      </c>
    </row>
    <row r="143" ht="16.5" customHeight="1">
      <c r="A143" s="5" t="str">
        <f>IFERROR(__xludf.DUMMYFUNCTION("""COMPUTED_VALUE"""),"SCOPUS-000532")</f>
        <v>SCOPUS-000532</v>
      </c>
      <c r="B143" s="13" t="str">
        <f>IFERROR(__xludf.DUMMYFUNCTION("""COMPUTED_VALUE"""),"Yes")</f>
        <v>Yes</v>
      </c>
      <c r="C143" s="13" t="str">
        <f>IFERROR(__xludf.DUMMYFUNCTION("""COMPUTED_VALUE"""),"Yes")</f>
        <v>Yes</v>
      </c>
      <c r="D143" s="13" t="str">
        <f>IFERROR(__xludf.DUMMYFUNCTION("""COMPUTED_VALUE"""),"Yes")</f>
        <v>Yes</v>
      </c>
      <c r="E143" s="13" t="str">
        <f>IFERROR(__xludf.DUMMYFUNCTION("""COMPUTED_VALUE"""),"Yes")</f>
        <v>Yes</v>
      </c>
      <c r="F143" s="13" t="str">
        <f>IFERROR(__xludf.DUMMYFUNCTION("""COMPUTED_VALUE"""),"Yes")</f>
        <v>Yes</v>
      </c>
      <c r="G143" s="13" t="str">
        <f>IFERROR(__xludf.DUMMYFUNCTION("""COMPUTED_VALUE"""),"Yes")</f>
        <v>Yes</v>
      </c>
      <c r="H143" s="13" t="str">
        <f>IFERROR(__xludf.DUMMYFUNCTION("""COMPUTED_VALUE"""),"Yes")</f>
        <v>Yes</v>
      </c>
      <c r="I143" s="13" t="str">
        <f>IFERROR(__xludf.DUMMYFUNCTION("""COMPUTED_VALUE"""),"No")</f>
        <v>No</v>
      </c>
      <c r="J143" s="13" t="str">
        <f>IFERROR(__xludf.DUMMYFUNCTION("""COMPUTED_VALUE"""),"Yes")</f>
        <v>Yes</v>
      </c>
      <c r="K143" s="13" t="str">
        <f>IFERROR(__xludf.DUMMYFUNCTION("""COMPUTED_VALUE"""),"Yes")</f>
        <v>Yes</v>
      </c>
      <c r="L143" s="13" t="str">
        <f>IFERROR(__xludf.DUMMYFUNCTION("""COMPUTED_VALUE"""),"Yes")</f>
        <v>Yes</v>
      </c>
      <c r="M143" s="13" t="str">
        <f>IFERROR(__xludf.DUMMYFUNCTION("""COMPUTED_VALUE"""),"Partial")</f>
        <v>Partial</v>
      </c>
      <c r="N143" s="13" t="str">
        <f>IFERROR(__xludf.DUMMYFUNCTION("""COMPUTED_VALUE"""),"Partial")</f>
        <v>Partial</v>
      </c>
      <c r="O143" s="13" t="str">
        <f>IFERROR(__xludf.DUMMYFUNCTION("""COMPUTED_VALUE"""),"Unclear")</f>
        <v>Unclear</v>
      </c>
      <c r="P143" s="13" t="str">
        <f>IFERROR(__xludf.DUMMYFUNCTION("""COMPUTED_VALUE"""),"Yes")</f>
        <v>Yes</v>
      </c>
      <c r="Q143" s="13" t="str">
        <f>IFERROR(__xludf.DUMMYFUNCTION("""COMPUTED_VALUE"""),"Yes")</f>
        <v>Yes</v>
      </c>
      <c r="R143" s="13" t="str">
        <f>IFERROR(__xludf.DUMMYFUNCTION("""COMPUTED_VALUE"""),"Unclear")</f>
        <v>Unclear</v>
      </c>
      <c r="S143" s="13" t="str">
        <f>IFERROR(__xludf.DUMMYFUNCTION("""COMPUTED_VALUE"""),"N/A")</f>
        <v>N/A</v>
      </c>
      <c r="T143" s="13" t="str">
        <f>IFERROR(__xludf.DUMMYFUNCTION("""COMPUTED_VALUE"""),"N/A")</f>
        <v>N/A</v>
      </c>
      <c r="U143" s="13" t="str">
        <f>IFERROR(__xludf.DUMMYFUNCTION("""COMPUTED_VALUE"""),"Some concerns")</f>
        <v>Some concerns</v>
      </c>
      <c r="V143" s="13" t="str">
        <f>IFERROR(__xludf.DUMMYFUNCTION("""COMPUTED_VALUE"""),"Some concerns")</f>
        <v>Some concerns</v>
      </c>
      <c r="W143" s="13" t="str">
        <f>IFERROR(__xludf.DUMMYFUNCTION("""COMPUTED_VALUE"""),"Some concerns")</f>
        <v>Some concerns</v>
      </c>
    </row>
    <row r="144" ht="16.5" customHeight="1">
      <c r="A144" s="5" t="str">
        <f>IFERROR(__xludf.DUMMYFUNCTION("""COMPUTED_VALUE"""),"SCOPUS-000542")</f>
        <v>SCOPUS-000542</v>
      </c>
      <c r="B144" s="13" t="str">
        <f>IFERROR(__xludf.DUMMYFUNCTION("""COMPUTED_VALUE"""),"Yes")</f>
        <v>Yes</v>
      </c>
      <c r="C144" s="13" t="str">
        <f>IFERROR(__xludf.DUMMYFUNCTION("""COMPUTED_VALUE"""),"Yes")</f>
        <v>Yes</v>
      </c>
      <c r="D144" s="13" t="str">
        <f>IFERROR(__xludf.DUMMYFUNCTION("""COMPUTED_VALUE"""),"Yes")</f>
        <v>Yes</v>
      </c>
      <c r="E144" s="13" t="str">
        <f>IFERROR(__xludf.DUMMYFUNCTION("""COMPUTED_VALUE"""),"Yes")</f>
        <v>Yes</v>
      </c>
      <c r="F144" s="13" t="str">
        <f>IFERROR(__xludf.DUMMYFUNCTION("""COMPUTED_VALUE"""),"Yes")</f>
        <v>Yes</v>
      </c>
      <c r="G144" s="13" t="str">
        <f>IFERROR(__xludf.DUMMYFUNCTION("""COMPUTED_VALUE"""),"Yes")</f>
        <v>Yes</v>
      </c>
      <c r="H144" s="13" t="str">
        <f>IFERROR(__xludf.DUMMYFUNCTION("""COMPUTED_VALUE"""),"Yes")</f>
        <v>Yes</v>
      </c>
      <c r="I144" s="13" t="str">
        <f>IFERROR(__xludf.DUMMYFUNCTION("""COMPUTED_VALUE"""),"Yes")</f>
        <v>Yes</v>
      </c>
      <c r="J144" s="13" t="str">
        <f>IFERROR(__xludf.DUMMYFUNCTION("""COMPUTED_VALUE"""),"Yes")</f>
        <v>Yes</v>
      </c>
      <c r="K144" s="13" t="str">
        <f>IFERROR(__xludf.DUMMYFUNCTION("""COMPUTED_VALUE"""),"Yes")</f>
        <v>Yes</v>
      </c>
      <c r="L144" s="13" t="str">
        <f>IFERROR(__xludf.DUMMYFUNCTION("""COMPUTED_VALUE"""),"Yes")</f>
        <v>Yes</v>
      </c>
      <c r="M144" s="13" t="str">
        <f>IFERROR(__xludf.DUMMYFUNCTION("""COMPUTED_VALUE"""),"Partial")</f>
        <v>Partial</v>
      </c>
      <c r="N144" s="13" t="str">
        <f>IFERROR(__xludf.DUMMYFUNCTION("""COMPUTED_VALUE"""),"Yes")</f>
        <v>Yes</v>
      </c>
      <c r="O144" s="13" t="str">
        <f>IFERROR(__xludf.DUMMYFUNCTION("""COMPUTED_VALUE"""),"Unclear")</f>
        <v>Unclear</v>
      </c>
      <c r="P144" s="13" t="str">
        <f>IFERROR(__xludf.DUMMYFUNCTION("""COMPUTED_VALUE"""),"Yes")</f>
        <v>Yes</v>
      </c>
      <c r="Q144" s="13" t="str">
        <f>IFERROR(__xludf.DUMMYFUNCTION("""COMPUTED_VALUE"""),"Yes")</f>
        <v>Yes</v>
      </c>
      <c r="R144" s="13" t="str">
        <f>IFERROR(__xludf.DUMMYFUNCTION("""COMPUTED_VALUE"""),"Unclear")</f>
        <v>Unclear</v>
      </c>
      <c r="S144" s="13" t="str">
        <f>IFERROR(__xludf.DUMMYFUNCTION("""COMPUTED_VALUE"""),"N/A")</f>
        <v>N/A</v>
      </c>
      <c r="T144" s="13" t="str">
        <f>IFERROR(__xludf.DUMMYFUNCTION("""COMPUTED_VALUE"""),"N/A")</f>
        <v>N/A</v>
      </c>
      <c r="U144" s="13" t="str">
        <f>IFERROR(__xludf.DUMMYFUNCTION("""COMPUTED_VALUE"""),"Some concerns")</f>
        <v>Some concerns</v>
      </c>
      <c r="V144" s="13" t="str">
        <f>IFERROR(__xludf.DUMMYFUNCTION("""COMPUTED_VALUE"""),"Some concerns")</f>
        <v>Some concerns</v>
      </c>
      <c r="W144" s="13" t="str">
        <f>IFERROR(__xludf.DUMMYFUNCTION("""COMPUTED_VALUE"""),"Some concerns")</f>
        <v>Some concerns</v>
      </c>
    </row>
    <row r="145" ht="16.5" customHeight="1">
      <c r="A145" s="5" t="str">
        <f>IFERROR(__xludf.DUMMYFUNCTION("""COMPUTED_VALUE"""),"SCOPUS-000545")</f>
        <v>SCOPUS-000545</v>
      </c>
      <c r="B145" s="13" t="str">
        <f>IFERROR(__xludf.DUMMYFUNCTION("""COMPUTED_VALUE"""),"Yes")</f>
        <v>Yes</v>
      </c>
      <c r="C145" s="13" t="str">
        <f>IFERROR(__xludf.DUMMYFUNCTION("""COMPUTED_VALUE"""),"Yes")</f>
        <v>Yes</v>
      </c>
      <c r="D145" s="13" t="str">
        <f>IFERROR(__xludf.DUMMYFUNCTION("""COMPUTED_VALUE"""),"Yes")</f>
        <v>Yes</v>
      </c>
      <c r="E145" s="13" t="str">
        <f>IFERROR(__xludf.DUMMYFUNCTION("""COMPUTED_VALUE"""),"Yes")</f>
        <v>Yes</v>
      </c>
      <c r="F145" s="13" t="str">
        <f>IFERROR(__xludf.DUMMYFUNCTION("""COMPUTED_VALUE"""),"Yes")</f>
        <v>Yes</v>
      </c>
      <c r="G145" s="13" t="str">
        <f>IFERROR(__xludf.DUMMYFUNCTION("""COMPUTED_VALUE"""),"Yes")</f>
        <v>Yes</v>
      </c>
      <c r="H145" s="13" t="str">
        <f>IFERROR(__xludf.DUMMYFUNCTION("""COMPUTED_VALUE"""),"Yes")</f>
        <v>Yes</v>
      </c>
      <c r="I145" s="13" t="str">
        <f>IFERROR(__xludf.DUMMYFUNCTION("""COMPUTED_VALUE"""),"No")</f>
        <v>No</v>
      </c>
      <c r="J145" s="13" t="str">
        <f>IFERROR(__xludf.DUMMYFUNCTION("""COMPUTED_VALUE"""),"Yes")</f>
        <v>Yes</v>
      </c>
      <c r="K145" s="13" t="str">
        <f>IFERROR(__xludf.DUMMYFUNCTION("""COMPUTED_VALUE"""),"Yes")</f>
        <v>Yes</v>
      </c>
      <c r="L145" s="13" t="str">
        <f>IFERROR(__xludf.DUMMYFUNCTION("""COMPUTED_VALUE"""),"Yes")</f>
        <v>Yes</v>
      </c>
      <c r="M145" s="13" t="str">
        <f>IFERROR(__xludf.DUMMYFUNCTION("""COMPUTED_VALUE"""),"Partial")</f>
        <v>Partial</v>
      </c>
      <c r="N145" s="13" t="str">
        <f>IFERROR(__xludf.DUMMYFUNCTION("""COMPUTED_VALUE"""),"Partial")</f>
        <v>Partial</v>
      </c>
      <c r="O145" s="13" t="str">
        <f>IFERROR(__xludf.DUMMYFUNCTION("""COMPUTED_VALUE"""),"Unclear")</f>
        <v>Unclear</v>
      </c>
      <c r="P145" s="13" t="str">
        <f>IFERROR(__xludf.DUMMYFUNCTION("""COMPUTED_VALUE"""),"Yes")</f>
        <v>Yes</v>
      </c>
      <c r="Q145" s="13" t="str">
        <f>IFERROR(__xludf.DUMMYFUNCTION("""COMPUTED_VALUE"""),"Yes")</f>
        <v>Yes</v>
      </c>
      <c r="R145" s="13" t="str">
        <f>IFERROR(__xludf.DUMMYFUNCTION("""COMPUTED_VALUE"""),"Unclear")</f>
        <v>Unclear</v>
      </c>
      <c r="S145" s="13" t="str">
        <f>IFERROR(__xludf.DUMMYFUNCTION("""COMPUTED_VALUE"""),"N/A")</f>
        <v>N/A</v>
      </c>
      <c r="T145" s="13" t="str">
        <f>IFERROR(__xludf.DUMMYFUNCTION("""COMPUTED_VALUE"""),"N/A")</f>
        <v>N/A</v>
      </c>
      <c r="U145" s="13" t="str">
        <f>IFERROR(__xludf.DUMMYFUNCTION("""COMPUTED_VALUE"""),"Some concerns")</f>
        <v>Some concerns</v>
      </c>
      <c r="V145" s="13" t="str">
        <f>IFERROR(__xludf.DUMMYFUNCTION("""COMPUTED_VALUE"""),"Some concerns")</f>
        <v>Some concerns</v>
      </c>
      <c r="W145" s="13" t="str">
        <f>IFERROR(__xludf.DUMMYFUNCTION("""COMPUTED_VALUE"""),"Some concerns")</f>
        <v>Some concerns</v>
      </c>
    </row>
    <row r="146" ht="16.5" customHeight="1">
      <c r="A146" s="5" t="str">
        <f>IFERROR(__xludf.DUMMYFUNCTION("""COMPUTED_VALUE"""),"SCOPUS-000552")</f>
        <v>SCOPUS-000552</v>
      </c>
      <c r="B146" s="13" t="str">
        <f>IFERROR(__xludf.DUMMYFUNCTION("""COMPUTED_VALUE"""),"Yes")</f>
        <v>Yes</v>
      </c>
      <c r="C146" s="13" t="str">
        <f>IFERROR(__xludf.DUMMYFUNCTION("""COMPUTED_VALUE"""),"Yes")</f>
        <v>Yes</v>
      </c>
      <c r="D146" s="13" t="str">
        <f>IFERROR(__xludf.DUMMYFUNCTION("""COMPUTED_VALUE"""),"Yes")</f>
        <v>Yes</v>
      </c>
      <c r="E146" s="13" t="str">
        <f>IFERROR(__xludf.DUMMYFUNCTION("""COMPUTED_VALUE"""),"Partial")</f>
        <v>Partial</v>
      </c>
      <c r="F146" s="13" t="str">
        <f>IFERROR(__xludf.DUMMYFUNCTION("""COMPUTED_VALUE"""),"Yes")</f>
        <v>Yes</v>
      </c>
      <c r="G146" s="13" t="str">
        <f>IFERROR(__xludf.DUMMYFUNCTION("""COMPUTED_VALUE"""),"Yes")</f>
        <v>Yes</v>
      </c>
      <c r="H146" s="13" t="str">
        <f>IFERROR(__xludf.DUMMYFUNCTION("""COMPUTED_VALUE"""),"Yes")</f>
        <v>Yes</v>
      </c>
      <c r="I146" s="13" t="str">
        <f>IFERROR(__xludf.DUMMYFUNCTION("""COMPUTED_VALUE"""),"No")</f>
        <v>No</v>
      </c>
      <c r="J146" s="13" t="str">
        <f>IFERROR(__xludf.DUMMYFUNCTION("""COMPUTED_VALUE"""),"Yes")</f>
        <v>Yes</v>
      </c>
      <c r="K146" s="13" t="str">
        <f>IFERROR(__xludf.DUMMYFUNCTION("""COMPUTED_VALUE"""),"Partial")</f>
        <v>Partial</v>
      </c>
      <c r="L146" s="13" t="str">
        <f>IFERROR(__xludf.DUMMYFUNCTION("""COMPUTED_VALUE"""),"Yes")</f>
        <v>Yes</v>
      </c>
      <c r="M146" s="13" t="str">
        <f>IFERROR(__xludf.DUMMYFUNCTION("""COMPUTED_VALUE"""),"Partial")</f>
        <v>Partial</v>
      </c>
      <c r="N146" s="13" t="str">
        <f>IFERROR(__xludf.DUMMYFUNCTION("""COMPUTED_VALUE"""),"Partial")</f>
        <v>Partial</v>
      </c>
      <c r="O146" s="13" t="str">
        <f>IFERROR(__xludf.DUMMYFUNCTION("""COMPUTED_VALUE"""),"Unclear")</f>
        <v>Unclear</v>
      </c>
      <c r="P146" s="13" t="str">
        <f>IFERROR(__xludf.DUMMYFUNCTION("""COMPUTED_VALUE"""),"Yes")</f>
        <v>Yes</v>
      </c>
      <c r="Q146" s="13" t="str">
        <f>IFERROR(__xludf.DUMMYFUNCTION("""COMPUTED_VALUE"""),"Yes")</f>
        <v>Yes</v>
      </c>
      <c r="R146" s="13" t="str">
        <f>IFERROR(__xludf.DUMMYFUNCTION("""COMPUTED_VALUE"""),"Unclear")</f>
        <v>Unclear</v>
      </c>
      <c r="S146" s="13" t="str">
        <f>IFERROR(__xludf.DUMMYFUNCTION("""COMPUTED_VALUE"""),"N/A")</f>
        <v>N/A</v>
      </c>
      <c r="T146" s="13" t="str">
        <f>IFERROR(__xludf.DUMMYFUNCTION("""COMPUTED_VALUE"""),"N/A")</f>
        <v>N/A</v>
      </c>
      <c r="U146" s="13" t="str">
        <f>IFERROR(__xludf.DUMMYFUNCTION("""COMPUTED_VALUE"""),"Some concerns")</f>
        <v>Some concerns</v>
      </c>
      <c r="V146" s="13" t="str">
        <f>IFERROR(__xludf.DUMMYFUNCTION("""COMPUTED_VALUE"""),"Some concerns")</f>
        <v>Some concerns</v>
      </c>
      <c r="W146" s="13" t="str">
        <f>IFERROR(__xludf.DUMMYFUNCTION("""COMPUTED_VALUE"""),"Some concerns")</f>
        <v>Some concerns</v>
      </c>
    </row>
    <row r="147" ht="16.5" customHeight="1">
      <c r="A147" s="5" t="str">
        <f>IFERROR(__xludf.DUMMYFUNCTION("""COMPUTED_VALUE"""),"SCOPUS-000582")</f>
        <v>SCOPUS-000582</v>
      </c>
      <c r="B147" s="13" t="str">
        <f>IFERROR(__xludf.DUMMYFUNCTION("""COMPUTED_VALUE"""),"Yes")</f>
        <v>Yes</v>
      </c>
      <c r="C147" s="13" t="str">
        <f>IFERROR(__xludf.DUMMYFUNCTION("""COMPUTED_VALUE"""),"Partial")</f>
        <v>Partial</v>
      </c>
      <c r="D147" s="13" t="str">
        <f>IFERROR(__xludf.DUMMYFUNCTION("""COMPUTED_VALUE"""),"Yes")</f>
        <v>Yes</v>
      </c>
      <c r="E147" s="13" t="str">
        <f>IFERROR(__xludf.DUMMYFUNCTION("""COMPUTED_VALUE"""),"Yes")</f>
        <v>Yes</v>
      </c>
      <c r="F147" s="13" t="str">
        <f>IFERROR(__xludf.DUMMYFUNCTION("""COMPUTED_VALUE"""),"Yes")</f>
        <v>Yes</v>
      </c>
      <c r="G147" s="13" t="str">
        <f>IFERROR(__xludf.DUMMYFUNCTION("""COMPUTED_VALUE"""),"Yes")</f>
        <v>Yes</v>
      </c>
      <c r="H147" s="13" t="str">
        <f>IFERROR(__xludf.DUMMYFUNCTION("""COMPUTED_VALUE"""),"Yes")</f>
        <v>Yes</v>
      </c>
      <c r="I147" s="13" t="str">
        <f>IFERROR(__xludf.DUMMYFUNCTION("""COMPUTED_VALUE"""),"No")</f>
        <v>No</v>
      </c>
      <c r="J147" s="13" t="str">
        <f>IFERROR(__xludf.DUMMYFUNCTION("""COMPUTED_VALUE"""),"Yes")</f>
        <v>Yes</v>
      </c>
      <c r="K147" s="13" t="str">
        <f>IFERROR(__xludf.DUMMYFUNCTION("""COMPUTED_VALUE"""),"Partial")</f>
        <v>Partial</v>
      </c>
      <c r="L147" s="13" t="str">
        <f>IFERROR(__xludf.DUMMYFUNCTION("""COMPUTED_VALUE"""),"Yes")</f>
        <v>Yes</v>
      </c>
      <c r="M147" s="13" t="str">
        <f>IFERROR(__xludf.DUMMYFUNCTION("""COMPUTED_VALUE"""),"Partial")</f>
        <v>Partial</v>
      </c>
      <c r="N147" s="13" t="str">
        <f>IFERROR(__xludf.DUMMYFUNCTION("""COMPUTED_VALUE"""),"Partial")</f>
        <v>Partial</v>
      </c>
      <c r="O147" s="13" t="str">
        <f>IFERROR(__xludf.DUMMYFUNCTION("""COMPUTED_VALUE"""),"Unclear")</f>
        <v>Unclear</v>
      </c>
      <c r="P147" s="13" t="str">
        <f>IFERROR(__xludf.DUMMYFUNCTION("""COMPUTED_VALUE"""),"Yes")</f>
        <v>Yes</v>
      </c>
      <c r="Q147" s="13" t="str">
        <f>IFERROR(__xludf.DUMMYFUNCTION("""COMPUTED_VALUE"""),"Yes")</f>
        <v>Yes</v>
      </c>
      <c r="R147" s="13" t="str">
        <f>IFERROR(__xludf.DUMMYFUNCTION("""COMPUTED_VALUE"""),"Unclear")</f>
        <v>Unclear</v>
      </c>
      <c r="S147" s="13" t="str">
        <f>IFERROR(__xludf.DUMMYFUNCTION("""COMPUTED_VALUE"""),"N/A")</f>
        <v>N/A</v>
      </c>
      <c r="T147" s="13" t="str">
        <f>IFERROR(__xludf.DUMMYFUNCTION("""COMPUTED_VALUE"""),"N/A")</f>
        <v>N/A</v>
      </c>
      <c r="U147" s="13" t="str">
        <f>IFERROR(__xludf.DUMMYFUNCTION("""COMPUTED_VALUE"""),"Some concerns")</f>
        <v>Some concerns</v>
      </c>
      <c r="V147" s="13" t="str">
        <f>IFERROR(__xludf.DUMMYFUNCTION("""COMPUTED_VALUE"""),"Some concerns")</f>
        <v>Some concerns</v>
      </c>
      <c r="W147" s="13" t="str">
        <f>IFERROR(__xludf.DUMMYFUNCTION("""COMPUTED_VALUE"""),"Some concerns")</f>
        <v>Some concerns</v>
      </c>
    </row>
    <row r="148" ht="16.5" customHeight="1">
      <c r="A148" s="5" t="str">
        <f>IFERROR(__xludf.DUMMYFUNCTION("""COMPUTED_VALUE"""),"SCOPUS-000600")</f>
        <v>SCOPUS-000600</v>
      </c>
      <c r="B148" s="13" t="str">
        <f>IFERROR(__xludf.DUMMYFUNCTION("""COMPUTED_VALUE"""),"Yes")</f>
        <v>Yes</v>
      </c>
      <c r="C148" s="13" t="str">
        <f>IFERROR(__xludf.DUMMYFUNCTION("""COMPUTED_VALUE"""),"Yes")</f>
        <v>Yes</v>
      </c>
      <c r="D148" s="13" t="str">
        <f>IFERROR(__xludf.DUMMYFUNCTION("""COMPUTED_VALUE"""),"Yes")</f>
        <v>Yes</v>
      </c>
      <c r="E148" s="13" t="str">
        <f>IFERROR(__xludf.DUMMYFUNCTION("""COMPUTED_VALUE"""),"Partial")</f>
        <v>Partial</v>
      </c>
      <c r="F148" s="13" t="str">
        <f>IFERROR(__xludf.DUMMYFUNCTION("""COMPUTED_VALUE"""),"Yes")</f>
        <v>Yes</v>
      </c>
      <c r="G148" s="13" t="str">
        <f>IFERROR(__xludf.DUMMYFUNCTION("""COMPUTED_VALUE"""),"Yes")</f>
        <v>Yes</v>
      </c>
      <c r="H148" s="13" t="str">
        <f>IFERROR(__xludf.DUMMYFUNCTION("""COMPUTED_VALUE"""),"Yes")</f>
        <v>Yes</v>
      </c>
      <c r="I148" s="13" t="str">
        <f>IFERROR(__xludf.DUMMYFUNCTION("""COMPUTED_VALUE"""),"No")</f>
        <v>No</v>
      </c>
      <c r="J148" s="13" t="str">
        <f>IFERROR(__xludf.DUMMYFUNCTION("""COMPUTED_VALUE"""),"Yes")</f>
        <v>Yes</v>
      </c>
      <c r="K148" s="13" t="str">
        <f>IFERROR(__xludf.DUMMYFUNCTION("""COMPUTED_VALUE"""),"Yes")</f>
        <v>Yes</v>
      </c>
      <c r="L148" s="13" t="str">
        <f>IFERROR(__xludf.DUMMYFUNCTION("""COMPUTED_VALUE"""),"Yes")</f>
        <v>Yes</v>
      </c>
      <c r="M148" s="13" t="str">
        <f>IFERROR(__xludf.DUMMYFUNCTION("""COMPUTED_VALUE"""),"Partial")</f>
        <v>Partial</v>
      </c>
      <c r="N148" s="13" t="str">
        <f>IFERROR(__xludf.DUMMYFUNCTION("""COMPUTED_VALUE"""),"Partial")</f>
        <v>Partial</v>
      </c>
      <c r="O148" s="13" t="str">
        <f>IFERROR(__xludf.DUMMYFUNCTION("""COMPUTED_VALUE"""),"Unclear")</f>
        <v>Unclear</v>
      </c>
      <c r="P148" s="13" t="str">
        <f>IFERROR(__xludf.DUMMYFUNCTION("""COMPUTED_VALUE"""),"Yes")</f>
        <v>Yes</v>
      </c>
      <c r="Q148" s="13" t="str">
        <f>IFERROR(__xludf.DUMMYFUNCTION("""COMPUTED_VALUE"""),"Partial")</f>
        <v>Partial</v>
      </c>
      <c r="R148" s="13" t="str">
        <f>IFERROR(__xludf.DUMMYFUNCTION("""COMPUTED_VALUE"""),"Unclear")</f>
        <v>Unclear</v>
      </c>
      <c r="S148" s="13" t="str">
        <f>IFERROR(__xludf.DUMMYFUNCTION("""COMPUTED_VALUE"""),"N/A")</f>
        <v>N/A</v>
      </c>
      <c r="T148" s="13" t="str">
        <f>IFERROR(__xludf.DUMMYFUNCTION("""COMPUTED_VALUE"""),"N/A")</f>
        <v>N/A</v>
      </c>
      <c r="U148" s="13" t="str">
        <f>IFERROR(__xludf.DUMMYFUNCTION("""COMPUTED_VALUE"""),"Some concerns")</f>
        <v>Some concerns</v>
      </c>
      <c r="V148" s="13" t="str">
        <f>IFERROR(__xludf.DUMMYFUNCTION("""COMPUTED_VALUE"""),"Some concerns")</f>
        <v>Some concerns</v>
      </c>
      <c r="W148" s="13" t="str">
        <f>IFERROR(__xludf.DUMMYFUNCTION("""COMPUTED_VALUE"""),"Some concerns")</f>
        <v>Some concerns</v>
      </c>
    </row>
    <row r="149" ht="16.5" customHeight="1">
      <c r="A149" s="5" t="str">
        <f>IFERROR(__xludf.DUMMYFUNCTION("""COMPUTED_VALUE"""),"SCOPUS-000620")</f>
        <v>SCOPUS-000620</v>
      </c>
      <c r="B149" s="13" t="str">
        <f>IFERROR(__xludf.DUMMYFUNCTION("""COMPUTED_VALUE"""),"Yes")</f>
        <v>Yes</v>
      </c>
      <c r="C149" s="13" t="str">
        <f>IFERROR(__xludf.DUMMYFUNCTION("""COMPUTED_VALUE"""),"Yes")</f>
        <v>Yes</v>
      </c>
      <c r="D149" s="13" t="str">
        <f>IFERROR(__xludf.DUMMYFUNCTION("""COMPUTED_VALUE"""),"Yes")</f>
        <v>Yes</v>
      </c>
      <c r="E149" s="13" t="str">
        <f>IFERROR(__xludf.DUMMYFUNCTION("""COMPUTED_VALUE"""),"Yes")</f>
        <v>Yes</v>
      </c>
      <c r="F149" s="13" t="str">
        <f>IFERROR(__xludf.DUMMYFUNCTION("""COMPUTED_VALUE"""),"Yes")</f>
        <v>Yes</v>
      </c>
      <c r="G149" s="13" t="str">
        <f>IFERROR(__xludf.DUMMYFUNCTION("""COMPUTED_VALUE"""),"Yes")</f>
        <v>Yes</v>
      </c>
      <c r="H149" s="13" t="str">
        <f>IFERROR(__xludf.DUMMYFUNCTION("""COMPUTED_VALUE"""),"Yes")</f>
        <v>Yes</v>
      </c>
      <c r="I149" s="13" t="str">
        <f>IFERROR(__xludf.DUMMYFUNCTION("""COMPUTED_VALUE"""),"No")</f>
        <v>No</v>
      </c>
      <c r="J149" s="13" t="str">
        <f>IFERROR(__xludf.DUMMYFUNCTION("""COMPUTED_VALUE"""),"Yes")</f>
        <v>Yes</v>
      </c>
      <c r="K149" s="13" t="str">
        <f>IFERROR(__xludf.DUMMYFUNCTION("""COMPUTED_VALUE"""),"Partial")</f>
        <v>Partial</v>
      </c>
      <c r="L149" s="13" t="str">
        <f>IFERROR(__xludf.DUMMYFUNCTION("""COMPUTED_VALUE"""),"Yes")</f>
        <v>Yes</v>
      </c>
      <c r="M149" s="13" t="str">
        <f>IFERROR(__xludf.DUMMYFUNCTION("""COMPUTED_VALUE"""),"Partial")</f>
        <v>Partial</v>
      </c>
      <c r="N149" s="13" t="str">
        <f>IFERROR(__xludf.DUMMYFUNCTION("""COMPUTED_VALUE"""),"Yes")</f>
        <v>Yes</v>
      </c>
      <c r="O149" s="13" t="str">
        <f>IFERROR(__xludf.DUMMYFUNCTION("""COMPUTED_VALUE"""),"Unclear")</f>
        <v>Unclear</v>
      </c>
      <c r="P149" s="13" t="str">
        <f>IFERROR(__xludf.DUMMYFUNCTION("""COMPUTED_VALUE"""),"Yes")</f>
        <v>Yes</v>
      </c>
      <c r="Q149" s="13" t="str">
        <f>IFERROR(__xludf.DUMMYFUNCTION("""COMPUTED_VALUE"""),"Yes")</f>
        <v>Yes</v>
      </c>
      <c r="R149" s="13" t="str">
        <f>IFERROR(__xludf.DUMMYFUNCTION("""COMPUTED_VALUE"""),"Unclear")</f>
        <v>Unclear</v>
      </c>
      <c r="S149" s="13" t="str">
        <f>IFERROR(__xludf.DUMMYFUNCTION("""COMPUTED_VALUE"""),"N/A")</f>
        <v>N/A</v>
      </c>
      <c r="T149" s="13" t="str">
        <f>IFERROR(__xludf.DUMMYFUNCTION("""COMPUTED_VALUE"""),"N/A")</f>
        <v>N/A</v>
      </c>
      <c r="U149" s="13" t="str">
        <f>IFERROR(__xludf.DUMMYFUNCTION("""COMPUTED_VALUE"""),"Some concerns")</f>
        <v>Some concerns</v>
      </c>
      <c r="V149" s="13" t="str">
        <f>IFERROR(__xludf.DUMMYFUNCTION("""COMPUTED_VALUE"""),"Some concerns")</f>
        <v>Some concerns</v>
      </c>
      <c r="W149" s="13" t="str">
        <f>IFERROR(__xludf.DUMMYFUNCTION("""COMPUTED_VALUE"""),"Some concerns")</f>
        <v>Some concerns</v>
      </c>
    </row>
    <row r="150" ht="16.5" customHeight="1">
      <c r="A150" s="5" t="str">
        <f>IFERROR(__xludf.DUMMYFUNCTION("""COMPUTED_VALUE"""),"SCOPUS-000623")</f>
        <v>SCOPUS-000623</v>
      </c>
      <c r="B150" s="13" t="str">
        <f>IFERROR(__xludf.DUMMYFUNCTION("""COMPUTED_VALUE"""),"Yes")</f>
        <v>Yes</v>
      </c>
      <c r="C150" s="13" t="str">
        <f>IFERROR(__xludf.DUMMYFUNCTION("""COMPUTED_VALUE"""),"Yes")</f>
        <v>Yes</v>
      </c>
      <c r="D150" s="13" t="str">
        <f>IFERROR(__xludf.DUMMYFUNCTION("""COMPUTED_VALUE"""),"Yes")</f>
        <v>Yes</v>
      </c>
      <c r="E150" s="13" t="str">
        <f>IFERROR(__xludf.DUMMYFUNCTION("""COMPUTED_VALUE"""),"Partial")</f>
        <v>Partial</v>
      </c>
      <c r="F150" s="13" t="str">
        <f>IFERROR(__xludf.DUMMYFUNCTION("""COMPUTED_VALUE"""),"Yes")</f>
        <v>Yes</v>
      </c>
      <c r="G150" s="13" t="str">
        <f>IFERROR(__xludf.DUMMYFUNCTION("""COMPUTED_VALUE"""),"Yes")</f>
        <v>Yes</v>
      </c>
      <c r="H150" s="13" t="str">
        <f>IFERROR(__xludf.DUMMYFUNCTION("""COMPUTED_VALUE"""),"Yes")</f>
        <v>Yes</v>
      </c>
      <c r="I150" s="13" t="str">
        <f>IFERROR(__xludf.DUMMYFUNCTION("""COMPUTED_VALUE"""),"No")</f>
        <v>No</v>
      </c>
      <c r="J150" s="13" t="str">
        <f>IFERROR(__xludf.DUMMYFUNCTION("""COMPUTED_VALUE"""),"Yes")</f>
        <v>Yes</v>
      </c>
      <c r="K150" s="13" t="str">
        <f>IFERROR(__xludf.DUMMYFUNCTION("""COMPUTED_VALUE"""),"Partial")</f>
        <v>Partial</v>
      </c>
      <c r="L150" s="13" t="str">
        <f>IFERROR(__xludf.DUMMYFUNCTION("""COMPUTED_VALUE"""),"Yes")</f>
        <v>Yes</v>
      </c>
      <c r="M150" s="13" t="str">
        <f>IFERROR(__xludf.DUMMYFUNCTION("""COMPUTED_VALUE"""),"Partial")</f>
        <v>Partial</v>
      </c>
      <c r="N150" s="13" t="str">
        <f>IFERROR(__xludf.DUMMYFUNCTION("""COMPUTED_VALUE"""),"Yes")</f>
        <v>Yes</v>
      </c>
      <c r="O150" s="13" t="str">
        <f>IFERROR(__xludf.DUMMYFUNCTION("""COMPUTED_VALUE"""),"Unclear")</f>
        <v>Unclear</v>
      </c>
      <c r="P150" s="13" t="str">
        <f>IFERROR(__xludf.DUMMYFUNCTION("""COMPUTED_VALUE"""),"Yes")</f>
        <v>Yes</v>
      </c>
      <c r="Q150" s="13" t="str">
        <f>IFERROR(__xludf.DUMMYFUNCTION("""COMPUTED_VALUE"""),"Yes")</f>
        <v>Yes</v>
      </c>
      <c r="R150" s="13" t="str">
        <f>IFERROR(__xludf.DUMMYFUNCTION("""COMPUTED_VALUE"""),"Unclear")</f>
        <v>Unclear</v>
      </c>
      <c r="S150" s="13" t="str">
        <f>IFERROR(__xludf.DUMMYFUNCTION("""COMPUTED_VALUE"""),"N/A")</f>
        <v>N/A</v>
      </c>
      <c r="T150" s="13" t="str">
        <f>IFERROR(__xludf.DUMMYFUNCTION("""COMPUTED_VALUE"""),"N/A")</f>
        <v>N/A</v>
      </c>
      <c r="U150" s="13" t="str">
        <f>IFERROR(__xludf.DUMMYFUNCTION("""COMPUTED_VALUE"""),"Some concerns")</f>
        <v>Some concerns</v>
      </c>
      <c r="V150" s="13" t="str">
        <f>IFERROR(__xludf.DUMMYFUNCTION("""COMPUTED_VALUE"""),"Some concerns")</f>
        <v>Some concerns</v>
      </c>
      <c r="W150" s="13" t="str">
        <f>IFERROR(__xludf.DUMMYFUNCTION("""COMPUTED_VALUE"""),"Some concerns")</f>
        <v>Some concerns</v>
      </c>
    </row>
    <row r="151" ht="16.5" customHeight="1">
      <c r="A151" s="5" t="str">
        <f>IFERROR(__xludf.DUMMYFUNCTION("""COMPUTED_VALUE"""),"SCOPUS-000626")</f>
        <v>SCOPUS-000626</v>
      </c>
      <c r="B151" s="13" t="str">
        <f>IFERROR(__xludf.DUMMYFUNCTION("""COMPUTED_VALUE"""),"Yes")</f>
        <v>Yes</v>
      </c>
      <c r="C151" s="13" t="str">
        <f>IFERROR(__xludf.DUMMYFUNCTION("""COMPUTED_VALUE"""),"Partial")</f>
        <v>Partial</v>
      </c>
      <c r="D151" s="13" t="str">
        <f>IFERROR(__xludf.DUMMYFUNCTION("""COMPUTED_VALUE"""),"Yes")</f>
        <v>Yes</v>
      </c>
      <c r="E151" s="13" t="str">
        <f>IFERROR(__xludf.DUMMYFUNCTION("""COMPUTED_VALUE"""),"Yes")</f>
        <v>Yes</v>
      </c>
      <c r="F151" s="13" t="str">
        <f>IFERROR(__xludf.DUMMYFUNCTION("""COMPUTED_VALUE"""),"Yes")</f>
        <v>Yes</v>
      </c>
      <c r="G151" s="13" t="str">
        <f>IFERROR(__xludf.DUMMYFUNCTION("""COMPUTED_VALUE"""),"Yes")</f>
        <v>Yes</v>
      </c>
      <c r="H151" s="13" t="str">
        <f>IFERROR(__xludf.DUMMYFUNCTION("""COMPUTED_VALUE"""),"Yes")</f>
        <v>Yes</v>
      </c>
      <c r="I151" s="13" t="str">
        <f>IFERROR(__xludf.DUMMYFUNCTION("""COMPUTED_VALUE"""),"Yes")</f>
        <v>Yes</v>
      </c>
      <c r="J151" s="13" t="str">
        <f>IFERROR(__xludf.DUMMYFUNCTION("""COMPUTED_VALUE"""),"Yes")</f>
        <v>Yes</v>
      </c>
      <c r="K151" s="13" t="str">
        <f>IFERROR(__xludf.DUMMYFUNCTION("""COMPUTED_VALUE"""),"Partial")</f>
        <v>Partial</v>
      </c>
      <c r="L151" s="13" t="str">
        <f>IFERROR(__xludf.DUMMYFUNCTION("""COMPUTED_VALUE"""),"Yes")</f>
        <v>Yes</v>
      </c>
      <c r="M151" s="13" t="str">
        <f>IFERROR(__xludf.DUMMYFUNCTION("""COMPUTED_VALUE"""),"Partial")</f>
        <v>Partial</v>
      </c>
      <c r="N151" s="13" t="str">
        <f>IFERROR(__xludf.DUMMYFUNCTION("""COMPUTED_VALUE"""),"Partial")</f>
        <v>Partial</v>
      </c>
      <c r="O151" s="13" t="str">
        <f>IFERROR(__xludf.DUMMYFUNCTION("""COMPUTED_VALUE"""),"Unclear")</f>
        <v>Unclear</v>
      </c>
      <c r="P151" s="13" t="str">
        <f>IFERROR(__xludf.DUMMYFUNCTION("""COMPUTED_VALUE"""),"Yes")</f>
        <v>Yes</v>
      </c>
      <c r="Q151" s="13" t="str">
        <f>IFERROR(__xludf.DUMMYFUNCTION("""COMPUTED_VALUE"""),"Yes")</f>
        <v>Yes</v>
      </c>
      <c r="R151" s="13" t="str">
        <f>IFERROR(__xludf.DUMMYFUNCTION("""COMPUTED_VALUE"""),"Unclear")</f>
        <v>Unclear</v>
      </c>
      <c r="S151" s="13" t="str">
        <f>IFERROR(__xludf.DUMMYFUNCTION("""COMPUTED_VALUE"""),"N/A")</f>
        <v>N/A</v>
      </c>
      <c r="T151" s="13" t="str">
        <f>IFERROR(__xludf.DUMMYFUNCTION("""COMPUTED_VALUE"""),"N/A")</f>
        <v>N/A</v>
      </c>
      <c r="U151" s="13" t="str">
        <f>IFERROR(__xludf.DUMMYFUNCTION("""COMPUTED_VALUE"""),"Some concerns")</f>
        <v>Some concerns</v>
      </c>
      <c r="V151" s="13" t="str">
        <f>IFERROR(__xludf.DUMMYFUNCTION("""COMPUTED_VALUE"""),"Some concerns")</f>
        <v>Some concerns</v>
      </c>
      <c r="W151" s="13" t="str">
        <f>IFERROR(__xludf.DUMMYFUNCTION("""COMPUTED_VALUE"""),"Some concerns")</f>
        <v>Some concerns</v>
      </c>
    </row>
    <row r="152" ht="16.5" customHeight="1">
      <c r="A152" s="5" t="str">
        <f>IFERROR(__xludf.DUMMYFUNCTION("""COMPUTED_VALUE"""),"SCOPUS-000628")</f>
        <v>SCOPUS-000628</v>
      </c>
      <c r="B152" s="13" t="str">
        <f>IFERROR(__xludf.DUMMYFUNCTION("""COMPUTED_VALUE"""),"Yes")</f>
        <v>Yes</v>
      </c>
      <c r="C152" s="13" t="str">
        <f>IFERROR(__xludf.DUMMYFUNCTION("""COMPUTED_VALUE"""),"Yes")</f>
        <v>Yes</v>
      </c>
      <c r="D152" s="13" t="str">
        <f>IFERROR(__xludf.DUMMYFUNCTION("""COMPUTED_VALUE"""),"Yes")</f>
        <v>Yes</v>
      </c>
      <c r="E152" s="13" t="str">
        <f>IFERROR(__xludf.DUMMYFUNCTION("""COMPUTED_VALUE"""),"Partial")</f>
        <v>Partial</v>
      </c>
      <c r="F152" s="13" t="str">
        <f>IFERROR(__xludf.DUMMYFUNCTION("""COMPUTED_VALUE"""),"Yes")</f>
        <v>Yes</v>
      </c>
      <c r="G152" s="13" t="str">
        <f>IFERROR(__xludf.DUMMYFUNCTION("""COMPUTED_VALUE"""),"Yes")</f>
        <v>Yes</v>
      </c>
      <c r="H152" s="13" t="str">
        <f>IFERROR(__xludf.DUMMYFUNCTION("""COMPUTED_VALUE"""),"Yes")</f>
        <v>Yes</v>
      </c>
      <c r="I152" s="13" t="str">
        <f>IFERROR(__xludf.DUMMYFUNCTION("""COMPUTED_VALUE"""),"No")</f>
        <v>No</v>
      </c>
      <c r="J152" s="13" t="str">
        <f>IFERROR(__xludf.DUMMYFUNCTION("""COMPUTED_VALUE"""),"Yes")</f>
        <v>Yes</v>
      </c>
      <c r="K152" s="13" t="str">
        <f>IFERROR(__xludf.DUMMYFUNCTION("""COMPUTED_VALUE"""),"Yes")</f>
        <v>Yes</v>
      </c>
      <c r="L152" s="13" t="str">
        <f>IFERROR(__xludf.DUMMYFUNCTION("""COMPUTED_VALUE"""),"Yes")</f>
        <v>Yes</v>
      </c>
      <c r="M152" s="13" t="str">
        <f>IFERROR(__xludf.DUMMYFUNCTION("""COMPUTED_VALUE"""),"Partial")</f>
        <v>Partial</v>
      </c>
      <c r="N152" s="13" t="str">
        <f>IFERROR(__xludf.DUMMYFUNCTION("""COMPUTED_VALUE"""),"Partial")</f>
        <v>Partial</v>
      </c>
      <c r="O152" s="13" t="str">
        <f>IFERROR(__xludf.DUMMYFUNCTION("""COMPUTED_VALUE"""),"Unclear")</f>
        <v>Unclear</v>
      </c>
      <c r="P152" s="13" t="str">
        <f>IFERROR(__xludf.DUMMYFUNCTION("""COMPUTED_VALUE"""),"Yes")</f>
        <v>Yes</v>
      </c>
      <c r="Q152" s="13" t="str">
        <f>IFERROR(__xludf.DUMMYFUNCTION("""COMPUTED_VALUE"""),"Yes")</f>
        <v>Yes</v>
      </c>
      <c r="R152" s="13" t="str">
        <f>IFERROR(__xludf.DUMMYFUNCTION("""COMPUTED_VALUE"""),"Unclear")</f>
        <v>Unclear</v>
      </c>
      <c r="S152" s="13" t="str">
        <f>IFERROR(__xludf.DUMMYFUNCTION("""COMPUTED_VALUE"""),"N/A")</f>
        <v>N/A</v>
      </c>
      <c r="T152" s="13" t="str">
        <f>IFERROR(__xludf.DUMMYFUNCTION("""COMPUTED_VALUE"""),"N/A")</f>
        <v>N/A</v>
      </c>
      <c r="U152" s="13" t="str">
        <f>IFERROR(__xludf.DUMMYFUNCTION("""COMPUTED_VALUE"""),"Some concerns")</f>
        <v>Some concerns</v>
      </c>
      <c r="V152" s="13" t="str">
        <f>IFERROR(__xludf.DUMMYFUNCTION("""COMPUTED_VALUE"""),"Some concerns")</f>
        <v>Some concerns</v>
      </c>
      <c r="W152" s="13" t="str">
        <f>IFERROR(__xludf.DUMMYFUNCTION("""COMPUTED_VALUE"""),"Some concerns")</f>
        <v>Some concerns</v>
      </c>
    </row>
    <row r="153" ht="16.5" customHeight="1">
      <c r="A153" s="5" t="str">
        <f>IFERROR(__xludf.DUMMYFUNCTION("""COMPUTED_VALUE"""),"SCOPUS-000676")</f>
        <v>SCOPUS-000676</v>
      </c>
      <c r="B153" s="13" t="str">
        <f>IFERROR(__xludf.DUMMYFUNCTION("""COMPUTED_VALUE"""),"Yes")</f>
        <v>Yes</v>
      </c>
      <c r="C153" s="13" t="str">
        <f>IFERROR(__xludf.DUMMYFUNCTION("""COMPUTED_VALUE"""),"Partial")</f>
        <v>Partial</v>
      </c>
      <c r="D153" s="13" t="str">
        <f>IFERROR(__xludf.DUMMYFUNCTION("""COMPUTED_VALUE"""),"Yes")</f>
        <v>Yes</v>
      </c>
      <c r="E153" s="13" t="str">
        <f>IFERROR(__xludf.DUMMYFUNCTION("""COMPUTED_VALUE"""),"Partial")</f>
        <v>Partial</v>
      </c>
      <c r="F153" s="13" t="str">
        <f>IFERROR(__xludf.DUMMYFUNCTION("""COMPUTED_VALUE"""),"Yes")</f>
        <v>Yes</v>
      </c>
      <c r="G153" s="13" t="str">
        <f>IFERROR(__xludf.DUMMYFUNCTION("""COMPUTED_VALUE"""),"Yes")</f>
        <v>Yes</v>
      </c>
      <c r="H153" s="13" t="str">
        <f>IFERROR(__xludf.DUMMYFUNCTION("""COMPUTED_VALUE"""),"Yes")</f>
        <v>Yes</v>
      </c>
      <c r="I153" s="13" t="str">
        <f>IFERROR(__xludf.DUMMYFUNCTION("""COMPUTED_VALUE"""),"No")</f>
        <v>No</v>
      </c>
      <c r="J153" s="13" t="str">
        <f>IFERROR(__xludf.DUMMYFUNCTION("""COMPUTED_VALUE"""),"Yes")</f>
        <v>Yes</v>
      </c>
      <c r="K153" s="13" t="str">
        <f>IFERROR(__xludf.DUMMYFUNCTION("""COMPUTED_VALUE"""),"Partial")</f>
        <v>Partial</v>
      </c>
      <c r="L153" s="13" t="str">
        <f>IFERROR(__xludf.DUMMYFUNCTION("""COMPUTED_VALUE"""),"Yes")</f>
        <v>Yes</v>
      </c>
      <c r="M153" s="13" t="str">
        <f>IFERROR(__xludf.DUMMYFUNCTION("""COMPUTED_VALUE"""),"Partial")</f>
        <v>Partial</v>
      </c>
      <c r="N153" s="13" t="str">
        <f>IFERROR(__xludf.DUMMYFUNCTION("""COMPUTED_VALUE"""),"Partial")</f>
        <v>Partial</v>
      </c>
      <c r="O153" s="13" t="str">
        <f>IFERROR(__xludf.DUMMYFUNCTION("""COMPUTED_VALUE"""),"Unclear")</f>
        <v>Unclear</v>
      </c>
      <c r="P153" s="13" t="str">
        <f>IFERROR(__xludf.DUMMYFUNCTION("""COMPUTED_VALUE"""),"Yes")</f>
        <v>Yes</v>
      </c>
      <c r="Q153" s="13" t="str">
        <f>IFERROR(__xludf.DUMMYFUNCTION("""COMPUTED_VALUE"""),"Partial")</f>
        <v>Partial</v>
      </c>
      <c r="R153" s="13" t="str">
        <f>IFERROR(__xludf.DUMMYFUNCTION("""COMPUTED_VALUE"""),"Unclear")</f>
        <v>Unclear</v>
      </c>
      <c r="S153" s="13" t="str">
        <f>IFERROR(__xludf.DUMMYFUNCTION("""COMPUTED_VALUE"""),"N/A")</f>
        <v>N/A</v>
      </c>
      <c r="T153" s="13" t="str">
        <f>IFERROR(__xludf.DUMMYFUNCTION("""COMPUTED_VALUE"""),"N/A")</f>
        <v>N/A</v>
      </c>
      <c r="U153" s="13" t="str">
        <f>IFERROR(__xludf.DUMMYFUNCTION("""COMPUTED_VALUE"""),"Some concerns")</f>
        <v>Some concerns</v>
      </c>
      <c r="V153" s="13" t="str">
        <f>IFERROR(__xludf.DUMMYFUNCTION("""COMPUTED_VALUE"""),"High")</f>
        <v>High</v>
      </c>
      <c r="W153" s="13" t="str">
        <f>IFERROR(__xludf.DUMMYFUNCTION("""COMPUTED_VALUE"""),"Some concerns")</f>
        <v>Some concerns</v>
      </c>
    </row>
    <row r="154" ht="16.5" customHeight="1">
      <c r="A154" s="5" t="str">
        <f>IFERROR(__xludf.DUMMYFUNCTION("""COMPUTED_VALUE"""),"SCOPUS-000753")</f>
        <v>SCOPUS-000753</v>
      </c>
      <c r="B154" s="13" t="str">
        <f>IFERROR(__xludf.DUMMYFUNCTION("""COMPUTED_VALUE"""),"Yes")</f>
        <v>Yes</v>
      </c>
      <c r="C154" s="13" t="str">
        <f>IFERROR(__xludf.DUMMYFUNCTION("""COMPUTED_VALUE"""),"Yes")</f>
        <v>Yes</v>
      </c>
      <c r="D154" s="13" t="str">
        <f>IFERROR(__xludf.DUMMYFUNCTION("""COMPUTED_VALUE"""),"Yes")</f>
        <v>Yes</v>
      </c>
      <c r="E154" s="13" t="str">
        <f>IFERROR(__xludf.DUMMYFUNCTION("""COMPUTED_VALUE"""),"Yes")</f>
        <v>Yes</v>
      </c>
      <c r="F154" s="13" t="str">
        <f>IFERROR(__xludf.DUMMYFUNCTION("""COMPUTED_VALUE"""),"Yes")</f>
        <v>Yes</v>
      </c>
      <c r="G154" s="13" t="str">
        <f>IFERROR(__xludf.DUMMYFUNCTION("""COMPUTED_VALUE"""),"Yes")</f>
        <v>Yes</v>
      </c>
      <c r="H154" s="13" t="str">
        <f>IFERROR(__xludf.DUMMYFUNCTION("""COMPUTED_VALUE"""),"Yes")</f>
        <v>Yes</v>
      </c>
      <c r="I154" s="13" t="str">
        <f>IFERROR(__xludf.DUMMYFUNCTION("""COMPUTED_VALUE"""),"No")</f>
        <v>No</v>
      </c>
      <c r="J154" s="13" t="str">
        <f>IFERROR(__xludf.DUMMYFUNCTION("""COMPUTED_VALUE"""),"Yes")</f>
        <v>Yes</v>
      </c>
      <c r="K154" s="13" t="str">
        <f>IFERROR(__xludf.DUMMYFUNCTION("""COMPUTED_VALUE"""),"Yes")</f>
        <v>Yes</v>
      </c>
      <c r="L154" s="13" t="str">
        <f>IFERROR(__xludf.DUMMYFUNCTION("""COMPUTED_VALUE"""),"Yes")</f>
        <v>Yes</v>
      </c>
      <c r="M154" s="13" t="str">
        <f>IFERROR(__xludf.DUMMYFUNCTION("""COMPUTED_VALUE"""),"Partial")</f>
        <v>Partial</v>
      </c>
      <c r="N154" s="13" t="str">
        <f>IFERROR(__xludf.DUMMYFUNCTION("""COMPUTED_VALUE"""),"Yes")</f>
        <v>Yes</v>
      </c>
      <c r="O154" s="13" t="str">
        <f>IFERROR(__xludf.DUMMYFUNCTION("""COMPUTED_VALUE"""),"Unclear")</f>
        <v>Unclear</v>
      </c>
      <c r="P154" s="13" t="str">
        <f>IFERROR(__xludf.DUMMYFUNCTION("""COMPUTED_VALUE"""),"Yes")</f>
        <v>Yes</v>
      </c>
      <c r="Q154" s="13" t="str">
        <f>IFERROR(__xludf.DUMMYFUNCTION("""COMPUTED_VALUE"""),"Yes")</f>
        <v>Yes</v>
      </c>
      <c r="R154" s="13" t="str">
        <f>IFERROR(__xludf.DUMMYFUNCTION("""COMPUTED_VALUE"""),"Unclear")</f>
        <v>Unclear</v>
      </c>
      <c r="S154" s="13" t="str">
        <f>IFERROR(__xludf.DUMMYFUNCTION("""COMPUTED_VALUE"""),"N/A")</f>
        <v>N/A</v>
      </c>
      <c r="T154" s="13" t="str">
        <f>IFERROR(__xludf.DUMMYFUNCTION("""COMPUTED_VALUE"""),"N/A")</f>
        <v>N/A</v>
      </c>
      <c r="U154" s="13" t="str">
        <f>IFERROR(__xludf.DUMMYFUNCTION("""COMPUTED_VALUE"""),"Some concerns")</f>
        <v>Some concerns</v>
      </c>
      <c r="V154" s="13" t="str">
        <f>IFERROR(__xludf.DUMMYFUNCTION("""COMPUTED_VALUE"""),"Some concerns")</f>
        <v>Some concerns</v>
      </c>
      <c r="W154" s="13" t="str">
        <f>IFERROR(__xludf.DUMMYFUNCTION("""COMPUTED_VALUE"""),"Some concerns")</f>
        <v>Some concerns</v>
      </c>
    </row>
    <row r="155" ht="16.5" customHeight="1">
      <c r="A155" s="5" t="str">
        <f>IFERROR(__xludf.DUMMYFUNCTION("""COMPUTED_VALUE"""),"WEBSCI-000421")</f>
        <v>WEBSCI-000421</v>
      </c>
      <c r="B155" s="13" t="str">
        <f>IFERROR(__xludf.DUMMYFUNCTION("""COMPUTED_VALUE"""),"Yes")</f>
        <v>Yes</v>
      </c>
      <c r="C155" s="13" t="str">
        <f>IFERROR(__xludf.DUMMYFUNCTION("""COMPUTED_VALUE"""),"Partial")</f>
        <v>Partial</v>
      </c>
      <c r="D155" s="13" t="str">
        <f>IFERROR(__xludf.DUMMYFUNCTION("""COMPUTED_VALUE"""),"Yes")</f>
        <v>Yes</v>
      </c>
      <c r="E155" s="13" t="str">
        <f>IFERROR(__xludf.DUMMYFUNCTION("""COMPUTED_VALUE"""),"Partial")</f>
        <v>Partial</v>
      </c>
      <c r="F155" s="13" t="str">
        <f>IFERROR(__xludf.DUMMYFUNCTION("""COMPUTED_VALUE"""),"Yes")</f>
        <v>Yes</v>
      </c>
      <c r="G155" s="13" t="str">
        <f>IFERROR(__xludf.DUMMYFUNCTION("""COMPUTED_VALUE"""),"Yes")</f>
        <v>Yes</v>
      </c>
      <c r="H155" s="13" t="str">
        <f>IFERROR(__xludf.DUMMYFUNCTION("""COMPUTED_VALUE"""),"Partial")</f>
        <v>Partial</v>
      </c>
      <c r="I155" s="13" t="str">
        <f>IFERROR(__xludf.DUMMYFUNCTION("""COMPUTED_VALUE"""),"No")</f>
        <v>No</v>
      </c>
      <c r="J155" s="13" t="str">
        <f>IFERROR(__xludf.DUMMYFUNCTION("""COMPUTED_VALUE"""),"Partial")</f>
        <v>Partial</v>
      </c>
      <c r="K155" s="13" t="str">
        <f>IFERROR(__xludf.DUMMYFUNCTION("""COMPUTED_VALUE"""),"Yes")</f>
        <v>Yes</v>
      </c>
      <c r="L155" s="13" t="str">
        <f>IFERROR(__xludf.DUMMYFUNCTION("""COMPUTED_VALUE"""),"Yes")</f>
        <v>Yes</v>
      </c>
      <c r="M155" s="13" t="str">
        <f>IFERROR(__xludf.DUMMYFUNCTION("""COMPUTED_VALUE"""),"Partial")</f>
        <v>Partial</v>
      </c>
      <c r="N155" s="13" t="str">
        <f>IFERROR(__xludf.DUMMYFUNCTION("""COMPUTED_VALUE"""),"No")</f>
        <v>No</v>
      </c>
      <c r="O155" s="13" t="str">
        <f>IFERROR(__xludf.DUMMYFUNCTION("""COMPUTED_VALUE"""),"Unclear")</f>
        <v>Unclear</v>
      </c>
      <c r="P155" s="13" t="str">
        <f>IFERROR(__xludf.DUMMYFUNCTION("""COMPUTED_VALUE"""),"Yes")</f>
        <v>Yes</v>
      </c>
      <c r="Q155" s="13" t="str">
        <f>IFERROR(__xludf.DUMMYFUNCTION("""COMPUTED_VALUE"""),"Partial")</f>
        <v>Partial</v>
      </c>
      <c r="R155" s="13" t="str">
        <f>IFERROR(__xludf.DUMMYFUNCTION("""COMPUTED_VALUE"""),"Unclear")</f>
        <v>Unclear</v>
      </c>
      <c r="S155" s="13" t="str">
        <f>IFERROR(__xludf.DUMMYFUNCTION("""COMPUTED_VALUE"""),"N/A")</f>
        <v>N/A</v>
      </c>
      <c r="T155" s="13" t="str">
        <f>IFERROR(__xludf.DUMMYFUNCTION("""COMPUTED_VALUE"""),"N/A")</f>
        <v>N/A</v>
      </c>
      <c r="U155" s="13" t="str">
        <f>IFERROR(__xludf.DUMMYFUNCTION("""COMPUTED_VALUE"""),"Some concerns")</f>
        <v>Some concerns</v>
      </c>
      <c r="V155" s="13" t="str">
        <f>IFERROR(__xludf.DUMMYFUNCTION("""COMPUTED_VALUE"""),"High")</f>
        <v>High</v>
      </c>
      <c r="W155" s="13" t="str">
        <f>IFERROR(__xludf.DUMMYFUNCTION("""COMPUTED_VALUE"""),"High")</f>
        <v>High</v>
      </c>
    </row>
    <row r="156" ht="16.5" customHeight="1">
      <c r="A156" s="5" t="str">
        <f>IFERROR(__xludf.DUMMYFUNCTION("""COMPUTED_VALUE"""),"WEBSCI-000559")</f>
        <v>WEBSCI-000559</v>
      </c>
      <c r="B156" s="13" t="str">
        <f>IFERROR(__xludf.DUMMYFUNCTION("""COMPUTED_VALUE"""),"Yes")</f>
        <v>Yes</v>
      </c>
      <c r="C156" s="13" t="str">
        <f>IFERROR(__xludf.DUMMYFUNCTION("""COMPUTED_VALUE"""),"Yes")</f>
        <v>Yes</v>
      </c>
      <c r="D156" s="13" t="str">
        <f>IFERROR(__xludf.DUMMYFUNCTION("""COMPUTED_VALUE"""),"Yes")</f>
        <v>Yes</v>
      </c>
      <c r="E156" s="13" t="str">
        <f>IFERROR(__xludf.DUMMYFUNCTION("""COMPUTED_VALUE"""),"Yes")</f>
        <v>Yes</v>
      </c>
      <c r="F156" s="13" t="str">
        <f>IFERROR(__xludf.DUMMYFUNCTION("""COMPUTED_VALUE"""),"Yes")</f>
        <v>Yes</v>
      </c>
      <c r="G156" s="13" t="str">
        <f>IFERROR(__xludf.DUMMYFUNCTION("""COMPUTED_VALUE"""),"Yes")</f>
        <v>Yes</v>
      </c>
      <c r="H156" s="13" t="str">
        <f>IFERROR(__xludf.DUMMYFUNCTION("""COMPUTED_VALUE"""),"Yes")</f>
        <v>Yes</v>
      </c>
      <c r="I156" s="13" t="str">
        <f>IFERROR(__xludf.DUMMYFUNCTION("""COMPUTED_VALUE"""),"No")</f>
        <v>No</v>
      </c>
      <c r="J156" s="13" t="str">
        <f>IFERROR(__xludf.DUMMYFUNCTION("""COMPUTED_VALUE"""),"Yes")</f>
        <v>Yes</v>
      </c>
      <c r="K156" s="13" t="str">
        <f>IFERROR(__xludf.DUMMYFUNCTION("""COMPUTED_VALUE"""),"Yes")</f>
        <v>Yes</v>
      </c>
      <c r="L156" s="13" t="str">
        <f>IFERROR(__xludf.DUMMYFUNCTION("""COMPUTED_VALUE"""),"Yes")</f>
        <v>Yes</v>
      </c>
      <c r="M156" s="13" t="str">
        <f>IFERROR(__xludf.DUMMYFUNCTION("""COMPUTED_VALUE"""),"Partial")</f>
        <v>Partial</v>
      </c>
      <c r="N156" s="13" t="str">
        <f>IFERROR(__xludf.DUMMYFUNCTION("""COMPUTED_VALUE"""),"Partial")</f>
        <v>Partial</v>
      </c>
      <c r="O156" s="13" t="str">
        <f>IFERROR(__xludf.DUMMYFUNCTION("""COMPUTED_VALUE"""),"Unclear")</f>
        <v>Unclear</v>
      </c>
      <c r="P156" s="13" t="str">
        <f>IFERROR(__xludf.DUMMYFUNCTION("""COMPUTED_VALUE"""),"Yes")</f>
        <v>Yes</v>
      </c>
      <c r="Q156" s="13" t="str">
        <f>IFERROR(__xludf.DUMMYFUNCTION("""COMPUTED_VALUE"""),"Yes")</f>
        <v>Yes</v>
      </c>
      <c r="R156" s="13" t="str">
        <f>IFERROR(__xludf.DUMMYFUNCTION("""COMPUTED_VALUE"""),"Unclear")</f>
        <v>Unclear</v>
      </c>
      <c r="S156" s="13" t="str">
        <f>IFERROR(__xludf.DUMMYFUNCTION("""COMPUTED_VALUE"""),"N/A")</f>
        <v>N/A</v>
      </c>
      <c r="T156" s="13" t="str">
        <f>IFERROR(__xludf.DUMMYFUNCTION("""COMPUTED_VALUE"""),"N/A")</f>
        <v>N/A</v>
      </c>
      <c r="U156" s="13" t="str">
        <f>IFERROR(__xludf.DUMMYFUNCTION("""COMPUTED_VALUE"""),"Some concerns")</f>
        <v>Some concerns</v>
      </c>
      <c r="V156" s="13" t="str">
        <f>IFERROR(__xludf.DUMMYFUNCTION("""COMPUTED_VALUE"""),"Some concerns")</f>
        <v>Some concerns</v>
      </c>
      <c r="W156" s="13" t="str">
        <f>IFERROR(__xludf.DUMMYFUNCTION("""COMPUTED_VALUE"""),"Some concerns")</f>
        <v>Some concerns</v>
      </c>
    </row>
  </sheetData>
  <conditionalFormatting sqref="A3:W156">
    <cfRule type="expression" dxfId="15" priority="1" stopIfTrue="1">
      <formula>ISEVEN(ROW())</formula>
    </cfRule>
  </conditionalFormatting>
  <conditionalFormatting sqref="A3:W156">
    <cfRule type="expression" dxfId="16" priority="2" stopIfTrue="1">
      <formula>ISODD(ROW())</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4.5"/>
    <col customWidth="1" min="2" max="3" width="31.38"/>
    <col customWidth="1" min="4" max="4" width="57.63"/>
  </cols>
  <sheetData>
    <row r="1" ht="22.5" customHeight="1">
      <c r="A1" s="14" t="str">
        <f>IFERROR(__xludf.DUMMYFUNCTION("VSTACK(IMPORTRANGE(""https://docs.google.com/spreadsheets/d/1IG-NLlNbWxgmur-Ok920jusl5qwxm6_N-HtBuRIcbS0/edit"",""'10-Source &amp; Justification'!A1:D97""),QUERY(IMPORTRANGE(""https://docs.google.com/spreadsheets/d/1o-YvsM1EXkN6ZzOgu4zM9Uz7mmya31G7zJCOonMGAME"&amp;"/edit"",""'10-Source &amp; Justification'!A1:D63""),""select * offset 3"",0))"),"Source &amp; Justification")</f>
        <v>Source &amp; Justification</v>
      </c>
      <c r="B1" s="14"/>
      <c r="C1" s="14"/>
      <c r="D1" s="14"/>
    </row>
    <row r="2" ht="21.0" customHeight="1">
      <c r="A2" s="14" t="str">
        <f>IFERROR(__xludf.DUMMYFUNCTION("""COMPUTED_VALUE"""),"One row per paper -- where each performance number came from and why the mitigation was linked to it")</f>
        <v>One row per paper -- where each performance number came from and why the mitigation was linked to it</v>
      </c>
      <c r="B2" s="14"/>
      <c r="C2" s="14"/>
      <c r="D2" s="14"/>
    </row>
    <row r="3" ht="21.0" customHeight="1">
      <c r="A3" s="14" t="str">
        <f>IFERROR(__xludf.DUMMYFUNCTION("""COMPUTED_VALUE"""),"Study ID")</f>
        <v>Study ID</v>
      </c>
      <c r="B3" s="14" t="str">
        <f>IFERROR(__xludf.DUMMYFUNCTION("""COMPUTED_VALUE"""),"Source of Baseline")</f>
        <v>Source of Baseline</v>
      </c>
      <c r="C3" s="14" t="str">
        <f>IFERROR(__xludf.DUMMYFUNCTION("""COMPUTED_VALUE"""),"Source of Best Performance")</f>
        <v>Source of Best Performance</v>
      </c>
      <c r="D3" s="14" t="str">
        <f>IFERROR(__xludf.DUMMYFUNCTION("""COMPUTED_VALUE"""),"Why Provided Mitigation")</f>
        <v>Why Provided Mitigation</v>
      </c>
    </row>
    <row r="4" ht="31.5" customHeight="1">
      <c r="A4" s="5" t="str">
        <f>IFERROR(__xludf.DUMMYFUNCTION("""COMPUTED_VALUE"""),"SCOPUS-000349")</f>
        <v>SCOPUS-000349</v>
      </c>
      <c r="B4" s="6" t="str">
        <f>IFERROR(__xludf.DUMMYFUNCTION("""COMPUTED_VALUE"""),"Table II")</f>
        <v>Table II</v>
      </c>
      <c r="C4" s="6" t="str">
        <f>IFERROR(__xludf.DUMMYFUNCTION("""COMPUTED_VALUE"""),"Table II")</f>
        <v>Table II</v>
      </c>
      <c r="D4" s="6" t="str">
        <f>IFERROR(__xludf.DUMMYFUNCTION("""COMPUTED_VALUE"""),"Transfer learning is used to synthesize NIR/RGN information from RGB so the system can retain multispectral segmentation benefits while removing the extra multispectral camera, reducing hardware cost, weight, and power for practical edge deployment.")</f>
        <v>Transfer learning is used to synthesize NIR/RGN information from RGB so the system can retain multispectral segmentation benefits while removing the extra multispectral camera, reducing hardware cost, weight, and power for practical edge deployment.</v>
      </c>
    </row>
    <row r="5" ht="31.5" customHeight="1">
      <c r="A5" s="5" t="str">
        <f>IFERROR(__xludf.DUMMYFUNCTION("""COMPUTED_VALUE"""),"SCOPUS-000473")</f>
        <v>SCOPUS-000473</v>
      </c>
      <c r="B5" s="6" t="str">
        <f>IFERROR(__xludf.DUMMYFUNCTION("""COMPUTED_VALUE"""),"Fig. 11")</f>
        <v>Fig. 11</v>
      </c>
      <c r="C5" s="6" t="str">
        <f>IFERROR(__xludf.DUMMYFUNCTION("""COMPUTED_VALUE"""),"Table 2")</f>
        <v>Table 2</v>
      </c>
      <c r="D5" s="6" t="str">
        <f>IFERROR(__xludf.DUMMYFUNCTION("""COMPUTED_VALUE"""),"The semi-supervised ConvNeXt framework is introduced because large labeled weed datasets are costly and time-consuming to produce; consistency regularization and reconstruction exploit unlabeled data to retain accuracy and robustness with limited labels.")</f>
        <v>The semi-supervised ConvNeXt framework is introduced because large labeled weed datasets are costly and time-consuming to produce; consistency regularization and reconstruction exploit unlabeled data to retain accuracy and robustness with limited labels.</v>
      </c>
    </row>
    <row r="6" ht="31.5" customHeight="1">
      <c r="A6" s="5" t="str">
        <f>IFERROR(__xludf.DUMMYFUNCTION("""COMPUTED_VALUE"""),"SCOPUS-000722")</f>
        <v>SCOPUS-000722</v>
      </c>
      <c r="B6" s="6" t="str">
        <f>IFERROR(__xludf.DUMMYFUNCTION("""COMPUTED_VALUE"""),"Table 2")</f>
        <v>Table 2</v>
      </c>
      <c r="C6" s="6" t="str">
        <f>IFERROR(__xludf.DUMMYFUNCTION("""COMPUTED_VALUE"""),"Table 2")</f>
        <v>Table 2</v>
      </c>
      <c r="D6" s="6" t="str">
        <f>IFERROR(__xludf.DUMMYFUNCTION("""COMPUTED_VALUE"""),"The loss and model design address extreme class imbalance and very small flea-beetle damage regions, increasing attention to poorly represented classes while preserving crop/weed segmentation boundaries.")</f>
        <v>The loss and model design address extreme class imbalance and very small flea-beetle damage regions, increasing attention to poorly represented classes while preserving crop/weed segmentation boundaries.</v>
      </c>
    </row>
    <row r="7" ht="31.5" customHeight="1">
      <c r="A7" s="5" t="str">
        <f>IFERROR(__xludf.DUMMYFUNCTION("""COMPUTED_VALUE"""),"SCOPUS-000153")</f>
        <v>SCOPUS-000153</v>
      </c>
      <c r="B7" s="6" t="str">
        <f>IFERROR(__xludf.DUMMYFUNCTION("""COMPUTED_VALUE"""),"Table 4")</f>
        <v>Table 4</v>
      </c>
      <c r="C7" s="6" t="str">
        <f>IFERROR(__xludf.DUMMYFUNCTION("""COMPUTED_VALUE"""),"Table 7")</f>
        <v>Table 7</v>
      </c>
      <c r="D7" s="6" t="str">
        <f>IFERROR(__xludf.DUMMYFUNCTION("""COMPUTED_VALUE"""),"HSV mask enhancement is used to reduce annotation errors, while spatial attention is added to U-Net to focus on small or overlapping crop–weed regions and fine boundaries while suppressing irrelevant background information.")</f>
        <v>HSV mask enhancement is used to reduce annotation errors, while spatial attention is added to U-Net to focus on small or overlapping crop–weed regions and fine boundaries while suppressing irrelevant background information.</v>
      </c>
    </row>
    <row r="8" ht="31.5" customHeight="1">
      <c r="A8" s="5" t="str">
        <f>IFERROR(__xludf.DUMMYFUNCTION("""COMPUTED_VALUE"""),"SCOPUS-000522")</f>
        <v>SCOPUS-000522</v>
      </c>
      <c r="B8" s="6" t="str">
        <f>IFERROR(__xludf.DUMMYFUNCTION("""COMPUTED_VALUE"""),"Table 5")</f>
        <v>Table 5</v>
      </c>
      <c r="C8" s="6" t="str">
        <f>IFERROR(__xludf.DUMMYFUNCTION("""COMPUTED_VALUE"""),"Table 5")</f>
        <v>Table 5</v>
      </c>
      <c r="D8" s="6" t="str">
        <f>IFERROR(__xludf.DUMMYFUNCTION("""COMPUTED_VALUE"""),"RetinaNet and data augmentation are used to obtain fast one-step weed detection and classification under variable field conditions and visually similar weed species, improving robustness for real-time site-specific weed management.")</f>
        <v>RetinaNet and data augmentation are used to obtain fast one-step weed detection and classification under variable field conditions and visually similar weed species, improving robustness for real-time site-specific weed management.</v>
      </c>
    </row>
    <row r="9" ht="31.5" customHeight="1">
      <c r="A9" s="5" t="str">
        <f>IFERROR(__xludf.DUMMYFUNCTION("""COMPUTED_VALUE"""),"SCOPUS-000487")</f>
        <v>SCOPUS-000487</v>
      </c>
      <c r="B9" s="6" t="str">
        <f>IFERROR(__xludf.DUMMYFUNCTION("""COMPUTED_VALUE"""),"Table 3")</f>
        <v>Table 3</v>
      </c>
      <c r="C9" s="6" t="str">
        <f>IFERROR(__xludf.DUMMYFUNCTION("""COMPUTED_VALUE"""),"Table 3")</f>
        <v>Table 3</v>
      </c>
      <c r="D9" s="6" t="str">
        <f>IFERROR(__xludf.DUMMYFUNCTION("""COMPUTED_VALUE"""),"Synthetic multispectral crop/weed samples are generated to enlarge and diversify the small, costly pixel-wise annotated training set; mixing synthetic and real images is intended to improve segmentation generalization without equivalent manual labeling ef"&amp;"fort.")</f>
        <v>Synthetic multispectral crop/weed samples are generated to enlarge and diversify the small, costly pixel-wise annotated training set; mixing synthetic and real images is intended to improve segmentation generalization without equivalent manual labeling effort.</v>
      </c>
    </row>
    <row r="10" ht="31.5" customHeight="1">
      <c r="A10" s="5" t="str">
        <f>IFERROR(__xludf.DUMMYFUNCTION("""COMPUTED_VALUE"""),"SCOPUS-000328")</f>
        <v>SCOPUS-000328</v>
      </c>
      <c r="B10" s="6" t="str">
        <f>IFERROR(__xludf.DUMMYFUNCTION("""COMPUTED_VALUE"""),"Table 5")</f>
        <v>Table 5</v>
      </c>
      <c r="C10" s="6" t="str">
        <f>IFERROR(__xludf.DUMMYFUNCTION("""COMPUTED_VALUE"""),"Table 5")</f>
        <v>Table 5</v>
      </c>
      <c r="D10" s="6" t="str">
        <f>IFERROR(__xludf.DUMMYFUNCTION("""COMPUTED_VALUE"""),"The attention-based MFRWF module suppresses irrelevant background clutter and re-weights crop/weed features, while the CWF decoder preserves contextual information and limits feature distortion with low computational and memory overhead.")</f>
        <v>The attention-based MFRWF module suppresses irrelevant background clutter and re-weights crop/weed features, while the CWF decoder preserves contextual information and limits feature distortion with low computational and memory overhead.</v>
      </c>
    </row>
    <row r="11" ht="31.5" customHeight="1">
      <c r="A11" s="5" t="str">
        <f>IFERROR(__xludf.DUMMYFUNCTION("""COMPUTED_VALUE"""),"SCOPUS-000256")</f>
        <v>SCOPUS-000256</v>
      </c>
      <c r="B11" s="6" t="str">
        <f>IFERROR(__xludf.DUMMYFUNCTION("""COMPUTED_VALUE"""),"Table 3")</f>
        <v>Table 3</v>
      </c>
      <c r="C11" s="6" t="str">
        <f>IFERROR(__xludf.DUMMYFUNCTION("""COMPUTED_VALUE"""),"Table 3")</f>
        <v>Table 3</v>
      </c>
      <c r="D11" s="6" t="str">
        <f>IFERROR(__xludf.DUMMYFUNCTION("""COMPUTED_VALUE"""),"The lightweight YOLO-Riny architecture is designed to balance detection accuracy, memory use, and inference speed on edge devices; augmentation increases data diversity and robustness, while tracking reduces repeated laser weeding of the same plant.")</f>
        <v>The lightweight YOLO-Riny architecture is designed to balance detection accuracy, memory use, and inference speed on edge devices; augmentation increases data diversity and robustness, while tracking reduces repeated laser weeding of the same plant.</v>
      </c>
    </row>
    <row r="12" ht="31.5" customHeight="1">
      <c r="A12" s="5" t="str">
        <f>IFERROR(__xludf.DUMMYFUNCTION("""COMPUTED_VALUE"""),"SCOPUS-000234")</f>
        <v>SCOPUS-000234</v>
      </c>
      <c r="B12" s="6" t="str">
        <f>IFERROR(__xludf.DUMMYFUNCTION("""COMPUTED_VALUE"""),"Table 4")</f>
        <v>Table 4</v>
      </c>
      <c r="C12" s="6" t="str">
        <f>IFERROR(__xludf.DUMMYFUNCTION("""COMPUTED_VALUE"""),"Table 4")</f>
        <v>Table 4</v>
      </c>
      <c r="D12" s="6" t="str">
        <f>IFERROR(__xludf.DUMMYFUNCTION("""COMPUTED_VALUE"""),"MobileViTv3, BiFPN, and MPDIoU are introduced to handle dense, mutually occluded wheat and weeds of inconsistent sizes by combining local/global features, strengthening multi-scale fusion and small-target detection, and improving loss convergence.")</f>
        <v>MobileViTv3, BiFPN, and MPDIoU are introduced to handle dense, mutually occluded wheat and weeds of inconsistent sizes by combining local/global features, strengthening multi-scale fusion and small-target detection, and improving loss convergence.</v>
      </c>
    </row>
    <row r="13" ht="31.5" customHeight="1">
      <c r="A13" s="5" t="str">
        <f>IFERROR(__xludf.DUMMYFUNCTION("""COMPUTED_VALUE"""),"SCOPUS-000220")</f>
        <v>SCOPUS-000220</v>
      </c>
      <c r="B13" s="6" t="str">
        <f>IFERROR(__xludf.DUMMYFUNCTION("""COMPUTED_VALUE"""),"Table 2")</f>
        <v>Table 2</v>
      </c>
      <c r="C13" s="6" t="str">
        <f>IFERROR(__xludf.DUMMYFUNCTION("""COMPUTED_VALUE"""),"Table 2")</f>
        <v>Table 2</v>
      </c>
      <c r="D13" s="6" t="str">
        <f>IFERROR(__xludf.DUMMYFUNCTION("""COMPUTED_VALUE"""),"Swin Transformer, CARAFE, and the RT-DETR encoder are combined to improve global-context capture, preserve small-target details, reduce background and lighting interference, and maintain real-time performance for edge-deployed soybean weed detection.")</f>
        <v>Swin Transformer, CARAFE, and the RT-DETR encoder are combined to improve global-context capture, preserve small-target details, reduce background and lighting interference, and maintain real-time performance for edge-deployed soybean weed detection.</v>
      </c>
    </row>
    <row r="14" ht="31.5" customHeight="1">
      <c r="A14" s="5" t="str">
        <f>IFERROR(__xludf.DUMMYFUNCTION("""COMPUTED_VALUE"""),"SCOPUS-000211")</f>
        <v>SCOPUS-000211</v>
      </c>
      <c r="B14" s="6" t="str">
        <f>IFERROR(__xludf.DUMMYFUNCTION("""COMPUTED_VALUE"""),"Table 6")</f>
        <v>Table 6</v>
      </c>
      <c r="C14" s="6" t="str">
        <f>IFERROR(__xludf.DUMMYFUNCTION("""COMPUTED_VALUE"""),"Table 6")</f>
        <v>Table 6</v>
      </c>
      <c r="D14" s="6" t="str">
        <f>IFERROR(__xludf.DUMMYFUNCTION("""COMPUTED_VALUE"""),"The HAD-YOLO modifications strengthen multi-scale and small-target feature extraction while making the backbone more lightweight and improving detection-head representation, addressing the difficulty of balancing weed-detection accuracy and speed.")</f>
        <v>The HAD-YOLO modifications strengthen multi-scale and small-target feature extraction while making the backbone more lightweight and improving detection-head representation, addressing the difficulty of balancing weed-detection accuracy and speed.</v>
      </c>
    </row>
    <row r="15" ht="31.5" customHeight="1">
      <c r="A15" s="5" t="str">
        <f>IFERROR(__xludf.DUMMYFUNCTION("""COMPUTED_VALUE"""),"SCOPUS-000195")</f>
        <v>SCOPUS-000195</v>
      </c>
      <c r="B15" s="6" t="str">
        <f>IFERROR(__xludf.DUMMYFUNCTION("""COMPUTED_VALUE"""),"Fig. 6")</f>
        <v>Fig. 6</v>
      </c>
      <c r="C15" s="6" t="str">
        <f>IFERROR(__xludf.DUMMYFUNCTION("""COMPUTED_VALUE"""),"Fig. 6")</f>
        <v>Fig. 6</v>
      </c>
      <c r="D15" s="6" t="str">
        <f>IFERROR(__xludf.DUMMYFUNCTION("""COMPUTED_VALUE"""),"The EfficientNetB0-based network is fine-tuned and extended to improve discrimination of saffron and visually similar weed species in natural, unstructured field conditions, supporting accurate site-specific weed management.")</f>
        <v>The EfficientNetB0-based network is fine-tuned and extended to improve discrimination of saffron and visually similar weed species in natural, unstructured field conditions, supporting accurate site-specific weed management.</v>
      </c>
    </row>
    <row r="16" ht="31.5" customHeight="1">
      <c r="A16" s="5" t="str">
        <f>IFERROR(__xludf.DUMMYFUNCTION("""COMPUTED_VALUE"""),"SCOPUS-000139")</f>
        <v>SCOPUS-000139</v>
      </c>
      <c r="B16" s="6" t="str">
        <f>IFERROR(__xludf.DUMMYFUNCTION("""COMPUTED_VALUE"""),"Table 5")</f>
        <v>Table 5</v>
      </c>
      <c r="C16" s="6" t="str">
        <f>IFERROR(__xludf.DUMMYFUNCTION("""COMPUTED_VALUE"""),"Table 5")</f>
        <v>Table 5</v>
      </c>
      <c r="D16" s="6" t="str">
        <f>IFERROR(__xludf.DUMMYFUNCTION("""COMPUTED_VALUE"""),"The SAM and Stable Diffusion pipeline generates realistic synthetic variation because agricultural labeled data are scarce and expensive and conventional augmentation lacks real-world variability; the aim is more data-efficient and robust weed-detector tr"&amp;"aining.")</f>
        <v>The SAM and Stable Diffusion pipeline generates realistic synthetic variation because agricultural labeled data are scarce and expensive and conventional augmentation lacks real-world variability; the aim is more data-efficient and robust weed-detector training.</v>
      </c>
    </row>
    <row r="17" ht="31.5" customHeight="1">
      <c r="A17" s="5" t="str">
        <f>IFERROR(__xludf.DUMMYFUNCTION("""COMPUTED_VALUE"""),"SCOPUS-000045")</f>
        <v>SCOPUS-000045</v>
      </c>
      <c r="B17" s="6" t="str">
        <f>IFERROR(__xludf.DUMMYFUNCTION("""COMPUTED_VALUE"""),"Table 3")</f>
        <v>Table 3</v>
      </c>
      <c r="C17" s="6" t="str">
        <f>IFERROR(__xludf.DUMMYFUNCTION("""COMPUTED_VALUE"""),"Table 3")</f>
        <v>Table 3</v>
      </c>
      <c r="D17" s="6" t="str">
        <f>IFERROR(__xludf.DUMMYFUNCTION("""COMPUTED_VALUE"""),"Shape-and-style GAN augmentation is used to address costly pixel-wise labeling, limited training data, and class imbalance by generating realistic minority-class crop samples with varied shapes and styles; multispectral synthesis further improves segmenta"&amp;"tion.")</f>
        <v>Shape-and-style GAN augmentation is used to address costly pixel-wise labeling, limited training data, and class imbalance by generating realistic minority-class crop samples with varied shapes and styles; multispectral synthesis further improves segmentation.</v>
      </c>
    </row>
    <row r="18" ht="31.5" customHeight="1">
      <c r="A18" s="5" t="str">
        <f>IFERROR(__xludf.DUMMYFUNCTION("""COMPUTED_VALUE"""),"SCOPUS-000031")</f>
        <v>SCOPUS-000031</v>
      </c>
      <c r="B18" s="6" t="str">
        <f>IFERROR(__xludf.DUMMYFUNCTION("""COMPUTED_VALUE"""),"Table 3 (SB20 comparison)")</f>
        <v>Table 3 (SB20 comparison)</v>
      </c>
      <c r="C18" s="6" t="str">
        <f>IFERROR(__xludf.DUMMYFUNCTION("""COMPUTED_VALUE"""),"Table 3 (SB20 comparison)")</f>
        <v>Table 3 (SB20 comparison)</v>
      </c>
      <c r="D18" s="6" t="str">
        <f>IFERROR(__xludf.DUMMYFUNCTION("""COMPUTED_VALUE"""),"SWFormer combines CNN short-range feature extraction with Transformer long-range dependency modeling to overcome local crop–weed similarity; SWCC captures multi-scale information and ASA reduces feature loss during shallow/deep semantic fusion.")</f>
        <v>SWFormer combines CNN short-range feature extraction with Transformer long-range dependency modeling to overcome local crop–weed similarity; SWCC captures multi-scale information and ASA reduces feature loss during shallow/deep semantic fusion.</v>
      </c>
    </row>
    <row r="19" ht="31.5" customHeight="1">
      <c r="A19" s="5" t="str">
        <f>IFERROR(__xludf.DUMMYFUNCTION("""COMPUTED_VALUE"""),"SCOPUS-000014")</f>
        <v>SCOPUS-000014</v>
      </c>
      <c r="B19" s="6" t="str">
        <f>IFERROR(__xludf.DUMMYFUNCTION("""COMPUTED_VALUE"""),"Table 6")</f>
        <v>Table 6</v>
      </c>
      <c r="C19" s="6" t="str">
        <f>IFERROR(__xludf.DUMMYFUNCTION("""COMPUTED_VALUE"""),"Table 6")</f>
        <v>Table 6</v>
      </c>
      <c r="D19" s="6" t="str">
        <f>IFERROR(__xludf.DUMMYFUNCTION("""COMPUTED_VALUE"""),"HDMS-YOLO uses shallow/deep feature reconstruction, multi-scale feature aggregation, and a dynamic task-alignment head to improve detection across weed sizes and distinguish visually similar crops and weeds in complex field conditions while retaining real"&amp;"-time capability.")</f>
        <v>HDMS-YOLO uses shallow/deep feature reconstruction, multi-scale feature aggregation, and a dynamic task-alignment head to improve detection across weed sizes and distinguish visually similar crops and weeds in complex field conditions while retaining real-time capability.</v>
      </c>
    </row>
    <row r="20" ht="31.5" customHeight="1">
      <c r="A20" s="5" t="str">
        <f>IFERROR(__xludf.DUMMYFUNCTION("""COMPUTED_VALUE"""),"SCOPUS-000544")</f>
        <v>SCOPUS-000544</v>
      </c>
      <c r="B20" s="6" t="str">
        <f>IFERROR(__xludf.DUMMYFUNCTION("""COMPUTED_VALUE"""),"Figure 8")</f>
        <v>Figure 8</v>
      </c>
      <c r="C20" s="6" t="str">
        <f>IFERROR(__xludf.DUMMYFUNCTION("""COMPUTED_VALUE"""),"Figure 8")</f>
        <v>Figure 8</v>
      </c>
      <c r="D20" s="6" t="str">
        <f>IFERROR(__xludf.DUMMYFUNCTION("""COMPUTED_VALUE"""),"Instance segmentation with BlendMask is used to handle polymorphic and overlapping weed leaves and recover species, leaf age, and plant-centre information in complex field conditions; data enhancement improves generalization and segmentation robustness.")</f>
        <v>Instance segmentation with BlendMask is used to handle polymorphic and overlapping weed leaves and recover species, leaf age, and plant-centre information in complex field conditions; data enhancement improves generalization and segmentation robustness.</v>
      </c>
    </row>
    <row r="21" ht="31.5" customHeight="1">
      <c r="A21" s="5" t="str">
        <f>IFERROR(__xludf.DUMMYFUNCTION("""COMPUTED_VALUE"""),"SCOPUS-000151")</f>
        <v>SCOPUS-000151</v>
      </c>
      <c r="B21" s="6" t="str">
        <f>IFERROR(__xludf.DUMMYFUNCTION("""COMPUTED_VALUE"""),"Table 4")</f>
        <v>Table 4</v>
      </c>
      <c r="C21" s="6" t="str">
        <f>IFERROR(__xludf.DUMMYFUNCTION("""COMPUTED_VALUE"""),"Table 4")</f>
        <v>Table 4</v>
      </c>
      <c r="D21" s="6" t="str">
        <f>IFERROR(__xludf.DUMMYFUNCTION("""COMPUTED_VALUE"""),"The latent diffusion transformer is designed to remain robust to low-quality images, lighting variation, and complex backgrounds by denoising and reconstructing features in latent space and using self-attention to capture fine-grained weed features, while"&amp;" retaining a lightweight design for mobile deployment.")</f>
        <v>The latent diffusion transformer is designed to remain robust to low-quality images, lighting variation, and complex backgrounds by denoising and reconstructing features in latent space and using self-attention to capture fine-grained weed features, while retaining a lightweight design for mobile deployment.</v>
      </c>
    </row>
    <row r="22" ht="31.5" customHeight="1">
      <c r="A22" s="5" t="str">
        <f>IFERROR(__xludf.DUMMYFUNCTION("""COMPUTED_VALUE"""),"SCOPUS-000592")</f>
        <v>SCOPUS-000592</v>
      </c>
      <c r="B22" s="6" t="str">
        <f>IFERROR(__xludf.DUMMYFUNCTION("""COMPUTED_VALUE"""),"Table 2")</f>
        <v>Table 2</v>
      </c>
      <c r="C22" s="6" t="str">
        <f>IFERROR(__xludf.DUMMYFUNCTION("""COMPUTED_VALUE"""),"Table 2")</f>
        <v>Table 2</v>
      </c>
      <c r="D22" s="6" t="str">
        <f>IFERROR(__xludf.DUMMYFUNCTION("""COMPUTED_VALUE"""),"SL-Net uses scrawl-derived pseudo labels to reduce the high cost of pixel-level annotation while preserving maize and weed shape and location information; the lightweight encoder-decoder and optimized loss improve segmentation accuracy and efficiency unde"&amp;"r weak supervision.")</f>
        <v>SL-Net uses scrawl-derived pseudo labels to reduce the high cost of pixel-level annotation while preserving maize and weed shape and location information; the lightweight encoder-decoder and optimized loss improve segmentation accuracy and efficiency under weak supervision.</v>
      </c>
    </row>
    <row r="23" ht="31.5" customHeight="1">
      <c r="A23" s="5" t="str">
        <f>IFERROR(__xludf.DUMMYFUNCTION("""COMPUTED_VALUE"""),"SCOPUS-000629")</f>
        <v>SCOPUS-000629</v>
      </c>
      <c r="B23" s="6" t="str">
        <f>IFERROR(__xludf.DUMMYFUNCTION("""COMPUTED_VALUE"""),"Table 8")</f>
        <v>Table 8</v>
      </c>
      <c r="C23" s="6" t="str">
        <f>IFERROR(__xludf.DUMMYFUNCTION("""COMPUTED_VALUE"""),"Table 8")</f>
        <v>Table 8</v>
      </c>
      <c r="D23" s="6" t="str">
        <f>IFERROR(__xludf.DUMMYFUNCTION("""COMPUTED_VALUE"""),"Stable Diffusion is used to overcome the scarcity and high expert-labeling cost of weed images by generating diverse artificial weeds from very few real samples; mixing synthetic and real data improves robustness and mAP in complex, overlapping field cond"&amp;"itions.")</f>
        <v>Stable Diffusion is used to overcome the scarcity and high expert-labeling cost of weed images by generating diverse artificial weeds from very few real samples; mixing synthetic and real data improves robustness and mAP in complex, overlapping field conditions.</v>
      </c>
    </row>
    <row r="24" ht="31.5" customHeight="1">
      <c r="A24" s="5" t="str">
        <f>IFERROR(__xludf.DUMMYFUNCTION("""COMPUTED_VALUE"""),"SCOPUS-000475")</f>
        <v>SCOPUS-000475</v>
      </c>
      <c r="B24" s="6" t="str">
        <f>IFERROR(__xludf.DUMMYFUNCTION("""COMPUTED_VALUE"""),"Table 1")</f>
        <v>Table 1</v>
      </c>
      <c r="C24" s="6" t="str">
        <f>IFERROR(__xludf.DUMMYFUNCTION("""COMPUTED_VALUE"""),"Table 1")</f>
        <v>Table 1</v>
      </c>
      <c r="D24" s="6" t="str">
        <f>IFERROR(__xludf.DUMMYFUNCTION("""COMPUTED_VALUE"""),"MaxViT and CBAM are integrated into U-Net to capture both global and local context and focus on crop-weed edges and small targets, addressing boundary errors and complex backgrounds while balancing segmentation accuracy with computational efficiency.")</f>
        <v>MaxViT and CBAM are integrated into U-Net to capture both global and local context and focus on crop-weed edges and small targets, addressing boundary errors and complex backgrounds while balancing segmentation accuracy with computational efficiency.</v>
      </c>
    </row>
    <row r="25" ht="31.5" customHeight="1">
      <c r="A25" s="5" t="str">
        <f>IFERROR(__xludf.DUMMYFUNCTION("""COMPUTED_VALUE"""),"SCOPUS-000399")</f>
        <v>SCOPUS-000399</v>
      </c>
      <c r="B25" s="6" t="str">
        <f>IFERROR(__xludf.DUMMYFUNCTION("""COMPUTED_VALUE"""),"Table 3")</f>
        <v>Table 3</v>
      </c>
      <c r="C25" s="6" t="str">
        <f>IFERROR(__xludf.DUMMYFUNCTION("""COMPUTED_VALUE"""),"Table 3")</f>
        <v>Table 3</v>
      </c>
      <c r="D25" s="6" t="str">
        <f>IFERROR(__xludf.DUMMYFUNCTION("""COMPUTED_VALUE"""),"CA-GAN adds channel attention to generate more faithful, diverse, and discriminable synthetic weed images from limited annotated data, addressing both data scarcity and the low visual quality and class separability of earlier GAN-generated samples.")</f>
        <v>CA-GAN adds channel attention to generate more faithful, diverse, and discriminable synthetic weed images from limited annotated data, addressing both data scarcity and the low visual quality and class separability of earlier GAN-generated samples.</v>
      </c>
    </row>
    <row r="26" ht="31.5" customHeight="1">
      <c r="A26" s="5" t="str">
        <f>IFERROR(__xludf.DUMMYFUNCTION("""COMPUTED_VALUE"""),"SCOPUS-000323")</f>
        <v>SCOPUS-000323</v>
      </c>
      <c r="B26" s="6" t="str">
        <f>IFERROR(__xludf.DUMMYFUNCTION("""COMPUTED_VALUE"""),"Table 10")</f>
        <v>Table 10</v>
      </c>
      <c r="C26" s="6" t="str">
        <f>IFERROR(__xludf.DUMMYFUNCTION("""COMPUTED_VALUE"""),"Table 10")</f>
        <v>Table 10</v>
      </c>
      <c r="D26" s="6" t="str">
        <f>IFERROR(__xludf.DUMMYFUNCTION("""COMPUTED_VALUE"""),"The customized DenseNet combines multi-scale feature fusion and Triplet Attention to capture sorghum-specific patterns and emphasize informative regions that generic CNNs miss, improving classification robustness and accuracy while supporting explainable "&amp;"predictions.")</f>
        <v>The customized DenseNet combines multi-scale feature fusion and Triplet Attention to capture sorghum-specific patterns and emphasize informative regions that generic CNNs miss, improving classification robustness and accuracy while supporting explainable predictions.</v>
      </c>
    </row>
    <row r="27" ht="31.5" customHeight="1">
      <c r="A27" s="5" t="str">
        <f>IFERROR(__xludf.DUMMYFUNCTION("""COMPUTED_VALUE"""),"SCOPUS-000295")</f>
        <v>SCOPUS-000295</v>
      </c>
      <c r="B27" s="6" t="str">
        <f>IFERROR(__xludf.DUMMYFUNCTION("""COMPUTED_VALUE"""),"Table 5")</f>
        <v>Table 5</v>
      </c>
      <c r="C27" s="6" t="str">
        <f>IFERROR(__xludf.DUMMYFUNCTION("""COMPUTED_VALUE"""),"Table 5")</f>
        <v>Table 5</v>
      </c>
      <c r="D27" s="6" t="str">
        <f>IFERROR(__xludf.DUMMYFUNCTION("""COMPUTED_VALUE"""),"CD-YOLOv10n uses a lighter backbone and dynamic upsampling to improve vegetable feature extraction while reducing parameters and FLOPs; the indirect crop-first and green-pixel approach also reduces the difficulty and annotation burden of directly recogniz"&amp;"ing diverse weeds.")</f>
        <v>CD-YOLOv10n uses a lighter backbone and dynamic upsampling to improve vegetable feature extraction while reducing parameters and FLOPs; the indirect crop-first and green-pixel approach also reduces the difficulty and annotation burden of directly recognizing diverse weeds.</v>
      </c>
    </row>
    <row r="28" ht="31.5" customHeight="1">
      <c r="A28" s="5" t="str">
        <f>IFERROR(__xludf.DUMMYFUNCTION("""COMPUTED_VALUE"""),"SCOPUS-000611")</f>
        <v>SCOPUS-000611</v>
      </c>
      <c r="B28" s="6" t="str">
        <f>IFERROR(__xludf.DUMMYFUNCTION("""COMPUTED_VALUE"""),"Table 1")</f>
        <v>Table 1</v>
      </c>
      <c r="C28" s="6" t="str">
        <f>IFERROR(__xludf.DUMMYFUNCTION("""COMPUTED_VALUE"""),"Table 1")</f>
        <v>Table 1</v>
      </c>
      <c r="D28" s="6" t="str">
        <f>IFERROR(__xludf.DUMMYFUNCTION("""COMPUTED_VALUE"""),"Quantization is applied because the accurate InceptionV3 model is too large for resource-constrained agricultural edge devices; reducing weight precision greatly shrinks model size while retaining reasonable accuracy, with augmentation used to mitigate cl"&amp;"ass imbalance.")</f>
        <v>Quantization is applied because the accurate InceptionV3 model is too large for resource-constrained agricultural edge devices; reducing weight precision greatly shrinks model size while retaining reasonable accuracy, with augmentation used to mitigate class imbalance.</v>
      </c>
    </row>
    <row r="29" ht="31.5" customHeight="1">
      <c r="A29" s="5" t="str">
        <f>IFERROR(__xludf.DUMMYFUNCTION("""COMPUTED_VALUE"""),"SCOPUS-000738")</f>
        <v>SCOPUS-000738</v>
      </c>
      <c r="B29" s="6" t="str">
        <f>IFERROR(__xludf.DUMMYFUNCTION("""COMPUTED_VALUE"""),"Table 9")</f>
        <v>Table 9</v>
      </c>
      <c r="C29" s="6" t="str">
        <f>IFERROR(__xludf.DUMMYFUNCTION("""COMPUTED_VALUE"""),"Table 9")</f>
        <v>Table 9</v>
      </c>
      <c r="D29" s="6" t="str">
        <f>IFERROR(__xludf.DUMMYFUNCTION("""COMPUTED_VALUE"""),"The patch-based method removes background before classification, converting a three-class pixel task into a two-class crop-weed task; this reduces background-driven class imbalance, decoder and upsampling computation, and memory use, making detection fast"&amp;"er and more robust for aerial spraying.")</f>
        <v>The patch-based method removes background before classification, converting a three-class pixel task into a two-class crop-weed task; this reduces background-driven class imbalance, decoder and upsampling computation, and memory use, making detection faster and more robust for aerial spraying.</v>
      </c>
    </row>
    <row r="30" ht="31.5" customHeight="1">
      <c r="A30" s="5" t="str">
        <f>IFERROR(__xludf.DUMMYFUNCTION("""COMPUTED_VALUE"""),"SCOPUS-000114")</f>
        <v>SCOPUS-000114</v>
      </c>
      <c r="B30" s="6" t="str">
        <f>IFERROR(__xludf.DUMMYFUNCTION("""COMPUTED_VALUE"""),"Table 2")</f>
        <v>Table 2</v>
      </c>
      <c r="C30" s="6" t="str">
        <f>IFERROR(__xludf.DUMMYFUNCTION("""COMPUTED_VALUE"""),"Table 2")</f>
        <v>Table 2</v>
      </c>
      <c r="D30" s="6" t="str">
        <f>IFERROR(__xludf.DUMMYFUNCTION("""COMPUTED_VALUE"""),"EnviroWeedNet combines learned visual features with contextual and environmental information to reduce misclassification under changing field conditions such as lighting and weather, while keeping the system efficient enough for real-time UAV or edge depl"&amp;"oyment and targeted treatment.")</f>
        <v>EnviroWeedNet combines learned visual features with contextual and environmental information to reduce misclassification under changing field conditions such as lighting and weather, while keeping the system efficient enough for real-time UAV or edge deployment and targeted treatment.</v>
      </c>
    </row>
    <row r="31" ht="31.5" customHeight="1">
      <c r="A31" s="5" t="str">
        <f>IFERROR(__xludf.DUMMYFUNCTION("""COMPUTED_VALUE"""),"SCOPUS-000366")</f>
        <v>SCOPUS-000366</v>
      </c>
      <c r="B31" s="6" t="str">
        <f>IFERROR(__xludf.DUMMYFUNCTION("""COMPUTED_VALUE"""),"Table I")</f>
        <v>Table I</v>
      </c>
      <c r="C31" s="6" t="str">
        <f>IFERROR(__xludf.DUMMYFUNCTION("""COMPUTED_VALUE"""),"Table IV")</f>
        <v>Table IV</v>
      </c>
      <c r="D31" s="6" t="str">
        <f>IFERROR(__xludf.DUMMYFUNCTION("""COMPUTED_VALUE"""),"Transfer-learned MobileNetV2 features are used because the weed-potato dataset is too small for reliable end-to-end deep learning; pretrained deep features provide richer representations than local LBP and HOG features and support strong SVM classificatio"&amp;"n with limited data.")</f>
        <v>Transfer-learned MobileNetV2 features are used because the weed-potato dataset is too small for reliable end-to-end deep learning; pretrained deep features provide richer representations than local LBP and HOG features and support strong SVM classification with limited data.</v>
      </c>
    </row>
    <row r="32" ht="31.5" customHeight="1">
      <c r="A32" s="5" t="str">
        <f>IFERROR(__xludf.DUMMYFUNCTION("""COMPUTED_VALUE"""),"SCOPUS-000286")</f>
        <v>SCOPUS-000286</v>
      </c>
      <c r="B32" s="6" t="str">
        <f>IFERROR(__xludf.DUMMYFUNCTION("""COMPUTED_VALUE"""),"Table 4")</f>
        <v>Table 4</v>
      </c>
      <c r="C32" s="6" t="str">
        <f>IFERROR(__xludf.DUMMYFUNCTION("""COMPUTED_VALUE"""),"Table 4")</f>
        <v>Table 4</v>
      </c>
      <c r="D32" s="6" t="str">
        <f>IFERROR(__xludf.DUMMYFUNCTION("""COMPUTED_VALUE"""),"The two-stage method first detects and removes lily regions, then extracts weed regions with HSV and morphology for precise laser targeting; YOLO-Morse strengthens small-target perception, multi-scale fusion, and sample-imbalance handling while preserving"&amp;" practical efficiency.")</f>
        <v>The two-stage method first detects and removes lily regions, then extracts weed regions with HSV and morphology for precise laser targeting; YOLO-Morse strengthens small-target perception, multi-scale fusion, and sample-imbalance handling while preserving practical efficiency.</v>
      </c>
    </row>
    <row r="33" ht="31.5" customHeight="1">
      <c r="A33" s="5" t="str">
        <f>IFERROR(__xludf.DUMMYFUNCTION("""COMPUTED_VALUE"""),"SCOPUS-000283")</f>
        <v>SCOPUS-000283</v>
      </c>
      <c r="B33" s="6" t="str">
        <f>IFERROR(__xludf.DUMMYFUNCTION("""COMPUTED_VALUE"""),"Table 3")</f>
        <v>Table 3</v>
      </c>
      <c r="C33" s="6" t="str">
        <f>IFERROR(__xludf.DUMMYFUNCTION("""COMPUTED_VALUE"""),"Table 3")</f>
        <v>Table 3</v>
      </c>
      <c r="D33" s="6" t="str">
        <f>IFERROR(__xludf.DUMMYFUNCTION("""COMPUTED_VALUE"""),"YOLOv11-SNEW combines a lightweight ShuffleNetV2 backbone, NAM attention, multi-scale EMSCP features, and an improved loss to reduce computational demand and missed detections while preserving accuracy for real-time deployment on embedded weeding robots.")</f>
        <v>YOLOv11-SNEW combines a lightweight ShuffleNetV2 backbone, NAM attention, multi-scale EMSCP features, and an improved loss to reduce computational demand and missed detections while preserving accuracy for real-time deployment on embedded weeding robots.</v>
      </c>
    </row>
    <row r="34" ht="31.5" customHeight="1">
      <c r="A34" s="5" t="str">
        <f>IFERROR(__xludf.DUMMYFUNCTION("""COMPUTED_VALUE"""),"SCOPUS-000276")</f>
        <v>SCOPUS-000276</v>
      </c>
      <c r="B34" s="6" t="str">
        <f>IFERROR(__xludf.DUMMYFUNCTION("""COMPUTED_VALUE"""),"Table 5")</f>
        <v>Table 5</v>
      </c>
      <c r="C34" s="6" t="str">
        <f>IFERROR(__xludf.DUMMYFUNCTION("""COMPUTED_VALUE"""),"Table 5")</f>
        <v>Table 5</v>
      </c>
      <c r="D34" s="6" t="str">
        <f>IFERROR(__xludf.DUMMYFUNCTION("""COMPUTED_VALUE"""),"HAPN uses few-shot learning, spatial and channel attention, adaptive class prototypes, and contrastive loss to classify weeds accurately from very limited labeled samples, improving generalization to novel classes without substantially increasing computat"&amp;"ional complexity.")</f>
        <v>HAPN uses few-shot learning, spatial and channel attention, adaptive class prototypes, and contrastive loss to classify weeds accurately from very limited labeled samples, improving generalization to novel classes without substantially increasing computational complexity.</v>
      </c>
    </row>
    <row r="35" ht="31.5" customHeight="1">
      <c r="A35" s="5" t="str">
        <f>IFERROR(__xludf.DUMMYFUNCTION("""COMPUTED_VALUE"""),"SCOPUS-000246")</f>
        <v>SCOPUS-000246</v>
      </c>
      <c r="B35" s="6" t="str">
        <f>IFERROR(__xludf.DUMMYFUNCTION("""COMPUTED_VALUE"""),"Table 3")</f>
        <v>Table 3</v>
      </c>
      <c r="C35" s="6" t="str">
        <f>IFERROR(__xludf.DUMMYFUNCTION("""COMPUTED_VALUE"""),"Table 3")</f>
        <v>Table 3</v>
      </c>
      <c r="D35" s="6" t="str">
        <f>IFERROR(__xludf.DUMMYFUNCTION("""COMPUTED_VALUE"""),"RAIN and DGB are introduced to close the domain gap between controlled and real paddy environments: stochastic style alignment models changing field appearance, while adversarial gradient perturbations strengthen feature robustness and cross-environment g"&amp;"eneralization.")</f>
        <v>RAIN and DGB are introduced to close the domain gap between controlled and real paddy environments: stochastic style alignment models changing field appearance, while adversarial gradient perturbations strengthen feature robustness and cross-environment generalization.</v>
      </c>
    </row>
    <row r="36" ht="31.5" customHeight="1">
      <c r="A36" s="5" t="str">
        <f>IFERROR(__xludf.DUMMYFUNCTION("""COMPUTED_VALUE"""),"SCOPUS-000599")</f>
        <v>SCOPUS-000599</v>
      </c>
      <c r="B36" s="6" t="str">
        <f>IFERROR(__xludf.DUMMYFUNCTION("""COMPUTED_VALUE"""),"Table IV")</f>
        <v>Table IV</v>
      </c>
      <c r="C36" s="6" t="str">
        <f>IFERROR(__xludf.DUMMYFUNCTION("""COMPUTED_VALUE"""),"Table III")</f>
        <v>Table III</v>
      </c>
      <c r="D36" s="6" t="str">
        <f>IFERROR(__xludf.DUMMYFUNCTION("""COMPUTED_VALUE"""),"Transfer learning with VGG16 and VGG16-BN reuses ImageNet features instead of training from scratch, improving weed classification on the limited plantation dataset; optimizer and hyperparameter tuning further increases accuracy for selective herbicide sp"&amp;"raying.")</f>
        <v>Transfer learning with VGG16 and VGG16-BN reuses ImageNet features instead of training from scratch, improving weed classification on the limited plantation dataset; optimizer and hyperparameter tuning further increases accuracy for selective herbicide spraying.</v>
      </c>
    </row>
    <row r="37" ht="31.5" customHeight="1">
      <c r="A37" s="5" t="str">
        <f>IFERROR(__xludf.DUMMYFUNCTION("""COMPUTED_VALUE"""),"SCOPUS-000280")</f>
        <v>SCOPUS-000280</v>
      </c>
      <c r="B37" s="6" t="str">
        <f>IFERROR(__xludf.DUMMYFUNCTION("""COMPUTED_VALUE"""),"Table 2")</f>
        <v>Table 2</v>
      </c>
      <c r="C37" s="6" t="str">
        <f>IFERROR(__xludf.DUMMYFUNCTION("""COMPUTED_VALUE"""),"Table 2")</f>
        <v>Table 2</v>
      </c>
      <c r="D37" s="6" t="str">
        <f>IFERROR(__xludf.DUMMYFUNCTION("""COMPUTED_VALUE"""),"YOLOv12-BDA combines a dual-backbone design with dynamic multi-scale feature fusion to improve localization of small weeds across large scale variation, morphological similarity, and complex field backgrounds while retaining practical real-time detection "&amp;"capability.")</f>
        <v>YOLOv12-BDA combines a dual-backbone design with dynamic multi-scale feature fusion to improve localization of small weeds across large scale variation, morphological similarity, and complex field backgrounds while retaining practical real-time detection capability.</v>
      </c>
    </row>
    <row r="38" ht="31.5" customHeight="1">
      <c r="A38" s="5" t="str">
        <f>IFERROR(__xludf.DUMMYFUNCTION("""COMPUTED_VALUE"""),"SCOPUS-000063")</f>
        <v>SCOPUS-000063</v>
      </c>
      <c r="B38" s="6" t="str">
        <f>IFERROR(__xludf.DUMMYFUNCTION("""COMPUTED_VALUE"""),"Table 2")</f>
        <v>Table 2</v>
      </c>
      <c r="C38" s="6" t="str">
        <f>IFERROR(__xludf.DUMMYFUNCTION("""COMPUTED_VALUE"""),"Table 2")</f>
        <v>Table 2</v>
      </c>
      <c r="D38" s="6" t="str">
        <f>IFERROR(__xludf.DUMMYFUNCTION("""COMPUTED_VALUE"""),"The semi-supervised diffusion framework reduces dependence on labeled weed images by generating additional training data, while generative attention strengthens fine-grained crop-weed feature discrimination and the semi-diffusion objective improves robust"&amp;"ness in complex agricultural scenes.")</f>
        <v>The semi-supervised diffusion framework reduces dependence on labeled weed images by generating additional training data, while generative attention strengthens fine-grained crop-weed feature discrimination and the semi-diffusion objective improves robustness in complex agricultural scenes.</v>
      </c>
    </row>
    <row r="39" ht="31.5" customHeight="1">
      <c r="A39" s="5" t="str">
        <f>IFERROR(__xludf.DUMMYFUNCTION("""COMPUTED_VALUE"""),"SCOPUS-000017")</f>
        <v>SCOPUS-000017</v>
      </c>
      <c r="B39" s="6" t="str">
        <f>IFERROR(__xludf.DUMMYFUNCTION("""COMPUTED_VALUE"""),"Table 3")</f>
        <v>Table 3</v>
      </c>
      <c r="C39" s="6" t="str">
        <f>IFERROR(__xludf.DUMMYFUNCTION("""COMPUTED_VALUE"""),"Table 3")</f>
        <v>Table 3</v>
      </c>
      <c r="D39" s="6" t="str">
        <f>IFERROR(__xludf.DUMMYFUNCTION("""COMPUTED_VALUE"""),"MSEA-Net combines multi-scale spatial-channel feature fusion with edge-aware bottleneck attention to improve local-global context and boundary delineation in overlapping vegetation, while its compact architecture reduces computation for real-time UAV or e"&amp;"dge deployment.")</f>
        <v>MSEA-Net combines multi-scale spatial-channel feature fusion with edge-aware bottleneck attention to improve local-global context and boundary delineation in overlapping vegetation, while its compact architecture reduces computation for real-time UAV or edge deployment.</v>
      </c>
    </row>
    <row r="40" ht="31.5" customHeight="1">
      <c r="A40" s="5" t="str">
        <f>IFERROR(__xludf.DUMMYFUNCTION("""COMPUTED_VALUE"""),"SCOPUS-000244")</f>
        <v>SCOPUS-000244</v>
      </c>
      <c r="B40" s="6" t="str">
        <f>IFERROR(__xludf.DUMMYFUNCTION("""COMPUTED_VALUE"""),"Table 2")</f>
        <v>Table 2</v>
      </c>
      <c r="C40" s="6" t="str">
        <f>IFERROR(__xludf.DUMMYFUNCTION("""COMPUTED_VALUE"""),"Table 2")</f>
        <v>Table 2</v>
      </c>
      <c r="D40" s="6" t="str">
        <f>IFERROR(__xludf.DUMMYFUNCTION("""COMPUTED_VALUE"""),"WeedCLR uses self-supervised multi-crop representation learning to reduce annotation requirements, Von Neumann Entropy to avoid representation collapse, and a class-optimized loss to address long-tailed class imbalance and improve generalization.")</f>
        <v>WeedCLR uses self-supervised multi-crop representation learning to reduce annotation requirements, Von Neumann Entropy to avoid representation collapse, and a class-optimized loss to address long-tailed class imbalance and improve generalization.</v>
      </c>
    </row>
    <row r="41" ht="31.5" customHeight="1">
      <c r="A41" s="5" t="str">
        <f>IFERROR(__xludf.DUMMYFUNCTION("""COMPUTED_VALUE"""),"SCOPUS-000064")</f>
        <v>SCOPUS-000064</v>
      </c>
      <c r="B41" s="6" t="str">
        <f>IFERROR(__xludf.DUMMYFUNCTION("""COMPUTED_VALUE"""),"Table 8")</f>
        <v>Table 8</v>
      </c>
      <c r="C41" s="6" t="str">
        <f>IFERROR(__xludf.DUMMYFUNCTION("""COMPUTED_VALUE"""),"Table 8")</f>
        <v>Table 8</v>
      </c>
      <c r="D41" s="6" t="str">
        <f>IFERROR(__xludf.DUMMYFUNCTION("""COMPUTED_VALUE"""),"Fine-tuned MobileNetV2 combines transfer learning with shape features, data augmentation, dropout, and training optimization to distinguish visually similar Teff and weeds more robustly across growth and weather conditions while remaining efficient for UA"&amp;"V-assisted selective spraying.")</f>
        <v>Fine-tuned MobileNetV2 combines transfer learning with shape features, data augmentation, dropout, and training optimization to distinguish visually similar Teff and weeds more robustly across growth and weather conditions while remaining efficient for UAV-assisted selective spraying.</v>
      </c>
    </row>
    <row r="42" ht="31.5" customHeight="1">
      <c r="A42" s="5" t="str">
        <f>IFERROR(__xludf.DUMMYFUNCTION("""COMPUTED_VALUE"""),"SCOPUS-000320")</f>
        <v>SCOPUS-000320</v>
      </c>
      <c r="B42" s="6" t="str">
        <f>IFERROR(__xludf.DUMMYFUNCTION("""COMPUTED_VALUE"""),"Table 5")</f>
        <v>Table 5</v>
      </c>
      <c r="C42" s="6" t="str">
        <f>IFERROR(__xludf.DUMMYFUNCTION("""COMPUTED_VALUE"""),"Table 5")</f>
        <v>Table 5</v>
      </c>
      <c r="D42" s="6" t="str">
        <f>IFERROR(__xludf.DUMMYFUNCTION("""COMPUTED_VALUE"""),"High-resolution UAV images are tiled to preserve small-object detail, accurately annotated, and used with COCO-pretrained YOLOv7 plus hyperparameter tuning; the standard YOLOv7 configuration provides a stronger balance of complexity and generalization on "&amp;"cluttered, imbalanced cotton-field imagery.")</f>
        <v>High-resolution UAV images are tiled to preserve small-object detail, accurately annotated, and used with COCO-pretrained YOLOv7 plus hyperparameter tuning; the standard YOLOv7 configuration provides a stronger balance of complexity and generalization on cluttered, imbalanced cotton-field imagery.</v>
      </c>
    </row>
    <row r="43" ht="31.5" customHeight="1">
      <c r="A43" s="5" t="str">
        <f>IFERROR(__xludf.DUMMYFUNCTION("""COMPUTED_VALUE"""),"SCOPUS-000086")</f>
        <v>SCOPUS-000086</v>
      </c>
      <c r="B43" s="6" t="str">
        <f>IFERROR(__xludf.DUMMYFUNCTION("""COMPUTED_VALUE"""),"Table 1")</f>
        <v>Table 1</v>
      </c>
      <c r="C43" s="6" t="str">
        <f>IFERROR(__xludf.DUMMYFUNCTION("""COMPUTED_VALUE"""),"Table 1")</f>
        <v>Table 1</v>
      </c>
      <c r="D43" s="6" t="str">
        <f>IFERROR(__xludf.DUMMYFUNCTION("""COMPUTED_VALUE"""),"SSMD exploits unlabeled images through semi-supervised multi-scale representation and adaptive pseudo-label confidence, with mixed and epoch-corresponding pseudo-labels reducing label noise and annotation burden while improving detection across weed sizes"&amp;".")</f>
        <v>SSMD exploits unlabeled images through semi-supervised multi-scale representation and adaptive pseudo-label confidence, with mixed and epoch-corresponding pseudo-labels reducing label noise and annotation burden while improving detection across weed sizes.</v>
      </c>
    </row>
    <row r="44" ht="31.5" customHeight="1">
      <c r="A44" s="5" t="str">
        <f>IFERROR(__xludf.DUMMYFUNCTION("""COMPUTED_VALUE"""),"SCOPUS-000652")</f>
        <v>SCOPUS-000652</v>
      </c>
      <c r="B44" s="6" t="str">
        <f>IFERROR(__xludf.DUMMYFUNCTION("""COMPUTED_VALUE"""),"Table 16")</f>
        <v>Table 16</v>
      </c>
      <c r="C44" s="6" t="str">
        <f>IFERROR(__xludf.DUMMYFUNCTION("""COMPUTED_VALUE"""),"Table 16")</f>
        <v>Table 16</v>
      </c>
      <c r="D44" s="6" t="str">
        <f>IFERROR(__xludf.DUMMYFUNCTION("""COMPUTED_VALUE"""),"The ELM-based approach uses LBP, HOG, and color features to obtain fine-grained weed segmentation from small datasets without the training cost and data demands of deep networks; LBP provides stronger local texture discrimination, and single-pass feature "&amp;"extraction reduces computation.")</f>
        <v>The ELM-based approach uses LBP, HOG, and color features to obtain fine-grained weed segmentation from small datasets without the training cost and data demands of deep networks; LBP provides stronger local texture discrimination, and single-pass feature extraction reduces computation.</v>
      </c>
    </row>
    <row r="45" ht="31.5" customHeight="1">
      <c r="A45" s="5" t="str">
        <f>IFERROR(__xludf.DUMMYFUNCTION("""COMPUTED_VALUE"""),"SCOPUS-000146")</f>
        <v>SCOPUS-000146</v>
      </c>
      <c r="B45" s="6" t="str">
        <f>IFERROR(__xludf.DUMMYFUNCTION("""COMPUTED_VALUE"""),"Table 3")</f>
        <v>Table 3</v>
      </c>
      <c r="C45" s="6" t="str">
        <f>IFERROR(__xludf.DUMMYFUNCTION("""COMPUTED_VALUE"""),"Table 3")</f>
        <v>Table 3</v>
      </c>
      <c r="D45" s="6" t="str">
        <f>IFERROR(__xludf.DUMMYFUNCTION("""COMPUTED_VALUE"""),"The workflow addresses hyperspectral memory exhaustion through distributed data-parallel training, removal of noisy and redundant spectral channels, optimized image resolution, data augmentation, and residual architectures, balancing discriminative inform"&amp;"ation, batch size, and GPU memory use.")</f>
        <v>The workflow addresses hyperspectral memory exhaustion through distributed data-parallel training, removal of noisy and redundant spectral channels, optimized image resolution, data augmentation, and residual architectures, balancing discriminative information, batch size, and GPU memory use.</v>
      </c>
    </row>
    <row r="46" ht="31.5" customHeight="1">
      <c r="A46" s="5" t="str">
        <f>IFERROR(__xludf.DUMMYFUNCTION("""COMPUTED_VALUE"""),"SCOPUS-000407")</f>
        <v>SCOPUS-000407</v>
      </c>
      <c r="B46" s="6" t="str">
        <f>IFERROR(__xludf.DUMMYFUNCTION("""COMPUTED_VALUE"""),"Table 3")</f>
        <v>Table 3</v>
      </c>
      <c r="C46" s="6" t="str">
        <f>IFERROR(__xludf.DUMMYFUNCTION("""COMPUTED_VALUE"""),"Table 3")</f>
        <v>Table 3</v>
      </c>
      <c r="D46" s="6" t="str">
        <f>IFERROR(__xludf.DUMMYFUNCTION("""COMPUTED_VALUE"""),"Online data augmentation increases dataset diversity without additional storage, while CBAM channel-spatial attention suppresses background noise and emphasizes weed features; YOLOv7 multi-scale feature fusion further supports weeds with different sizes a"&amp;"nd morphologies.")</f>
        <v>Online data augmentation increases dataset diversity without additional storage, while CBAM channel-spatial attention suppresses background noise and emphasizes weed features; YOLOv7 multi-scale feature fusion further supports weeds with different sizes and morphologies.</v>
      </c>
    </row>
    <row r="47" ht="31.5" customHeight="1">
      <c r="A47" s="5" t="str">
        <f>IFERROR(__xludf.DUMMYFUNCTION("""COMPUTED_VALUE"""),"SCOPUS-000352")</f>
        <v>SCOPUS-000352</v>
      </c>
      <c r="B47" s="6" t="str">
        <f>IFERROR(__xludf.DUMMYFUNCTION("""COMPUTED_VALUE"""),"Table 3")</f>
        <v>Table 3</v>
      </c>
      <c r="C47" s="6" t="str">
        <f>IFERROR(__xludf.DUMMYFUNCTION("""COMPUTED_VALUE"""),"Table 3")</f>
        <v>Table 3</v>
      </c>
      <c r="D47" s="6" t="str">
        <f>IFERROR(__xludf.DUMMYFUNCTION("""COMPUTED_VALUE"""),"The proposed lightweight U-Net uses inverted residual blocks to reduce parameters, pyramid pooling to capture multi-scale context and small targets, and squeeze-and-excitation to recalibrate informative channels, addressing limited cornfield data and cons"&amp;"trained computational resources.")</f>
        <v>The proposed lightweight U-Net uses inverted residual blocks to reduce parameters, pyramid pooling to capture multi-scale context and small targets, and squeeze-and-excitation to recalibrate informative channels, addressing limited cornfield data and constrained computational resources.</v>
      </c>
    </row>
    <row r="48" ht="31.5" customHeight="1">
      <c r="A48" s="5" t="str">
        <f>IFERROR(__xludf.DUMMYFUNCTION("""COMPUTED_VALUE"""),"SCOPUS-000175")</f>
        <v>SCOPUS-000175</v>
      </c>
      <c r="B48" s="6" t="str">
        <f>IFERROR(__xludf.DUMMYFUNCTION("""COMPUTED_VALUE"""),"Table 3")</f>
        <v>Table 3</v>
      </c>
      <c r="C48" s="6" t="str">
        <f>IFERROR(__xludf.DUMMYFUNCTION("""COMPUTED_VALUE"""),"Table 3")</f>
        <v>Table 3</v>
      </c>
      <c r="D48" s="6" t="str">
        <f>IFERROR(__xludf.DUMMYFUNCTION("""COMPUTED_VALUE"""),"PD-YOLO uses a parallel feature pyramid with feature filtering and hierarchical adaptive recalibration to fuse information across scales, plus a dynamic detection head to improve localization and classification under weed scale variation, occlusion, morph"&amp;"ological similarity, and complex backgrounds.")</f>
        <v>PD-YOLO uses a parallel feature pyramid with feature filtering and hierarchical adaptive recalibration to fuse information across scales, plus a dynamic detection head to improve localization and classification under weed scale variation, occlusion, morphological similarity, and complex backgrounds.</v>
      </c>
    </row>
    <row r="49" ht="31.5" customHeight="1">
      <c r="A49" s="5" t="str">
        <f>IFERROR(__xludf.DUMMYFUNCTION("""COMPUTED_VALUE"""),"SCOPUS-000574")</f>
        <v>SCOPUS-000574</v>
      </c>
      <c r="B49" s="6" t="str">
        <f>IFERROR(__xludf.DUMMYFUNCTION("""COMPUTED_VALUE"""),"Table 4")</f>
        <v>Table 4</v>
      </c>
      <c r="C49" s="6" t="str">
        <f>IFERROR(__xludf.DUMMYFUNCTION("""COMPUTED_VALUE"""),"Table 4")</f>
        <v>Table 4</v>
      </c>
      <c r="D49" s="6" t="str">
        <f>IFERROR(__xludf.DUMMYFUNCTION("""COMPUTED_VALUE"""),"Unsupervised domain adaptation aligns source- and target-field features adversarially and minimizes prediction entropy on unlabeled target images, reducing sensitivity to field-specific low-level changes; augmentation scheduling further improves regulariz"&amp;"ation, convergence, and cross-field generalization.")</f>
        <v>Unsupervised domain adaptation aligns source- and target-field features adversarially and minimizes prediction entropy on unlabeled target images, reducing sensitivity to field-specific low-level changes; augmentation scheduling further improves regularization, convergence, and cross-field generalization.</v>
      </c>
    </row>
    <row r="50" ht="31.5" customHeight="1">
      <c r="A50" s="5" t="str">
        <f>IFERROR(__xludf.DUMMYFUNCTION("""COMPUTED_VALUE"""),"SCOPUS-000358")</f>
        <v>SCOPUS-000358</v>
      </c>
      <c r="B50" s="6" t="str">
        <f>IFERROR(__xludf.DUMMYFUNCTION("""COMPUTED_VALUE"""),"Table 5")</f>
        <v>Table 5</v>
      </c>
      <c r="C50" s="6" t="str">
        <f>IFERROR(__xludf.DUMMYFUNCTION("""COMPUTED_VALUE"""),"Table 5")</f>
        <v>Table 5</v>
      </c>
      <c r="D50" s="6" t="str">
        <f>IFERROR(__xludf.DUMMYFUNCTION("""COMPUTED_VALUE"""),"SC-Net uses multi-scale and strip convolutions to enlarge the receptive field while efficiently capturing slender rice and gramineous weed structures; attention-based feature fusion and strip-pooling attention integrate low/high-level context and long-ran"&amp;"ge positional information.")</f>
        <v>SC-Net uses multi-scale and strip convolutions to enlarge the receptive field while efficiently capturing slender rice and gramineous weed structures; attention-based feature fusion and strip-pooling attention integrate low/high-level context and long-range positional information.</v>
      </c>
    </row>
    <row r="51" ht="31.5" customHeight="1">
      <c r="A51" s="5" t="str">
        <f>IFERROR(__xludf.DUMMYFUNCTION("""COMPUTED_VALUE"""),"SCOPUS-000265")</f>
        <v>SCOPUS-000265</v>
      </c>
      <c r="B51" s="6" t="str">
        <f>IFERROR(__xludf.DUMMYFUNCTION("""COMPUTED_VALUE"""),"Table 2")</f>
        <v>Table 2</v>
      </c>
      <c r="C51" s="6" t="str">
        <f>IFERROR(__xludf.DUMMYFUNCTION("""COMPUTED_VALUE"""),"Table 2")</f>
        <v>Table 2</v>
      </c>
      <c r="D51" s="6" t="str">
        <f>IFERROR(__xludf.DUMMYFUNCTION("""COMPUTED_VALUE"""),"STBNA-YOLOv5 combines Swin Transformer contextual features, BiFPN and NAM multi-level attention fusion, and adaptive spatial feature fusion to improve small, occluded, and multi-scale weed detection; random occlusion and weed augmentation also reduce clas"&amp;"s-imbalance and field-variability effects.")</f>
        <v>STBNA-YOLOv5 combines Swin Transformer contextual features, BiFPN and NAM multi-level attention fusion, and adaptive spatial feature fusion to improve small, occluded, and multi-scale weed detection; random occlusion and weed augmentation also reduce class-imbalance and field-variability effects.</v>
      </c>
    </row>
    <row r="52" ht="31.5" customHeight="1">
      <c r="A52" s="5" t="str">
        <f>IFERROR(__xludf.DUMMYFUNCTION("""COMPUTED_VALUE"""),"SCOPUS-000563")</f>
        <v>SCOPUS-000563</v>
      </c>
      <c r="B52" s="6" t="str">
        <f>IFERROR(__xludf.DUMMYFUNCTION("""COMPUTED_VALUE"""),"Table 2")</f>
        <v>Table 2</v>
      </c>
      <c r="C52" s="6" t="str">
        <f>IFERROR(__xludf.DUMMYFUNCTION("""COMPUTED_VALUE"""),"Table 2")</f>
        <v>Table 2</v>
      </c>
      <c r="D52" s="6" t="str">
        <f>IFERROR(__xludf.DUMMYFUNCTION("""COMPUTED_VALUE"""),"YOLOv5 is selected as a fast single-stage detector that provides substantially higher mAP and inference speed than SSD-ResNet; deployment on Nvidia Xavier AGX creates a standalone low-power real-time detector suitable for an autonomous laser-weeding robot"&amp;".")</f>
        <v>YOLOv5 is selected as a fast single-stage detector that provides substantially higher mAP and inference speed than SSD-ResNet; deployment on Nvidia Xavier AGX creates a standalone low-power real-time detector suitable for an autonomous laser-weeding robot.</v>
      </c>
    </row>
    <row r="53" ht="31.5" customHeight="1">
      <c r="A53" s="5" t="str">
        <f>IFERROR(__xludf.DUMMYFUNCTION("""COMPUTED_VALUE"""),"SCOPUS-000433")</f>
        <v>SCOPUS-000433</v>
      </c>
      <c r="B53" s="6" t="str">
        <f>IFERROR(__xludf.DUMMYFUNCTION("""COMPUTED_VALUE"""),"Table 1")</f>
        <v>Table 1</v>
      </c>
      <c r="C53" s="6" t="str">
        <f>IFERROR(__xludf.DUMMYFUNCTION("""COMPUTED_VALUE"""),"Table 1")</f>
        <v>Table 1</v>
      </c>
      <c r="D53" s="6" t="str">
        <f>IFERROR(__xludf.DUMMYFUNCTION("""COMPUTED_VALUE"""),"SE-YOLOv5x combines transfer learning with squeeze-and-excitation channel attention to emphasize informative plant features and suppress irrelevant background information, improving weed-crop discrimination and localization under complex field conditions "&amp;"while maintaining fast inference for automated weeding.")</f>
        <v>SE-YOLOv5x combines transfer learning with squeeze-and-excitation channel attention to emphasize informative plant features and suppress irrelevant background information, improving weed-crop discrimination and localization under complex field conditions while maintaining fast inference for automated weeding.</v>
      </c>
    </row>
    <row r="54" ht="31.5" customHeight="1">
      <c r="A54" s="5" t="str">
        <f>IFERROR(__xludf.DUMMYFUNCTION("""COMPUTED_VALUE"""),"SCOPUS-000333")</f>
        <v>SCOPUS-000333</v>
      </c>
      <c r="B54" s="6" t="str">
        <f>IFERROR(__xludf.DUMMYFUNCTION("""COMPUTED_VALUE"""),"Results section — synthetic dataset comparison")</f>
        <v>Results section — synthetic dataset comparison</v>
      </c>
      <c r="C54" s="6" t="str">
        <f>IFERROR(__xludf.DUMMYFUNCTION("""COMPUTED_VALUE"""),"Results section — mixed dataset comparison")</f>
        <v>Results section — mixed dataset comparison</v>
      </c>
      <c r="D54" s="6" t="str">
        <f>IFERROR(__xludf.DUMMYFUNCTION("""COMPUTED_VALUE"""),"Synthetic training images reduce dependence on costly real-image collection and annotation. Using real plant instances, realistic row orientation, and mixed real-synthetic training increases useful data diversity, while automatic clipping can reduce prepa"&amp;"ration effort without materially sacrificing performance.")</f>
        <v>Synthetic training images reduce dependence on costly real-image collection and annotation. Using real plant instances, realistic row orientation, and mixed real-synthetic training increases useful data diversity, while automatic clipping can reduce preparation effort without materially sacrificing performance.</v>
      </c>
    </row>
    <row r="55" ht="31.5" customHeight="1">
      <c r="A55" s="5" t="str">
        <f>IFERROR(__xludf.DUMMYFUNCTION("""COMPUTED_VALUE"""),"SCOPUS-000391")</f>
        <v>SCOPUS-000391</v>
      </c>
      <c r="B55" s="6" t="str">
        <f>IFERROR(__xludf.DUMMYFUNCTION("""COMPUTED_VALUE"""),"Table 4")</f>
        <v>Table 4</v>
      </c>
      <c r="C55" s="6" t="str">
        <f>IFERROR(__xludf.DUMMYFUNCTION("""COMPUTED_VALUE"""),"Fig. 8")</f>
        <v>Fig. 8</v>
      </c>
      <c r="D55" s="6" t="str">
        <f>IFERROR(__xludf.DUMMYFUNCTION("""COMPUTED_VALUE"""),"The semi-supervised GAN exploits large amounts of unlabeled UAV imagery and generated samples so the discriminator can learn stronger crop-weed features from relatively few labeled images, reducing annotation requirements and training burden for early-gro"&amp;"wth-stage classification.")</f>
        <v>The semi-supervised GAN exploits large amounts of unlabeled UAV imagery and generated samples so the discriminator can learn stronger crop-weed features from relatively few labeled images, reducing annotation requirements and training burden for early-growth-stage classification.</v>
      </c>
    </row>
    <row r="56" ht="31.5" customHeight="1">
      <c r="A56" s="5" t="str">
        <f>IFERROR(__xludf.DUMMYFUNCTION("""COMPUTED_VALUE"""),"SCOPUS-000637")</f>
        <v>SCOPUS-000637</v>
      </c>
      <c r="B56" s="6" t="str">
        <f>IFERROR(__xludf.DUMMYFUNCTION("""COMPUTED_VALUE"""),"Results section — model comparison")</f>
        <v>Results section — model comparison</v>
      </c>
      <c r="C56" s="6" t="str">
        <f>IFERROR(__xludf.DUMMYFUNCTION("""COMPUTED_VALUE"""),"Results section — model comparison")</f>
        <v>Results section — model comparison</v>
      </c>
      <c r="D56" s="6" t="str">
        <f>IFERROR(__xludf.DUMMYFUNCTION("""COMPUTED_VALUE"""),"TIA-YOLOv5 combines pixel-level synthetic augmentation, transformer-based feature extraction, CFFI semantic-information preservation, and adaptive multi-scale fusion to address crop-weed class imbalance, small targets, occlusion, high density, and rapid s"&amp;"cale changes while retaining real-time performance.")</f>
        <v>TIA-YOLOv5 combines pixel-level synthetic augmentation, transformer-based feature extraction, CFFI semantic-information preservation, and adaptive multi-scale fusion to address crop-weed class imbalance, small targets, occlusion, high density, and rapid scale changes while retaining real-time performance.</v>
      </c>
    </row>
    <row r="57" ht="31.5" customHeight="1">
      <c r="A57" s="5" t="str">
        <f>IFERROR(__xludf.DUMMYFUNCTION("""COMPUTED_VALUE"""),"SCOPUS-000700")</f>
        <v>SCOPUS-000700</v>
      </c>
      <c r="B57" s="6" t="str">
        <f>IFERROR(__xludf.DUMMYFUNCTION("""COMPUTED_VALUE"""),"Results section — classifier comparison")</f>
        <v>Results section — classifier comparison</v>
      </c>
      <c r="C57" s="6" t="str">
        <f>IFERROR(__xludf.DUMMYFUNCTION("""COMPUTED_VALUE"""),"Results section — classifier comparison")</f>
        <v>Results section — classifier comparison</v>
      </c>
      <c r="D57" s="6" t="str">
        <f>IFERROR(__xludf.DUMMYFUNCTION("""COMPUTED_VALUE"""),"The semi-supervised pipeline uses unsupervised CNN vegetation segmentation followed by a compact learned classifier, reducing pixel-wise annotation and handcrafted-feature requirements while enabling weed-density and distribution estimation for selective "&amp;"site-specific treatment.")</f>
        <v>The semi-supervised pipeline uses unsupervised CNN vegetation segmentation followed by a compact learned classifier, reducing pixel-wise annotation and handcrafted-feature requirements while enabling weed-density and distribution estimation for selective site-specific treatment.</v>
      </c>
    </row>
    <row r="58" ht="31.5" customHeight="1">
      <c r="A58" s="5" t="str">
        <f>IFERROR(__xludf.DUMMYFUNCTION("""COMPUTED_VALUE"""),"SCOPUS-000719")</f>
        <v>SCOPUS-000719</v>
      </c>
      <c r="B58" s="6" t="str">
        <f>IFERROR(__xludf.DUMMYFUNCTION("""COMPUTED_VALUE"""),"Results section — segmentation comparison")</f>
        <v>Results section — segmentation comparison</v>
      </c>
      <c r="C58" s="6" t="str">
        <f>IFERROR(__xludf.DUMMYFUNCTION("""COMPUTED_VALUE"""),"Results section — segmentation comparison")</f>
        <v>Results section — segmentation comparison</v>
      </c>
      <c r="D58" s="6" t="str">
        <f>IFERROR(__xludf.DUMMYFUNCTION("""COMPUTED_VALUE"""),"The proposed DNN combines hybrid dilated convolution and DropBlock for robust wide-context features, learned RGB-NIR indices, bridge attention for long-range dependencies, and spatial-pyramid refinement for multi-scale localization, improving segmentation"&amp;" of arbitrary-shaped weeds in complex field conditions.")</f>
        <v>The proposed DNN combines hybrid dilated convolution and DropBlock for robust wide-context features, learned RGB-NIR indices, bridge attention for long-range dependencies, and spatial-pyramid refinement for multi-scale localization, improving segmentation of arbitrary-shaped weeds in complex field conditions.</v>
      </c>
    </row>
    <row r="59" ht="31.5" customHeight="1">
      <c r="A59" s="5" t="str">
        <f>IFERROR(__xludf.DUMMYFUNCTION("""COMPUTED_VALUE"""),"SCOPUS-000713")</f>
        <v>SCOPUS-000713</v>
      </c>
      <c r="B59" s="6" t="str">
        <f>IFERROR(__xludf.DUMMYFUNCTION("""COMPUTED_VALUE"""),"Results section — input representation comparison")</f>
        <v>Results section — input representation comparison</v>
      </c>
      <c r="C59" s="6" t="str">
        <f>IFERROR(__xludf.DUMMYFUNCTION("""COMPUTED_VALUE"""),"Results section — image-enhancement comparison")</f>
        <v>Results section — image-enhancement comparison</v>
      </c>
      <c r="D59" s="6" t="str">
        <f>IFERROR(__xludf.DUMMYFUNCTION("""COMPUTED_VALUE"""),"Image enhancement and NIR information are used because uncontrolled illumination changes image contrast and weakens crop-weed discrimination. Enhancing image quality and spectral information improves segmentation robustness across lighting conditions with"&amp;"out requiring a large training dataset.")</f>
        <v>Image enhancement and NIR information are used because uncontrolled illumination changes image contrast and weakens crop-weed discrimination. Enhancing image quality and spectral information improves segmentation robustness across lighting conditions without requiring a large training dataset.</v>
      </c>
    </row>
    <row r="60" ht="31.5" customHeight="1">
      <c r="A60" s="5" t="str">
        <f>IFERROR(__xludf.DUMMYFUNCTION("""COMPUTED_VALUE"""),"SCOPUS-000448")</f>
        <v>SCOPUS-000448</v>
      </c>
      <c r="B60" s="6" t="str">
        <f>IFERROR(__xludf.DUMMYFUNCTION("""COMPUTED_VALUE"""),"Experimental analysis — model comparison")</f>
        <v>Experimental analysis — model comparison</v>
      </c>
      <c r="C60" s="6" t="str">
        <f>IFERROR(__xludf.DUMMYFUNCTION("""COMPUTED_VALUE"""),"Experimental analysis — model comparison")</f>
        <v>Experimental analysis — model comparison</v>
      </c>
      <c r="D60" s="6" t="str">
        <f>IFERROR(__xludf.DUMMYFUNCTION("""COMPUTED_VALUE"""),"Custom lightweight CNNs were developed to balance detection accuracy with latency, memory use, and limited edge-computing capacity. The compact architectures support practical soybean weed detection on Raspberry Pi-class hardware while avoiding the overhe"&amp;"ad of larger pretrained networks.")</f>
        <v>Custom lightweight CNNs were developed to balance detection accuracy with latency, memory use, and limited edge-computing capacity. The compact architectures support practical soybean weed detection on Raspberry Pi-class hardware while avoiding the overhead of larger pretrained networks.</v>
      </c>
    </row>
    <row r="61" ht="31.5" customHeight="1">
      <c r="A61" s="5" t="str">
        <f>IFERROR(__xludf.DUMMYFUNCTION("""COMPUTED_VALUE"""),"SCOPUS-000375")</f>
        <v>SCOPUS-000375</v>
      </c>
      <c r="B61" s="6" t="str">
        <f>IFERROR(__xludf.DUMMYFUNCTION("""COMPUTED_VALUE"""),"Results section — detector comparison")</f>
        <v>Results section — detector comparison</v>
      </c>
      <c r="C61" s="6" t="str">
        <f>IFERROR(__xludf.DUMMYFUNCTION("""COMPUTED_VALUE"""),"Results section — detector comparison")</f>
        <v>Results section — detector comparison</v>
      </c>
      <c r="D61" s="6" t="str">
        <f>IFERROR(__xludf.DUMMYFUNCTION("""COMPUTED_VALUE"""),"CSCW-YOLOv7 uses CARAFE upsampling for small targets, SE attention to emphasize weed features, contextual transformer blocks for global information, and WIoU for occluded bounding boxes, addressing similar morphology, scale variation, and overlap in compl"&amp;"ex wheat fields.")</f>
        <v>CSCW-YOLOv7 uses CARAFE upsampling for small targets, SE attention to emphasize weed features, contextual transformer blocks for global information, and WIoU for occluded bounding boxes, addressing similar morphology, scale variation, and overlap in complex wheat fields.</v>
      </c>
    </row>
    <row r="62" ht="31.5" customHeight="1">
      <c r="A62" s="5" t="str">
        <f>IFERROR(__xludf.DUMMYFUNCTION("""COMPUTED_VALUE"""),"SCOPUS-000261")</f>
        <v>SCOPUS-000261</v>
      </c>
      <c r="B62" s="6" t="str">
        <f>IFERROR(__xludf.DUMMYFUNCTION("""COMPUTED_VALUE"""),"Results section — fine-tuned CNN comparison")</f>
        <v>Results section — fine-tuned CNN comparison</v>
      </c>
      <c r="C62" s="6" t="str">
        <f>IFERROR(__xludf.DUMMYFUNCTION("""COMPUTED_VALUE"""),"Results section — fine-tuned CNN comparison")</f>
        <v>Results section — fine-tuned CNN comparison</v>
      </c>
      <c r="D62" s="6" t="str">
        <f>IFERROR(__xludf.DUMMYFUNCTION("""COMPUTED_VALUE"""),"Transfer learning and fine-tuning adapt pretrained CNN representations to rangeland weeds, reducing the data, compute, and training-time demands of learning from scratch while improving discrimination under dense vegetation, occlusion, and substantial pla"&amp;"nt-morphology variation.")</f>
        <v>Transfer learning and fine-tuning adapt pretrained CNN representations to rangeland weeds, reducing the data, compute, and training-time demands of learning from scratch while improving discrimination under dense vegetation, occlusion, and substantial plant-morphology variation.</v>
      </c>
    </row>
    <row r="63" ht="31.5" customHeight="1">
      <c r="A63" s="5" t="str">
        <f>IFERROR(__xludf.DUMMYFUNCTION("""COMPUTED_VALUE"""),"SCOPUS-000584")</f>
        <v>SCOPUS-000584</v>
      </c>
      <c r="B63" s="6" t="str">
        <f>IFERROR(__xludf.DUMMYFUNCTION("""COMPUTED_VALUE"""),"Results section — detector comparison")</f>
        <v>Results section — detector comparison</v>
      </c>
      <c r="C63" s="6" t="str">
        <f>IFERROR(__xludf.DUMMYFUNCTION("""COMPUTED_VALUE"""),"Results section — detector comparison")</f>
        <v>Results section — detector comparison</v>
      </c>
      <c r="D63" s="6" t="str">
        <f>IFERROR(__xludf.DUMMYFUNCTION("""COMPUTED_VALUE"""),"The improved YOLOv4-tiny combines attention and spatial-pyramid pooling to strengthen small-target and multi-scale feature extraction while preserving a lightweight architecture, enabling robust real-time maize weed detection under changing illumination, "&amp;"plant overlap, and different growth stages.")</f>
        <v>The improved YOLOv4-tiny combines attention and spatial-pyramid pooling to strengthen small-target and multi-scale feature extraction while preserving a lightweight architecture, enabling robust real-time maize weed detection under changing illumination, plant overlap, and different growth stages.</v>
      </c>
    </row>
    <row r="64" ht="31.5" customHeight="1">
      <c r="A64" s="5" t="str">
        <f>IFERROR(__xludf.DUMMYFUNCTION("""COMPUTED_VALUE"""),"WEBSCI-000524")</f>
        <v>WEBSCI-000524</v>
      </c>
      <c r="B64" s="6" t="str">
        <f>IFERROR(__xludf.DUMMYFUNCTION("""COMPUTED_VALUE"""),"Related-work / experimental comparison")</f>
        <v>Related-work / experimental comparison</v>
      </c>
      <c r="C64" s="6" t="str">
        <f>IFERROR(__xludf.DUMMYFUNCTION("""COMPUTED_VALUE"""),"Related-work / experimental comparison")</f>
        <v>Related-work / experimental comparison</v>
      </c>
      <c r="D64" s="6" t="str">
        <f>IFERROR(__xludf.DUMMYFUNCTION("""COMPUTED_VALUE"""),"Model depth, input resolution, TensorRT optimization, and transfer learning are tuned to balance segmentation accuracy against inference speed and power constraints on Jetson Nano, making real-time crop-weed segmentation and targeted spraying feasible on "&amp;"a small agricultural robot.")</f>
        <v>Model depth, input resolution, TensorRT optimization, and transfer learning are tuned to balance segmentation accuracy against inference speed and power constraints on Jetson Nano, making real-time crop-weed segmentation and targeted spraying feasible on a small agricultural robot.</v>
      </c>
    </row>
    <row r="65" ht="31.5" customHeight="1">
      <c r="A65" s="5" t="str">
        <f>IFERROR(__xludf.DUMMYFUNCTION("""COMPUTED_VALUE"""),"SCOPUS-000370")</f>
        <v>SCOPUS-000370</v>
      </c>
      <c r="B65" s="6" t="str">
        <f>IFERROR(__xludf.DUMMYFUNCTION("""COMPUTED_VALUE"""),"Results section — CNN comparison")</f>
        <v>Results section — CNN comparison</v>
      </c>
      <c r="C65" s="6" t="str">
        <f>IFERROR(__xludf.DUMMYFUNCTION("""COMPUTED_VALUE"""),"Results section — CNN comparison")</f>
        <v>Results section — CNN comparison</v>
      </c>
      <c r="D65" s="6" t="str">
        <f>IFERROR(__xludf.DUMMYFUNCTION("""COMPUTED_VALUE"""),"GAN-based enhancement, overlapping image patches, informative-patch selection using Laplacian variance and FFT, and weighted voting increase useful local information and reduce the effects of limited data, class imbalance, inter-class similarity, and intr"&amp;"a-class variation.")</f>
        <v>GAN-based enhancement, overlapping image patches, informative-patch selection using Laplacian variance and FFT, and weighted voting increase useful local information and reduce the effects of limited data, class imbalance, inter-class similarity, and intra-class variation.</v>
      </c>
    </row>
    <row r="66" ht="31.5" customHeight="1">
      <c r="A66" s="5" t="str">
        <f>IFERROR(__xludf.DUMMYFUNCTION("""COMPUTED_VALUE"""),"SCOPUS-000706")</f>
        <v>SCOPUS-000706</v>
      </c>
      <c r="B66" s="6" t="str">
        <f>IFERROR(__xludf.DUMMYFUNCTION("""COMPUTED_VALUE"""),"Results section — precision calibration comparison")</f>
        <v>Results section — precision calibration comparison</v>
      </c>
      <c r="C66" s="6" t="str">
        <f>IFERROR(__xludf.DUMMYFUNCTION("""COMPUTED_VALUE"""),"Results section — precision calibration comparison")</f>
        <v>Results section — precision calibration comparison</v>
      </c>
      <c r="D66" s="6" t="str">
        <f>IFERROR(__xludf.DUMMYFUNCTION("""COMPUTED_VALUE"""),"A lightweight FCN and reduced-precision inference are used to process weed maps onboard a UAV in real time. Model simplification and FP16 calibration reduce computation and the delay between image acquisition and spraying, accepting a controlled accuracy "&amp;"trade-off for deployment speed.")</f>
        <v>A lightweight FCN and reduced-precision inference are used to process weed maps onboard a UAV in real time. Model simplification and FP16 calibration reduce computation and the delay between image acquisition and spraying, accepting a controlled accuracy trade-off for deployment speed.</v>
      </c>
    </row>
    <row r="67" ht="31.5" customHeight="1">
      <c r="A67" s="5" t="str">
        <f>IFERROR(__xludf.DUMMYFUNCTION("""COMPUTED_VALUE"""),"SCOPUS-000013")</f>
        <v>SCOPUS-000013</v>
      </c>
      <c r="B67" s="6" t="str">
        <f>IFERROR(__xludf.DUMMYFUNCTION("""COMPUTED_VALUE"""),"Results section — few-shot detector comparison")</f>
        <v>Results section — few-shot detector comparison</v>
      </c>
      <c r="C67" s="6" t="str">
        <f>IFERROR(__xludf.DUMMYFUNCTION("""COMPUTED_VALUE"""),"Results section — few-shot detector comparison")</f>
        <v>Results section — few-shot detector comparison</v>
      </c>
      <c r="D67" s="6" t="str">
        <f>IFERROR(__xludf.DUMMYFUNCTION("""COMPUTED_VALUE"""),"FSEA incorporates plant-specific prior knowledge through excess-green attention, deformable and dilated feature enhancement, and an occlusion-aware loss, allowing rapid adaptation to rare or newly encountered weed species from very few labeled examples in"&amp;" heterogeneous field conditions.")</f>
        <v>FSEA incorporates plant-specific prior knowledge through excess-green attention, deformable and dilated feature enhancement, and an occlusion-aware loss, allowing rapid adaptation to rare or newly encountered weed species from very few labeled examples in heterogeneous field conditions.</v>
      </c>
    </row>
    <row r="68" ht="31.5" customHeight="1">
      <c r="A68" s="5" t="str">
        <f>IFERROR(__xludf.DUMMYFUNCTION("""COMPUTED_VALUE"""),"SCOPUS-000642")</f>
        <v>SCOPUS-000642</v>
      </c>
      <c r="B68" s="6" t="str">
        <f>IFERROR(__xludf.DUMMYFUNCTION("""COMPUTED_VALUE"""),"Results section — model comparison")</f>
        <v>Results section — model comparison</v>
      </c>
      <c r="C68" s="6" t="str">
        <f>IFERROR(__xludf.DUMMYFUNCTION("""COMPUTED_VALUE"""),"Results section — model comparison")</f>
        <v>Results section — model comparison</v>
      </c>
      <c r="D68" s="6" t="str">
        <f>IFERROR(__xludf.DUMMYFUNCTION("""COMPUTED_VALUE"""),"RVDR-YOLOv8 reconstructs the backbone with reversible columns, adds dilation-wise residual features for small and occluded targets, uses GSConv to reduce neck complexity, and applies InnerMPDIoU for more accurate localization, improving detection while su"&amp;"bstantially reducing parameters and computation.")</f>
        <v>RVDR-YOLOv8 reconstructs the backbone with reversible columns, adds dilation-wise residual features for small and occluded targets, uses GSConv to reduce neck complexity, and applies InnerMPDIoU for more accurate localization, improving detection while substantially reducing parameters and computation.</v>
      </c>
    </row>
    <row r="69" ht="31.5" customHeight="1">
      <c r="A69" s="5" t="str">
        <f>IFERROR(__xludf.DUMMYFUNCTION("""COMPUTED_VALUE"""),"SCOPUS-000132")</f>
        <v>SCOPUS-000132</v>
      </c>
      <c r="B69" s="6" t="str">
        <f>IFERROR(__xludf.DUMMYFUNCTION("""COMPUTED_VALUE"""),"Results section — YOLO model comparison")</f>
        <v>Results section — YOLO model comparison</v>
      </c>
      <c r="C69" s="6" t="str">
        <f>IFERROR(__xludf.DUMMYFUNCTION("""COMPUTED_VALUE"""),"Results section — YOLO model comparison")</f>
        <v>Results section — YOLO model comparison</v>
      </c>
      <c r="D69" s="6" t="str">
        <f>IFERROR(__xludf.DUMMYFUNCTION("""COMPUTED_VALUE"""),"Recent YOLO variants and custom lightweight YOLO11 models are compared to balance multiclass weed-crop accuracy with inference speed and resource use. The optimized edge models trade a small amount of accuracy for substantially faster execution on resourc"&amp;"e-constrained robotic weeding platforms.")</f>
        <v>Recent YOLO variants and custom lightweight YOLO11 models are compared to balance multiclass weed-crop accuracy with inference speed and resource use. The optimized edge models trade a small amount of accuracy for substantially faster execution on resource-constrained robotic weeding platforms.</v>
      </c>
    </row>
    <row r="70" ht="31.5" customHeight="1">
      <c r="A70" s="5" t="str">
        <f>IFERROR(__xludf.DUMMYFUNCTION("""COMPUTED_VALUE"""),"SCOPUS-000121")</f>
        <v>SCOPUS-000121</v>
      </c>
      <c r="B70" s="6" t="str">
        <f>IFERROR(__xludf.DUMMYFUNCTION("""COMPUTED_VALUE"""),"Results section — detector comparison")</f>
        <v>Results section — detector comparison</v>
      </c>
      <c r="C70" s="6" t="str">
        <f>IFERROR(__xludf.DUMMYFUNCTION("""COMPUTED_VALUE"""),"Results section — detector comparison")</f>
        <v>Results section — detector comparison</v>
      </c>
      <c r="D70" s="6" t="str">
        <f>IFERROR(__xludf.DUMMYFUNCTION("""COMPUTED_VALUE"""),"WeedDETR uses a structurally re-parameterized RepCBNet backbone for fine-grained efficient features, feature-complement fusion to retain multi-scale small-weed information, and varifocal loss to emphasize high-quality samples, improving both accuracy and "&amp;"real-time speed in UAV imagery.")</f>
        <v>WeedDETR uses a structurally re-parameterized RepCBNet backbone for fine-grained efficient features, feature-complement fusion to retain multi-scale small-weed information, and varifocal loss to emphasize high-quality samples, improving both accuracy and real-time speed in UAV imagery.</v>
      </c>
    </row>
    <row r="71" ht="31.5" customHeight="1">
      <c r="A71" s="5" t="str">
        <f>IFERROR(__xludf.DUMMYFUNCTION("""COMPUTED_VALUE"""),"SCOPUS-000267")</f>
        <v>SCOPUS-000267</v>
      </c>
      <c r="B71" s="6" t="str">
        <f>IFERROR(__xludf.DUMMYFUNCTION("""COMPUTED_VALUE"""),"Results section — segmentation model comparison")</f>
        <v>Results section — segmentation model comparison</v>
      </c>
      <c r="C71" s="6" t="str">
        <f>IFERROR(__xludf.DUMMYFUNCTION("""COMPUTED_VALUE"""),"Results section — segmentation model comparison")</f>
        <v>Results section — segmentation model comparison</v>
      </c>
      <c r="D71" s="6" t="str">
        <f>IFERROR(__xludf.DUMMYFUNCTION("""COMPUTED_VALUE"""),"Cross-domain transfer learning trains on higher-resolution ground images and applies the learned model to UAV imagery after domain-gap-reducing preprocessing. This avoids maintaining separate models and reduces aerial annotation demands while enabling wee"&amp;"d mapping and site-specific herbicide savings.")</f>
        <v>Cross-domain transfer learning trains on higher-resolution ground images and applies the learned model to UAV imagery after domain-gap-reducing preprocessing. This avoids maintaining separate models and reduces aerial annotation demands while enabling weed mapping and site-specific herbicide savings.</v>
      </c>
    </row>
    <row r="72" ht="31.5" customHeight="1">
      <c r="A72" s="5" t="str">
        <f>IFERROR(__xludf.DUMMYFUNCTION("""COMPUTED_VALUE"""),"SCOPUS-000074")</f>
        <v>SCOPUS-000074</v>
      </c>
      <c r="B72" s="6" t="str">
        <f>IFERROR(__xludf.DUMMYFUNCTION("""COMPUTED_VALUE"""),"Table 4")</f>
        <v>Table 4</v>
      </c>
      <c r="C72" s="6" t="str">
        <f>IFERROR(__xludf.DUMMYFUNCTION("""COMPUTED_VALUE"""),"Table 4")</f>
        <v>Table 4</v>
      </c>
      <c r="D72" s="6" t="str">
        <f>IFERROR(__xludf.DUMMYFUNCTION("""COMPUTED_VALUE"""),"CAUC combines linear concatenated blocks, attention gates, and CBAM to reuse and emphasize informative crop-weed features across diverse fields, while depth-wise and 1×1 convolutions reduce model size and computation. Dataset balancing and augmentation su"&amp;"pport multi-crop generalization and practical deployment on low-computation devices.")</f>
        <v>CAUC combines linear concatenated blocks, attention gates, and CBAM to reuse and emphasize informative crop-weed features across diverse fields, while depth-wise and 1×1 convolutions reduce model size and computation. Dataset balancing and augmentation support multi-crop generalization and practical deployment on low-computation devices.</v>
      </c>
    </row>
    <row r="73" ht="31.5" customHeight="1">
      <c r="A73" s="5" t="str">
        <f>IFERROR(__xludf.DUMMYFUNCTION("""COMPUTED_VALUE"""),"SCOPUS-000107")</f>
        <v>SCOPUS-000107</v>
      </c>
      <c r="B73" s="6" t="str">
        <f>IFERROR(__xludf.DUMMYFUNCTION("""COMPUTED_VALUE"""),"Results section — knowledge-distillation comparison")</f>
        <v>Results section — knowledge-distillation comparison</v>
      </c>
      <c r="C73" s="6" t="str">
        <f>IFERROR(__xludf.DUMMYFUNCTION("""COMPUTED_VALUE"""),"Results section — knowledge-distillation comparison")</f>
        <v>Results section — knowledge-distillation comparison</v>
      </c>
      <c r="D73" s="6" t="str">
        <f>IFERROR(__xludf.DUMMYFUNCTION("""COMPUTED_VALUE"""),"Knowledge distillation transfers DeepLabV3+ knowledge to a compact Fast-SCNN so crop–weed segmentation can retain strong accuracy with much lower model size, computation, and energy use. Dynamic distillation weighting, patch-based training, and Dice/Focal"&amp;" supervision further address class imbalance and edge-device constraints.")</f>
        <v>Knowledge distillation transfers DeepLabV3+ knowledge to a compact Fast-SCNN so crop–weed segmentation can retain strong accuracy with much lower model size, computation, and energy use. Dynamic distillation weighting, patch-based training, and Dice/Focal supervision further address class imbalance and edge-device constraints.</v>
      </c>
    </row>
    <row r="74" ht="31.5" customHeight="1">
      <c r="A74" s="5" t="str">
        <f>IFERROR(__xludf.DUMMYFUNCTION("""COMPUTED_VALUE"""),"SCOPUS-000142")</f>
        <v>SCOPUS-000142</v>
      </c>
      <c r="B74" s="6" t="str">
        <f>IFERROR(__xludf.DUMMYFUNCTION("""COMPUTED_VALUE"""),"Results section — detector comparison")</f>
        <v>Results section — detector comparison</v>
      </c>
      <c r="C74" s="6" t="str">
        <f>IFERROR(__xludf.DUMMYFUNCTION("""COMPUTED_VALUE"""),"Results section — detector comparison")</f>
        <v>Results section — detector comparison</v>
      </c>
      <c r="D74" s="6" t="str">
        <f>IFERROR(__xludf.DUMMYFUNCTION("""COMPUTED_VALUE"""),"DGS-Net combines deformable attention, lightweight GSConv-based multi-scale fusion, and occlusion-aware attention to improve fine-grained weed recognition in complex paddy fields while reducing model size and computation for real-time edge deployment.")</f>
        <v>DGS-Net combines deformable attention, lightweight GSConv-based multi-scale fusion, and occlusion-aware attention to improve fine-grained weed recognition in complex paddy fields while reducing model size and computation for real-time edge deployment.</v>
      </c>
    </row>
    <row r="75" ht="31.5" customHeight="1">
      <c r="A75" s="5" t="str">
        <f>IFERROR(__xludf.DUMMYFUNCTION("""COMPUTED_VALUE"""),"SCOPUS-000193")</f>
        <v>SCOPUS-000193</v>
      </c>
      <c r="B75" s="6" t="str">
        <f>IFERROR(__xludf.DUMMYFUNCTION("""COMPUTED_VALUE"""),"Results section — detector comparison")</f>
        <v>Results section — detector comparison</v>
      </c>
      <c r="C75" s="6" t="str">
        <f>IFERROR(__xludf.DUMMYFUNCTION("""COMPUTED_VALUE"""),"Results section — detector comparison")</f>
        <v>Results section — detector comparison</v>
      </c>
      <c r="D75" s="6" t="str">
        <f>IFERROR(__xludf.DUMMYFUNCTION("""COMPUTED_VALUE"""),"MCS-YOLO adds Mamba-based long-range modeling, multi-scale coordinate attention, dynamic upsampling, and a lightweight separated detection head to improve small, overlapping weed detection while lowering parameter count and computational cost.")</f>
        <v>MCS-YOLO adds Mamba-based long-range modeling, multi-scale coordinate attention, dynamic upsampling, and a lightweight separated detection head to improve small, overlapping weed detection while lowering parameter count and computational cost.</v>
      </c>
    </row>
    <row r="76" ht="31.5" customHeight="1">
      <c r="A76" s="5" t="str">
        <f>IFERROR(__xludf.DUMMYFUNCTION("""COMPUTED_VALUE"""),"SCOPUS-000092")</f>
        <v>SCOPUS-000092</v>
      </c>
      <c r="B76" s="6" t="str">
        <f>IFERROR(__xludf.DUMMYFUNCTION("""COMPUTED_VALUE"""),"Results section — supervised vs semi-supervised comparison")</f>
        <v>Results section — supervised vs semi-supervised comparison</v>
      </c>
      <c r="C76" s="6" t="str">
        <f>IFERROR(__xludf.DUMMYFUNCTION("""COMPUTED_VALUE"""),"Results section — supervised vs semi-supervised comparison")</f>
        <v>Results section — supervised vs semi-supervised comparison</v>
      </c>
      <c r="D76" s="6" t="str">
        <f>IFERROR(__xludf.DUMMYFUNCTION("""COMPUTED_VALUE"""),"The semi-supervised framework uses pseudo-labelled unlabelled field images to reduce annotation dependence and expose models to more diverse visual conditions, specifically improving robustness and recall under shadow bias, illumination variation, and lim"&amp;"ited labelled data.")</f>
        <v>The semi-supervised framework uses pseudo-labelled unlabelled field images to reduce annotation dependence and expose models to more diverse visual conditions, specifically improving robustness and recall under shadow bias, illumination variation, and limited labelled data.</v>
      </c>
    </row>
    <row r="77" ht="31.5" customHeight="1">
      <c r="A77" s="5" t="str">
        <f>IFERROR(__xludf.DUMMYFUNCTION("""COMPUTED_VALUE"""),"SCOPUS-000296")</f>
        <v>SCOPUS-000296</v>
      </c>
      <c r="B77" s="6" t="str">
        <f>IFERROR(__xludf.DUMMYFUNCTION("""COMPUTED_VALUE"""),"Results section — detector comparison")</f>
        <v>Results section — detector comparison</v>
      </c>
      <c r="C77" s="6" t="str">
        <f>IFERROR(__xludf.DUMMYFUNCTION("""COMPUTED_VALUE"""),"Results section — detector comparison")</f>
        <v>Results section — detector comparison</v>
      </c>
      <c r="D77" s="6" t="str">
        <f>IFERROR(__xludf.DUMMYFUNCTION("""COMPUTED_VALUE"""),"The crop-centric strategy avoids exhaustive weed-species annotation by first detecting bok choy, masking crop regions, and identifying residual green vegetation as weeds. YOLOv10 backbone improvements preserve small-object details and strengthen crop–weed"&amp;" discrimination while keeping computation efficient.")</f>
        <v>The crop-centric strategy avoids exhaustive weed-species annotation by first detecting bok choy, masking crop regions, and identifying residual green vegetation as weeds. YOLOv10 backbone improvements preserve small-object details and strengthen crop–weed discrimination while keeping computation efficient.</v>
      </c>
    </row>
    <row r="78" ht="31.5" customHeight="1">
      <c r="A78" s="5" t="str">
        <f>IFERROR(__xludf.DUMMYFUNCTION("""COMPUTED_VALUE"""),"SCOPUS-000255")</f>
        <v>SCOPUS-000255</v>
      </c>
      <c r="B78" s="6" t="str">
        <f>IFERROR(__xludf.DUMMYFUNCTION("""COMPUTED_VALUE"""),"Results section — segmentation model comparison")</f>
        <v>Results section — segmentation model comparison</v>
      </c>
      <c r="C78" s="6" t="str">
        <f>IFERROR(__xludf.DUMMYFUNCTION("""COMPUTED_VALUE"""),"Results section — segmentation model comparison")</f>
        <v>Results section — segmentation model comparison</v>
      </c>
      <c r="D78" s="6" t="str">
        <f>IFERROR(__xludf.DUMMYFUNCTION("""COMPUTED_VALUE"""),"YOLO-CornSeg improves corn-seedling segmentation with multi-scale residual feature extraction and an efficient segmentation head, then infers weeds from non-crop green regions. This reduces explicit weed-annotation needs while preserving accuracy and low "&amp;"computational cost for field deployment.")</f>
        <v>YOLO-CornSeg improves corn-seedling segmentation with multi-scale residual feature extraction and an efficient segmentation head, then infers weeds from non-crop green regions. This reduces explicit weed-annotation needs while preserving accuracy and low computational cost for field deployment.</v>
      </c>
    </row>
    <row r="79" ht="31.5" customHeight="1">
      <c r="A79" s="5" t="str">
        <f>IFERROR(__xludf.DUMMYFUNCTION("""COMPUTED_VALUE"""),"SCOPUS-000223")</f>
        <v>SCOPUS-000223</v>
      </c>
      <c r="B79" s="6" t="str">
        <f>IFERROR(__xludf.DUMMYFUNCTION("""COMPUTED_VALUE"""),"Results section — detector comparison")</f>
        <v>Results section — detector comparison</v>
      </c>
      <c r="C79" s="6" t="str">
        <f>IFERROR(__xludf.DUMMYFUNCTION("""COMPUTED_VALUE"""),"Results section — detector comparison")</f>
        <v>Results section — detector comparison</v>
      </c>
      <c r="D79" s="6" t="str">
        <f>IFERROR(__xludf.DUMMYFUNCTION("""COMPUTED_VALUE"""),"SSS-YOLO enhances long-range, multi-scale, and contextual reasoning so features of weeds hidden by crops can be reconstructed while background vegetation interference is suppressed. The design targets the difficult balance between high accuracy, occlusion"&amp;" robustness, and lightweight real-time operation.")</f>
        <v>SSS-YOLO enhances long-range, multi-scale, and contextual reasoning so features of weeds hidden by crops can be reconstructed while background vegetation interference is suppressed. The design targets the difficult balance between high accuracy, occlusion robustness, and lightweight real-time operation.</v>
      </c>
    </row>
    <row r="80" ht="31.5" customHeight="1">
      <c r="A80" s="5" t="str">
        <f>IFERROR(__xludf.DUMMYFUNCTION("""COMPUTED_VALUE"""),"SCOPUS-000216")</f>
        <v>SCOPUS-000216</v>
      </c>
      <c r="B80" s="6" t="str">
        <f>IFERROR(__xludf.DUMMYFUNCTION("""COMPUTED_VALUE"""),"Results section — YOLO model comparison")</f>
        <v>Results section — YOLO model comparison</v>
      </c>
      <c r="C80" s="6" t="str">
        <f>IFERROR(__xludf.DUMMYFUNCTION("""COMPUTED_VALUE"""),"Results section — YOLO model comparison")</f>
        <v>Results section — YOLO model comparison</v>
      </c>
      <c r="D80" s="6" t="str">
        <f>IFERROR(__xludf.DUMMYFUNCTION("""COMPUTED_VALUE"""),"Multiple lightweight YOLO variants were compared and tuned to identify a configuration that balances detection accuracy, inference speed, model size, and hardware demand for real-time robotic weed detection in commercial horseradish fields.")</f>
        <v>Multiple lightweight YOLO variants were compared and tuned to identify a configuration that balances detection accuracy, inference speed, model size, and hardware demand for real-time robotic weed detection in commercial horseradish fields.</v>
      </c>
    </row>
    <row r="81" ht="31.5" customHeight="1">
      <c r="A81" s="5" t="str">
        <f>IFERROR(__xludf.DUMMYFUNCTION("""COMPUTED_VALUE"""),"SCOPUS-000168")</f>
        <v>SCOPUS-000168</v>
      </c>
      <c r="B81" s="6" t="str">
        <f>IFERROR(__xludf.DUMMYFUNCTION("""COMPUTED_VALUE"""),"Results section — classifier comparison")</f>
        <v>Results section — classifier comparison</v>
      </c>
      <c r="C81" s="6" t="str">
        <f>IFERROR(__xludf.DUMMYFUNCTION("""COMPUTED_VALUE"""),"Results section — classifier comparison")</f>
        <v>Results section — classifier comparison</v>
      </c>
      <c r="D81" s="6" t="str">
        <f>IFERROR(__xludf.DUMMYFUNCTION("""COMPUTED_VALUE"""),"Hyperspectral sensing provides spectral information beyond visible RGB appearance, allowing machine-learning classifiers to distinguish weed species with similar morphology. Comparing classifiers identifies the method that best exploits these spectral sig"&amp;"natures for reliable species-level recognition.")</f>
        <v>Hyperspectral sensing provides spectral information beyond visible RGB appearance, allowing machine-learning classifiers to distinguish weed species with similar morphology. Comparing classifiers identifies the method that best exploits these spectral signatures for reliable species-level recognition.</v>
      </c>
    </row>
    <row r="82" ht="31.5" customHeight="1">
      <c r="A82" s="5" t="str">
        <f>IFERROR(__xludf.DUMMYFUNCTION("""COMPUTED_VALUE"""),"SCOPUS-000143")</f>
        <v>SCOPUS-000143</v>
      </c>
      <c r="B82" s="6" t="str">
        <f>IFERROR(__xludf.DUMMYFUNCTION("""COMPUTED_VALUE"""),"Results section — RetinaNet/anchor-free comparison")</f>
        <v>Results section — RetinaNet/anchor-free comparison</v>
      </c>
      <c r="C82" s="6" t="str">
        <f>IFERROR(__xludf.DUMMYFUNCTION("""COMPUTED_VALUE"""),"Results section — RetinaNet/anchor-free comparison")</f>
        <v>Results section — RetinaNet/anchor-free comparison</v>
      </c>
      <c r="D82" s="6" t="str">
        <f>IFERROR(__xludf.DUMMYFUNCTION("""COMPUTED_VALUE"""),"Attention modules and focal-loss tuning were evaluated to emphasize informative crop–weed features and address foreground–background imbalance in RetinaNet, while comparison with anchor-free detectors tests whether these modifications improve robustness u"&amp;"nder challenging field detection conditions.")</f>
        <v>Attention modules and focal-loss tuning were evaluated to emphasize informative crop–weed features and address foreground–background imbalance in RetinaNet, while comparison with anchor-free detectors tests whether these modifications improve robustness under challenging field detection conditions.</v>
      </c>
    </row>
    <row r="83" ht="31.5" customHeight="1">
      <c r="A83" s="5" t="str">
        <f>IFERROR(__xludf.DUMMYFUNCTION("""COMPUTED_VALUE"""),"SCOPUS-000066")</f>
        <v>SCOPUS-000066</v>
      </c>
      <c r="B83" s="6" t="str">
        <f>IFERROR(__xludf.DUMMYFUNCTION("""COMPUTED_VALUE"""),"Results section — feature/module comparison")</f>
        <v>Results section — feature/module comparison</v>
      </c>
      <c r="C83" s="6" t="str">
        <f>IFERROR(__xludf.DUMMYFUNCTION("""COMPUTED_VALUE"""),"Results section — feature/module comparison")</f>
        <v>Results section — feature/module comparison</v>
      </c>
      <c r="D83" s="6" t="str">
        <f>IFERROR(__xludf.DUMMYFUNCTION("""COMPUTED_VALUE"""),"SEAFEC introduces spatial- and edge-adaptive convolution to preserve boundary information and capture features across different scales, improving discrimination of visually complex plant disease and weed imagery where fixed convolutions can miss thin edge"&amp;"s and scale variation.")</f>
        <v>SEAFEC introduces spatial- and edge-adaptive convolution to preserve boundary information and capture features across different scales, improving discrimination of visually complex plant disease and weed imagery where fixed convolutions can miss thin edges and scale variation.</v>
      </c>
    </row>
    <row r="84" ht="31.5" customHeight="1">
      <c r="A84" s="5" t="str">
        <f>IFERROR(__xludf.DUMMYFUNCTION("""COMPUTED_VALUE"""),"SCOPUS-000015")</f>
        <v>SCOPUS-000015</v>
      </c>
      <c r="B84" s="6" t="str">
        <f>IFERROR(__xludf.DUMMYFUNCTION("""COMPUTED_VALUE"""),"Results section — segmentation model comparison")</f>
        <v>Results section — segmentation model comparison</v>
      </c>
      <c r="C84" s="6" t="str">
        <f>IFERROR(__xludf.DUMMYFUNCTION("""COMPUTED_VALUE"""),"Results section — segmentation model comparison")</f>
        <v>Results section — segmentation model comparison</v>
      </c>
      <c r="D84" s="6" t="str">
        <f>IFERROR(__xludf.DUMMYFUNCTION("""COMPUTED_VALUE"""),"The framework combines multispectral UAV imagery with deep semantic segmentation and edge-computing deployment so weed maps can be produced accurately and rapidly in the field. The model comparisons target both segmentation quality and practical computati"&amp;"onal efficiency.")</f>
        <v>The framework combines multispectral UAV imagery with deep semantic segmentation and edge-computing deployment so weed maps can be produced accurately and rapidly in the field. The model comparisons target both segmentation quality and practical computational efficiency.</v>
      </c>
    </row>
    <row r="85" ht="31.5" customHeight="1">
      <c r="A85" s="5" t="str">
        <f>IFERROR(__xludf.DUMMYFUNCTION("""COMPUTED_VALUE"""),"SCOPUS-000180")</f>
        <v>SCOPUS-000180</v>
      </c>
      <c r="B85" s="6" t="str">
        <f>IFERROR(__xludf.DUMMYFUNCTION("""COMPUTED_VALUE"""),"Results section — detector comparison")</f>
        <v>Results section — detector comparison</v>
      </c>
      <c r="C85" s="6" t="str">
        <f>IFERROR(__xludf.DUMMYFUNCTION("""COMPUTED_VALUE"""),"Results section — detector comparison")</f>
        <v>Results section — detector comparison</v>
      </c>
      <c r="D85" s="6" t="str">
        <f>IFERROR(__xludf.DUMMYFUNCTION("""COMPUTED_VALUE"""),"CAFE-DETR strengthens context-aware and multi-scale feature representation to improve sesame crop and weed classification and localization, particularly for targets affected by clutter, scale changes, and complex field backgrounds, while retaining efficie"&amp;"nt end-to-end detection.")</f>
        <v>CAFE-DETR strengthens context-aware and multi-scale feature representation to improve sesame crop and weed classification and localization, particularly for targets affected by clutter, scale changes, and complex field backgrounds, while retaining efficient end-to-end detection.</v>
      </c>
    </row>
    <row r="86" ht="31.5" customHeight="1">
      <c r="A86" s="5" t="str">
        <f>IFERROR(__xludf.DUMMYFUNCTION("""COMPUTED_VALUE"""),"SCOPUS-000065")</f>
        <v>SCOPUS-000065</v>
      </c>
      <c r="B86" s="6" t="str">
        <f>IFERROR(__xludf.DUMMYFUNCTION("""COMPUTED_VALUE"""),"Results section — segmentation model comparison")</f>
        <v>Results section — segmentation model comparison</v>
      </c>
      <c r="C86" s="6" t="str">
        <f>IFERROR(__xludf.DUMMYFUNCTION("""COMPUTED_VALUE"""),"Results section — segmentation model comparison")</f>
        <v>Results section — segmentation model comparison</v>
      </c>
      <c r="D86" s="6" t="str">
        <f>IFERROR(__xludf.DUMMYFUNCTION("""COMPUTED_VALUE"""),"The proposed framework explicitly addresses crop–weed class imbalance in UAV imagery through imbalance-aware training and stronger feature extraction, reducing majority-class bias and improving segmentation of comparatively sparse weed regions.")</f>
        <v>The proposed framework explicitly addresses crop–weed class imbalance in UAV imagery through imbalance-aware training and stronger feature extraction, reducing majority-class bias and improving segmentation of comparatively sparse weed regions.</v>
      </c>
    </row>
    <row r="87" ht="31.5" customHeight="1">
      <c r="A87" s="5" t="str">
        <f>IFERROR(__xludf.DUMMYFUNCTION("""COMPUTED_VALUE"""),"SCOPUS-000030")</f>
        <v>SCOPUS-000030</v>
      </c>
      <c r="B87" s="6" t="str">
        <f>IFERROR(__xludf.DUMMYFUNCTION("""COMPUTED_VALUE"""),"Results section — few-shot model comparison")</f>
        <v>Results section — few-shot model comparison</v>
      </c>
      <c r="C87" s="6" t="str">
        <f>IFERROR(__xludf.DUMMYFUNCTION("""COMPUTED_VALUE"""),"Results section — few-shot model comparison")</f>
        <v>Results section — few-shot model comparison</v>
      </c>
      <c r="D87" s="6" t="str">
        <f>IFERROR(__xludf.DUMMYFUNCTION("""COMPUTED_VALUE"""),"Few-shot learning reduces the cost of building large pixel-labelled agricultural datasets by adapting segmentation models from only a small number of annotated examples. The study evaluates the trade-off between annotation cost and segmentation accuracy t"&amp;"o make crop–weed mapping more practical.")</f>
        <v>Few-shot learning reduces the cost of building large pixel-labelled agricultural datasets by adapting segmentation models from only a small number of annotated examples. The study evaluates the trade-off between annotation cost and segmentation accuracy to make crop–weed mapping more practical.</v>
      </c>
    </row>
    <row r="88" ht="31.5" customHeight="1">
      <c r="A88" s="5" t="str">
        <f>IFERROR(__xludf.DUMMYFUNCTION("""COMPUTED_VALUE"""),"WEBSCI-000402")</f>
        <v>WEBSCI-000402</v>
      </c>
      <c r="B88" s="6" t="str">
        <f>IFERROR(__xludf.DUMMYFUNCTION("""COMPUTED_VALUE"""),"Results section — CNN/CBAM comparison")</f>
        <v>Results section — CNN/CBAM comparison</v>
      </c>
      <c r="C88" s="6" t="str">
        <f>IFERROR(__xludf.DUMMYFUNCTION("""COMPUTED_VALUE"""),"Results section — CNN/CBAM comparison")</f>
        <v>Results section — CNN/CBAM comparison</v>
      </c>
      <c r="D88" s="6" t="str">
        <f>IFERROR(__xludf.DUMMYFUNCTION("""COMPUTED_VALUE"""),"Adding CBAM to deep CNN backbones emphasizes informative spatial and channel features while suppressing irrelevant field background, improving wheat–weed discrimination compared with the same networks without attention.")</f>
        <v>Adding CBAM to deep CNN backbones emphasizes informative spatial and channel features while suppressing irrelevant field background, improving wheat–weed discrimination compared with the same networks without attention.</v>
      </c>
    </row>
    <row r="89" ht="31.5" customHeight="1">
      <c r="A89" s="5" t="str">
        <f>IFERROR(__xludf.DUMMYFUNCTION("""COMPUTED_VALUE"""),"SCOPUS-000312")</f>
        <v>SCOPUS-000312</v>
      </c>
      <c r="B89" s="6" t="str">
        <f>IFERROR(__xludf.DUMMYFUNCTION("""COMPUTED_VALUE"""),"Results section — detector comparison")</f>
        <v>Results section — detector comparison</v>
      </c>
      <c r="C89" s="6" t="str">
        <f>IFERROR(__xludf.DUMMYFUNCTION("""COMPUTED_VALUE"""),"Results section — detector comparison")</f>
        <v>Results section — detector comparison</v>
      </c>
      <c r="D89" s="6" t="str">
        <f>IFERROR(__xludf.DUMMYFUNCTION("""COMPUTED_VALUE"""),"Deep object detectors are used to replace labor-intensive manual weed identification in sesame fields and provide accurate localization needed for selective treatment. Comparing detector architectures identifies a practical balance between detection quali"&amp;"ty and operational speed.")</f>
        <v>Deep object detectors are used to replace labor-intensive manual weed identification in sesame fields and provide accurate localization needed for selective treatment. Comparing detector architectures identifies a practical balance between detection quality and operational speed.</v>
      </c>
    </row>
    <row r="90" ht="31.5" customHeight="1">
      <c r="A90" s="5" t="str">
        <f>IFERROR(__xludf.DUMMYFUNCTION("""COMPUTED_VALUE"""),"SCOPUS-000300")</f>
        <v>SCOPUS-000300</v>
      </c>
      <c r="B90" s="6" t="str">
        <f>IFERROR(__xludf.DUMMYFUNCTION("""COMPUTED_VALUE"""),"Results section — detector comparison")</f>
        <v>Results section — detector comparison</v>
      </c>
      <c r="C90" s="6" t="str">
        <f>IFERROR(__xludf.DUMMYFUNCTION("""COMPUTED_VALUE"""),"Results section — detector comparison")</f>
        <v>Results section — detector comparison</v>
      </c>
      <c r="D90" s="6" t="str">
        <f>IFERROR(__xludf.DUMMYFUNCTION("""COMPUTED_VALUE"""),"WeedCAM combines high-resolution imaging, deep-learning detection, and edge computing to recognize multiple weed species directly in sugar beet fields. The system is designed to retain useful accuracy while processing images locally for real-time site-spe"&amp;"cific weed management.")</f>
        <v>WeedCAM combines high-resolution imaging, deep-learning detection, and edge computing to recognize multiple weed species directly in sugar beet fields. The system is designed to retain useful accuracy while processing images locally for real-time site-specific weed management.</v>
      </c>
    </row>
    <row r="91" ht="31.5" customHeight="1">
      <c r="A91" s="5" t="str">
        <f>IFERROR(__xludf.DUMMYFUNCTION("""COMPUTED_VALUE"""),"SCOPUS-000099")</f>
        <v>SCOPUS-000099</v>
      </c>
      <c r="B91" s="6" t="str">
        <f>IFERROR(__xludf.DUMMYFUNCTION("""COMPUTED_VALUE"""),"Results section — occlusion-aware detector comparison")</f>
        <v>Results section — occlusion-aware detector comparison</v>
      </c>
      <c r="C91" s="6" t="str">
        <f>IFERROR(__xludf.DUMMYFUNCTION("""COMPUTED_VALUE"""),"Results section — occlusion-aware detector comparison")</f>
        <v>Results section — occlusion-aware detector comparison</v>
      </c>
      <c r="D91" s="6" t="str">
        <f>IFERROR(__xludf.DUMMYFUNCTION("""COMPUTED_VALUE"""),"Occlusion-aware modeling is introduced because crop residue and overlapping vegetation hide maize and weed features in conservation-tillage fields. The enhanced detector improves recognition under occlusion and supplies spatial information for variable-ra"&amp;"te or targeted spraying.")</f>
        <v>Occlusion-aware modeling is introduced because crop residue and overlapping vegetation hide maize and weed features in conservation-tillage fields. The enhanced detector improves recognition under occlusion and supplies spatial information for variable-rate or targeted spraying.</v>
      </c>
    </row>
    <row r="92" ht="31.5" customHeight="1">
      <c r="A92" s="5" t="str">
        <f>IFERROR(__xludf.DUMMYFUNCTION("""COMPUTED_VALUE"""),"SCOPUS-000287")</f>
        <v>SCOPUS-000287</v>
      </c>
      <c r="B92" s="6" t="str">
        <f>IFERROR(__xludf.DUMMYFUNCTION("""COMPUTED_VALUE"""),"Results section — model comparison")</f>
        <v>Results section — model comparison</v>
      </c>
      <c r="C92" s="6" t="str">
        <f>IFERROR(__xludf.DUMMYFUNCTION("""COMPUTED_VALUE"""),"Results section — model comparison")</f>
        <v>Results section — model comparison</v>
      </c>
      <c r="D92" s="6" t="str">
        <f>IFERROR(__xludf.DUMMYFUNCTION("""COMPUTED_VALUE"""),"Deep learning on UAV imagery enables multi-species weed mapping over large maize and tomato fields, replacing coarse whole-field treatment with spatially explicit weed information that supports site-specific weed management and more selective herbicide us"&amp;"e.")</f>
        <v>Deep learning on UAV imagery enables multi-species weed mapping over large maize and tomato fields, replacing coarse whole-field treatment with spatially explicit weed information that supports site-specific weed management and more selective herbicide use.</v>
      </c>
    </row>
    <row r="93" ht="31.5" customHeight="1">
      <c r="A93" s="5" t="str">
        <f>IFERROR(__xludf.DUMMYFUNCTION("""COMPUTED_VALUE"""),"SCOPUS-000172")</f>
        <v>SCOPUS-000172</v>
      </c>
      <c r="B93" s="6" t="str">
        <f>IFERROR(__xludf.DUMMYFUNCTION("""COMPUTED_VALUE"""),"Results section — detector/segmentation comparison")</f>
        <v>Results section — detector/segmentation comparison</v>
      </c>
      <c r="C93" s="6" t="str">
        <f>IFERROR(__xludf.DUMMYFUNCTION("""COMPUTED_VALUE"""),"Results section — detector/segmentation comparison")</f>
        <v>Results section — detector/segmentation comparison</v>
      </c>
      <c r="D93" s="6" t="str">
        <f>IFERROR(__xludf.DUMMYFUNCTION("""COMPUTED_VALUE"""),"YOLO-EMA integrates efficient Mamba-style attention with YOLOv10 to strengthen long-range and multi-scale feature modeling for winter-wheat weeds while maintaining a lightweight architecture suitable for real-time detection and segmentation on edge AI pla"&amp;"tforms.")</f>
        <v>YOLO-EMA integrates efficient Mamba-style attention with YOLOv10 to strengthen long-range and multi-scale feature modeling for winter-wheat weeds while maintaining a lightweight architecture suitable for real-time detection and segmentation on edge AI platforms.</v>
      </c>
    </row>
    <row r="94" ht="31.5" customHeight="1">
      <c r="A94" s="5" t="str">
        <f>IFERROR(__xludf.DUMMYFUNCTION("""COMPUTED_VALUE"""),"SCOPUS-000290")</f>
        <v>SCOPUS-000290</v>
      </c>
      <c r="B94" s="6" t="str">
        <f>IFERROR(__xludf.DUMMYFUNCTION("""COMPUTED_VALUE"""),"Results section — detector comparison")</f>
        <v>Results section — detector comparison</v>
      </c>
      <c r="C94" s="6" t="str">
        <f>IFERROR(__xludf.DUMMYFUNCTION("""COMPUTED_VALUE"""),"Results section — detector comparison")</f>
        <v>Results section — detector comparison</v>
      </c>
      <c r="D94" s="6" t="str">
        <f>IFERROR(__xludf.DUMMYFUNCTION("""COMPUTED_VALUE"""),"The optimized YOLO-based detector and target-spraying device are designed together so soybean-field weeds can be recognized accurately at operational speed and their coordinates immediately converted into selective spray actions, reducing unnecessary herb"&amp;"icide application.")</f>
        <v>The optimized YOLO-based detector and target-spraying device are designed together so soybean-field weeds can be recognized accurately at operational speed and their coordinates immediately converted into selective spray actions, reducing unnecessary herbicide application.</v>
      </c>
    </row>
    <row r="95" ht="31.5" customHeight="1">
      <c r="A95" s="5" t="str">
        <f>IFERROR(__xludf.DUMMYFUNCTION("""COMPUTED_VALUE"""),"SCOPUS-000274")</f>
        <v>SCOPUS-000274</v>
      </c>
      <c r="B95" s="6" t="str">
        <f>IFERROR(__xludf.DUMMYFUNCTION("""COMPUTED_VALUE"""),"Results section — CNN comparison")</f>
        <v>Results section — CNN comparison</v>
      </c>
      <c r="C95" s="6" t="str">
        <f>IFERROR(__xludf.DUMMYFUNCTION("""COMPUTED_VALUE"""),"Results section — CNN comparison")</f>
        <v>Results section — CNN comparison</v>
      </c>
      <c r="D95" s="6" t="str">
        <f>IFERROR(__xludf.DUMMYFUNCTION("""COMPUTED_VALUE"""),"A hardware-efficient lightweight CNN is developed to retain high weed-classification accuracy while reducing model complexity, memory use, and inference latency, enabling real-time identification directly on resource-constrained embedded devices.")</f>
        <v>A hardware-efficient lightweight CNN is developed to retain high weed-classification accuracy while reducing model complexity, memory use, and inference latency, enabling real-time identification directly on resource-constrained embedded devices.</v>
      </c>
    </row>
    <row r="96" ht="31.5" customHeight="1">
      <c r="A96" s="5" t="str">
        <f>IFERROR(__xludf.DUMMYFUNCTION("""COMPUTED_VALUE"""),"SCOPUS-000084")</f>
        <v>SCOPUS-000084</v>
      </c>
      <c r="B96" s="6" t="str">
        <f>IFERROR(__xludf.DUMMYFUNCTION("""COMPUTED_VALUE"""),"Results section — detector comparison")</f>
        <v>Results section — detector comparison</v>
      </c>
      <c r="C96" s="6" t="str">
        <f>IFERROR(__xludf.DUMMYFUNCTION("""COMPUTED_VALUE"""),"Results section — detector comparison")</f>
        <v>Results section — detector comparison</v>
      </c>
      <c r="D96" s="6" t="str">
        <f>IFERROR(__xludf.DUMMYFUNCTION("""COMPUTED_VALUE"""),"The multi-scale real-time detector is designed to improve localization of weeds that vary greatly in size and appear against complex sidewalk backgrounds, strengthening feature fusion and small-target sensitivity while preserving fast inference.")</f>
        <v>The multi-scale real-time detector is designed to improve localization of weeds that vary greatly in size and appear against complex sidewalk backgrounds, strengthening feature fusion and small-target sensitivity while preserving fast inference.</v>
      </c>
    </row>
    <row r="97" ht="31.5" customHeight="1">
      <c r="A97" s="5" t="str">
        <f>IFERROR(__xludf.DUMMYFUNCTION("""COMPUTED_VALUE"""),"SCOPUS-000131")</f>
        <v>SCOPUS-000131</v>
      </c>
      <c r="B97" s="6" t="str">
        <f>IFERROR(__xludf.DUMMYFUNCTION("""COMPUTED_VALUE"""),"Results section — detector comparison")</f>
        <v>Results section — detector comparison</v>
      </c>
      <c r="C97" s="6" t="str">
        <f>IFERROR(__xludf.DUMMYFUNCTION("""COMPUTED_VALUE"""),"Results section — detector comparison")</f>
        <v>Results section — detector comparison</v>
      </c>
      <c r="D97" s="6" t="str">
        <f>IFERROR(__xludf.DUMMYFUNCTION("""COMPUTED_VALUE"""),"YOLOv8-MLD modifies the lightweight YOLOv8 design to reduce parameters and computation while improving feature extraction for small and overlapping cornfield weeds, supporting accurate real-time detection on agricultural edge hardware.")</f>
        <v>YOLOv8-MLD modifies the lightweight YOLOv8 design to reduce parameters and computation while improving feature extraction for small and overlapping cornfield weeds, supporting accurate real-time detection on agricultural edge hardware.</v>
      </c>
    </row>
    <row r="98" ht="31.5" customHeight="1">
      <c r="A98" s="5" t="str">
        <f>IFERROR(__xludf.DUMMYFUNCTION("""COMPUTED_VALUE"""),"SCOPUS-000001")</f>
        <v>SCOPUS-000001</v>
      </c>
      <c r="B98" s="6" t="str">
        <f>IFERROR(__xludf.DUMMYFUNCTION("""COMPUTED_VALUE"""),"Table 7 test mAP@0.5 Faster RCNN = 0.865 (conflict: abstract/§3.2 AP@0.5 = 0.8211; Table 6 overall AP test = 0.5277 is not mAP@0.5)")</f>
        <v>Table 7 test mAP@0.5 Faster RCNN = 0.865 (conflict: abstract/§3.2 AP@0.5 = 0.8211; Table 6 overall AP test = 0.5277 is not mAP@0.5)</v>
      </c>
      <c r="C98" s="6" t="str">
        <f>IFERROR(__xludf.DUMMYFUNCTION("""COMPUTED_VALUE"""),"Table 7 / Table 3 test mAP@0.5 YOLOv9 = 0.935 (best); YOLOv8 = 0.925; YOLOv11 = 0.921")</f>
        <v>Table 7 / Table 3 test mAP@0.5 YOLOv9 = 0.935 (best); YOLOv8 = 0.925; YOLOv11 = 0.921</v>
      </c>
      <c r="D98" s="6" t="str">
        <f>IFERROR(__xludf.DUMMYFUNCTION("""COMPUTED_VALUE"""),"Field lighting and species look-alikes, few boxes for dandelion/cocklebur, and slow two-stage inference are the training/deployment limits. Geometric augmentation of 665 train images plus YOLO architectures vs Faster R-CNN is the comparison; YOLOv9 is the"&amp;" best test mAP@0.5 model (93.5%) against Faster R-CNN (86.5%) on the same 118-image test split. Authors do not name this as a named training-data mitigation.")</f>
        <v>Field lighting and species look-alikes, few boxes for dandelion/cocklebur, and slow two-stage inference are the training/deployment limits. Geometric augmentation of 665 train images plus YOLO architectures vs Faster R-CNN is the comparison; YOLOv9 is the best test mAP@0.5 model (93.5%) against Faster R-CNN (86.5%) on the same 118-image test split. Authors do not name this as a named training-data mitigation.</v>
      </c>
    </row>
    <row r="99" ht="31.5" customHeight="1">
      <c r="A99" s="5" t="str">
        <f>IFERROR(__xludf.DUMMYFUNCTION("""COMPUTED_VALUE"""),"SCOPUS-000012")</f>
        <v>SCOPUS-000012</v>
      </c>
      <c r="B99" s="6" t="str">
        <f>IFERROR(__xludf.DUMMYFUNCTION("""COMPUTED_VALUE"""),"Abstract / Table I 4-class ROI Acc DenseNet = 86.57%")</f>
        <v>Abstract / Table I 4-class ROI Acc DenseNet = 86.57%</v>
      </c>
      <c r="C99" s="6" t="str">
        <f>IFERROR(__xludf.DUMMYFUNCTION("""COMPUTED_VALUE"""),"Abstract / Table I 4-class ROI Acc EfficientNet = 89.55%; Xception = 86.57%")</f>
        <v>Abstract / Table I 4-class ROI Acc EfficientNet = 89.55%; Xception = 86.57%</v>
      </c>
      <c r="D99" s="6" t="str">
        <f>IFERROR(__xludf.DUMMYFUNCTION("""COMPUTED_VALUE"""),"Classes 3 vs 4 look alike, the set is 448 photos, and growth-stage morphology changes. Primary author-reported comparison is 4-class ROI Acc: EfficientNet 89.55% vs DenseNet 86.57%. Table IV 3-class no-ROI EfficientNet Acc=1.00 is a different protocol and"&amp;" was not mixed in.")</f>
        <v>Classes 3 vs 4 look alike, the set is 448 photos, and growth-stage morphology changes. Primary author-reported comparison is 4-class ROI Acc: EfficientNet 89.55% vs DenseNet 86.57%. Table IV 3-class no-ROI EfficientNet Acc=1.00 is a different protocol and was not mixed in.</v>
      </c>
    </row>
    <row r="100" ht="31.5" customHeight="1">
      <c r="A100" s="5" t="str">
        <f>IFERROR(__xludf.DUMMYFUNCTION("""COMPUTED_VALUE"""),"SCOPUS-000027")</f>
        <v>SCOPUS-000027</v>
      </c>
      <c r="B100" s="6" t="str">
        <f>IFERROR(__xludf.DUMMYFUNCTION("""COMPUTED_VALUE"""),"Table 1 WD acc ChatGPT-4o = 0.4489")</f>
        <v>Table 1 WD acc ChatGPT-4o = 0.4489</v>
      </c>
      <c r="C100" s="6" t="str">
        <f>IFERROR(__xludf.DUMMYFUNCTION("""COMPUTED_VALUE"""),"Table 1 WD acc Gemini Flash 2.5 = 0.7460; Gemini Flash Lite 2.5 = 0.6825")</f>
        <v>Table 1 WD acc Gemini Flash 2.5 = 0.7460; Gemini Flash Lite 2.5 = 0.6825</v>
      </c>
      <c r="D100" s="6" t="str">
        <f>IFERROR(__xludf.DUMMYFUNCTION("""COMPUTED_VALUE"""),"Supervised detectors need heavy boxes and fail under field/sensor shift. Zero-shot VLMs are compared on the same 441 UAV frames. Primary metric is binary weed-presence Accuracy (WD acc), not box mAP. Best model is Gemini Flash 2.5 (74.6%) vs ChatGPT-4o (4"&amp;"4.89%). LLaMA-4 Scout 14.96% was not used as the baseline. ANALYTICAL NOTE: retain as valid reported Detection evidence, but WD Accuracy is not the primary Detection synthesis metric (mAP@0.5); exclude this comparison from task-specific primary mAP@0.5 po"&amp;"oling.")</f>
        <v>Supervised detectors need heavy boxes and fail under field/sensor shift. Zero-shot VLMs are compared on the same 441 UAV frames. Primary metric is binary weed-presence Accuracy (WD acc), not box mAP. Best model is Gemini Flash 2.5 (74.6%) vs ChatGPT-4o (44.89%). LLaMA-4 Scout 14.96% was not used as the baseline. ANALYTICAL NOTE: retain as valid reported Detection evidence, but WD Accuracy is not the primary Detection synthesis metric (mAP@0.5); exclude this comparison from task-specific primary mAP@0.5 pooling.</v>
      </c>
    </row>
    <row r="101" ht="31.5" customHeight="1">
      <c r="A101" s="5" t="str">
        <f>IFERROR(__xludf.DUMMYFUNCTION("""COMPUTED_VALUE"""),"SCOPUS-000047")</f>
        <v>SCOPUS-000047</v>
      </c>
      <c r="B101" s="6" t="str">
        <f>IFERROR(__xludf.DUMMYFUNCTION("""COMPUTED_VALUE"""),"Table 3/4/6 YOLOv8n mAP@50 = 93.7% (IoU=0.5 in §2.6.1)")</f>
        <v>Table 3/4/6 YOLOv8n mAP@50 = 93.7% (IoU=0.5 in §2.6.1)</v>
      </c>
      <c r="C101" s="6" t="str">
        <f>IFERROR(__xludf.DUMMYFUNCTION("""COMPUTED_VALUE"""),"Table 4 SPH+MSCA mAP@50 = 96.4% (best); QseedNet = 95.1% (proposed)")</f>
        <v>Table 4 SPH+MSCA mAP@50 = 96.4% (best); QseedNet = 95.1% (proposed)</v>
      </c>
      <c r="D101" s="6" t="str">
        <f>IFERROR(__xludf.DUMMYFUNCTION("""COMPUTED_VALUE"""),"Micro-scale occluded look-alike seeds and Jetson limits. Best printed mAP@50 is SPH+MSCA 96.4% vs YOLOv8n 93.7% on the same 7:3 validation split. Proposed QseedNet is 95.1%.")</f>
        <v>Micro-scale occluded look-alike seeds and Jetson limits. Best printed mAP@50 is SPH+MSCA 96.4% vs YOLOv8n 93.7% on the same 7:3 validation split. Proposed QseedNet is 95.1%.</v>
      </c>
    </row>
    <row r="102" ht="31.5" customHeight="1">
      <c r="A102" s="5" t="str">
        <f>IFERROR(__xludf.DUMMYFUNCTION("""COMPUTED_VALUE"""),"SCOPUS-000049")</f>
        <v>SCOPUS-000049</v>
      </c>
      <c r="B102" s="6" t="str">
        <f>IFERROR(__xludf.DUMMYFUNCTION("""COMPUTED_VALUE"""),"Table 7 Accuracy EfficientNetB0 = 95.6% (discussion also 94.6% — conflict flagged)")</f>
        <v>Table 7 Accuracy EfficientNetB0 = 95.6% (discussion also 94.6% — conflict flagged)</v>
      </c>
      <c r="C102" s="6" t="str">
        <f>IFERROR(__xludf.DUMMYFUNCTION("""COMPUTED_VALUE"""),"Table 6/7 / abstract ViT class weighting Accuracy = 96.9%")</f>
        <v>Table 6/7 / abstract ViT class weighting Accuracy = 96.9%</v>
      </c>
      <c r="D102" s="6" t="str">
        <f>IFERROR(__xludf.DUMMYFUNCTION("""COMPUTED_VALUE"""),"Negative class is 9106/17509 and sites vary in lighting. Best printed test Accuracy is ViT 96.9% vs EfficientNetB0 95.6%. Table 6 no-balancing 99.9% was rejected by the authors and not used.")</f>
        <v>Negative class is 9106/17509 and sites vary in lighting. Best printed test Accuracy is ViT 96.9% vs EfficientNetB0 95.6%. Table 6 no-balancing 99.9% was rejected by the authors and not used.</v>
      </c>
    </row>
    <row r="103" ht="31.5" customHeight="1">
      <c r="A103" s="5" t="str">
        <f>IFERROR(__xludf.DUMMYFUNCTION("""COMPUTED_VALUE"""),"SCOPUS-000059")</f>
        <v>SCOPUS-000059</v>
      </c>
      <c r="B103" s="6" t="str">
        <f>IFERROR(__xludf.DUMMYFUNCTION("""COMPUTED_VALUE"""),"Table 5 10-fold mean Accuracy DenseNet121 = 98.92 ± 0.19")</f>
        <v>Table 5 10-fold mean Accuracy DenseNet121 = 98.92 ± 0.19</v>
      </c>
      <c r="C103" s="6" t="str">
        <f>IFERROR(__xludf.DUMMYFUNCTION("""COMPUTED_VALUE"""),"Table 5 / Table 8 proposed fusion Accuracy = 99.10 ± 0.18")</f>
        <v>Table 5 / Table 8 proposed fusion Accuracy = 99.10 ± 0.18</v>
      </c>
      <c r="D103" s="6" t="str">
        <f>IFERROR(__xludf.DUMMYFUNCTION("""COMPUTED_VALUE"""),"Look-alike field weeds; ImageNet-pretrained CNNs fused with fuzzy ranks. Best 10-fold Accuracy is fusion 99.10% vs DenseNet121 98.92%.")</f>
        <v>Look-alike field weeds; ImageNet-pretrained CNNs fused with fuzzy ranks. Best 10-fold Accuracy is fusion 99.10% vs DenseNet121 98.92%.</v>
      </c>
    </row>
    <row r="104" ht="31.5" customHeight="1">
      <c r="A104" s="5" t="str">
        <f>IFERROR(__xludf.DUMMYFUNCTION("""COMPUTED_VALUE"""),"SCOPUS-000067")</f>
        <v>SCOPUS-000067</v>
      </c>
      <c r="B104" s="6" t="str">
        <f>IFERROR(__xludf.DUMMYFUNCTION("""COMPUTED_VALUE"""),"Table 3 test Accuracy Raw spectra-WFS-LDA = 94.67%")</f>
        <v>Table 3 test Accuracy Raw spectra-WFS-LDA = 94.67%</v>
      </c>
      <c r="C104" s="6" t="str">
        <f>IFERROR(__xludf.DUMMYFUNCTION("""COMPUTED_VALUE"""),"Table 3 test Accuracy MF-WFS-LDA = 96.67%")</f>
        <v>Table 3 test Accuracy MF-WFS-LDA = 96.67%</v>
      </c>
      <c r="D104" s="6" t="str">
        <f>IFERROR(__xludf.DUMMYFUNCTION("""COMPUTED_VALUE"""),"Peanut and four weeds share similar spectra on a 500-sample set. Median filtering + wrapper wavelength selection + LDA is 96.67% vs raw-spectra WFS-LDA 94.67% on the same 30% test split.")</f>
        <v>Peanut and four weeds share similar spectra on a 500-sample set. Median filtering + wrapper wavelength selection + LDA is 96.67% vs raw-spectra WFS-LDA 94.67% on the same 30% test split.</v>
      </c>
    </row>
    <row r="105" ht="31.5" customHeight="1">
      <c r="A105" s="5" t="str">
        <f>IFERROR(__xludf.DUMMYFUNCTION("""COMPUTED_VALUE"""),"SCOPUS-000076")</f>
        <v>SCOPUS-000076</v>
      </c>
      <c r="B105" s="6" t="str">
        <f>IFERROR(__xludf.DUMMYFUNCTION("""COMPUTED_VALUE"""),"Table 2 Test 1 Mamba-Origin mAP@50 = 92.70%")</f>
        <v>Table 2 Test 1 Mamba-Origin mAP@50 = 92.70%</v>
      </c>
      <c r="C105" s="6" t="str">
        <f>IFERROR(__xludf.DUMMYFUNCTION("""COMPUTED_VALUE"""),"Table 2 Test 4 / Table 3 Mamba-Weed mAP@50 = 93.80%; YOLOv12n = 93.20%")</f>
        <v>Table 2 Test 4 / Table 3 Mamba-Weed mAP@50 = 93.80%; YOLOv12n = 93.20%</v>
      </c>
      <c r="D105" s="6" t="str">
        <f>IFERROR(__xludf.DUMMYFUNCTION("""COMPUTED_VALUE"""),"Complex field backgrounds and multi-scale/small weeds limit the origin detector. Mamba-Weed (SDI+LAE) is the best printed mAP@50 on the same Weed25 test split (93.8%) versus Mamba-Origin (92.7%). Gain is 1.1 pp and is kept.")</f>
        <v>Complex field backgrounds and multi-scale/small weeds limit the origin detector. Mamba-Weed (SDI+LAE) is the best printed mAP@50 on the same Weed25 test split (93.8%) versus Mamba-Origin (92.7%). Gain is 1.1 pp and is kept.</v>
      </c>
    </row>
    <row r="106" ht="31.5" customHeight="1">
      <c r="A106" s="5" t="str">
        <f>IFERROR(__xludf.DUMMYFUNCTION("""COMPUTED_VALUE"""),"SCOPUS-000087")</f>
        <v>SCOPUS-000087</v>
      </c>
      <c r="B106" s="6" t="str">
        <f>IFERROR(__xludf.DUMMYFUNCTION("""COMPUTED_VALUE"""),"Table IV ResNet50 Accuracy = 95.00%")</f>
        <v>Table IV ResNet50 Accuracy = 95.00%</v>
      </c>
      <c r="C106" s="6" t="str">
        <f>IFERROR(__xludf.DUMMYFUNCTION("""COMPUTED_VALUE"""),"Table IV / abstract MobileNetV2 Accuracy = 96.6%; VGG16 = 88.00%")</f>
        <v>Table IV / abstract MobileNetV2 Accuracy = 96.6%; VGG16 = 88.00%</v>
      </c>
      <c r="D106" s="6" t="str">
        <f>IFERROR(__xludf.DUMMYFUNCTION("""COMPUTED_VALUE"""),"Same TL+augmentation protocol. Best Accuracy is MobileNetV2 96.6% versus ResNet50 95.0%. Title says detection; tables are 4-class classification. F1 was not substituted for Accuracy.")</f>
        <v>Same TL+augmentation protocol. Best Accuracy is MobileNetV2 96.6% versus ResNet50 95.0%. Title says detection; tables are 4-class classification. F1 was not substituted for Accuracy.</v>
      </c>
    </row>
    <row r="107" ht="31.5" customHeight="1">
      <c r="A107" s="5" t="str">
        <f>IFERROR(__xludf.DUMMYFUNCTION("""COMPUTED_VALUE"""),"SCOPUS-000089")</f>
        <v>SCOPUS-000089</v>
      </c>
      <c r="B107" s="6" t="str">
        <f>IFERROR(__xludf.DUMMYFUNCTION("""COMPUTED_VALUE"""),"Table 3 LightGBM Accuracy = 94.8%")</f>
        <v>Table 3 LightGBM Accuracy = 94.8%</v>
      </c>
      <c r="C107" s="6" t="str">
        <f>IFERROR(__xludf.DUMMYFUNCTION("""COMPUTED_VALUE"""),"Table 4 stacking Accuracy = 95.6% (abstract 96.1% not in any table — not used)")</f>
        <v>Table 4 stacking Accuracy = 95.6% (abstract 96.1% not in any table — not used)</v>
      </c>
      <c r="D107" s="6" t="str">
        <f>IFERROR(__xludf.DUMMYFUNCTION("""COMPUTED_VALUE"""),"Class imbalance, look-alike species, and redundant handcrafted features are addressed with feature selection and a stacking ensemble. Best printed Accuracy is stacking 95.6% versus strongest individual LightGBM 94.8%.")</f>
        <v>Class imbalance, look-alike species, and redundant handcrafted features are addressed with feature selection and a stacking ensemble. Best printed Accuracy is stacking 95.6% versus strongest individual LightGBM 94.8%.</v>
      </c>
    </row>
    <row r="108" ht="31.5" customHeight="1">
      <c r="A108" s="5" t="str">
        <f>IFERROR(__xludf.DUMMYFUNCTION("""COMPUTED_VALUE"""),"SCOPUS-000140")</f>
        <v>SCOPUS-000140</v>
      </c>
      <c r="B108" s="6" t="str">
        <f>IFERROR(__xludf.DUMMYFUNCTION("""COMPUTED_VALUE"""),"Table 3 4-class mean IoU Mask R-CNN-ResNet50 = 54.8 (37.06/23.15/64.04/94.91); Discussion 87.12 − 32.34 pp")</f>
        <v>Table 3 4-class mean IoU Mask R-CNN-ResNet50 = 54.8 (37.06/23.15/64.04/94.91); Discussion 87.12 − 32.34 pp</v>
      </c>
      <c r="C108" s="6" t="str">
        <f>IFERROR(__xludf.DUMMYFUNCTION("""COMPUTED_VALUE"""),"Abstract / Table 4 / Conclusions Residual U-Net-ResNet101 mIoU = 87.12%; Table 3 class-mean Residual U-Net-ResNet50 = 84.1; Mask R-CNN-ASPP-ResNet50 = 65.3 (Conclusions 21.8 pp below 87.12)")</f>
        <v>Abstract / Table 4 / Conclusions Residual U-Net-ResNet101 mIoU = 87.12%; Table 3 class-mean Residual U-Net-ResNet50 = 84.1; Mask R-CNN-ASPP-ResNet50 = 65.3 (Conclusions 21.8 pp below 87.12)</v>
      </c>
      <c r="D108" s="6" t="str">
        <f>IFERROR(__xludf.DUMMYFUNCTION("""COMPUTED_VALUE"""),"High-density overlap, occlusions, Crop–NLW look-alikes, small plants, and NLW/soil pixel imbalance. Residual U-Net (ImageNet ResNet, dice+focal, augmentation) is the best printed mIoU versus vanilla Mask R-CNN-ResNet50 on the same 10% test split (extracto"&amp;"r-linked). Authors do not name this as a named training-data mitigation.")</f>
        <v>High-density overlap, occlusions, Crop–NLW look-alikes, small plants, and NLW/soil pixel imbalance. Residual U-Net (ImageNet ResNet, dice+focal, augmentation) is the best printed mIoU versus vanilla Mask R-CNN-ResNet50 on the same 10% test split (extractor-linked). Authors do not name this as a named training-data mitigation.</v>
      </c>
    </row>
    <row r="109" ht="31.5" customHeight="1">
      <c r="A109" s="5" t="str">
        <f>IFERROR(__xludf.DUMMYFUNCTION("""COMPUTED_VALUE"""),"SCOPUS-000148")</f>
        <v>SCOPUS-000148</v>
      </c>
      <c r="B109" s="6" t="str">
        <f>IFERROR(__xludf.DUMMYFUNCTION("""COMPUTED_VALUE"""),"Table 5 Model 1 / Table 3 YOLOv8n mAP@0.5 = 91.37%")</f>
        <v>Table 5 Model 1 / Table 3 YOLOv8n mAP@0.5 = 91.37%</v>
      </c>
      <c r="C109" s="6" t="str">
        <f>IFERROR(__xludf.DUMMYFUNCTION("""COMPUTED_VALUE"""),"Table 5 Ours / Table 3 CW-YOLO mAP@0.5 = 92.47%; HFF+EMRF = 92.42; EMRF = 92.16; HFF+RFE+SSCD = 92.03")</f>
        <v>Table 5 Ours / Table 3 CW-YOLO mAP@0.5 = 92.47%; HFF+EMRF = 92.42; EMRF = 92.16; HFF+RFE+SSCD = 92.03</v>
      </c>
      <c r="D109" s="6" t="str">
        <f>IFERROR(__xludf.DUMMYFUNCTION("""COMPUTED_VALUE"""),"CottonWeedID15 has look-alike grasses, small multi-scale weeds, and cluttered field backgrounds, while YOLOv8n’s CNN receptive field and heavy head limit representation and on-device use. Extractor-linked: CW-YOLO (HFF ViT–CNN branch with MHSA, EMRF/RFE m"&amp;"ulti-scale fusion, SSCD shared head) is the best Table 5 mAP@0.5 model (92.47%) versus YOLOv8n (91.37%) on the same 8:1:1 split. Authors frame this as architecture for accuracy/efficiency, not a named training-data mitigation.")</f>
        <v>CottonWeedID15 has look-alike grasses, small multi-scale weeds, and cluttered field backgrounds, while YOLOv8n’s CNN receptive field and heavy head limit representation and on-device use. Extractor-linked: CW-YOLO (HFF ViT–CNN branch with MHSA, EMRF/RFE multi-scale fusion, SSCD shared head) is the best Table 5 mAP@0.5 model (92.47%) versus YOLOv8n (91.37%) on the same 8:1:1 split. Authors frame this as architecture for accuracy/efficiency, not a named training-data mitigation.</v>
      </c>
    </row>
    <row r="110" ht="31.5" customHeight="1">
      <c r="A110" s="5" t="str">
        <f>IFERROR(__xludf.DUMMYFUNCTION("""COMPUTED_VALUE"""),"SCOPUS-000156")</f>
        <v>SCOPUS-000156</v>
      </c>
      <c r="B110" s="6" t="str">
        <f>IFERROR(__xludf.DUMMYFUNCTION("""COMPUTED_VALUE"""),"Table 2 YOLOv8m RGB mAP50 = 0.613 (61.3%)")</f>
        <v>Table 2 YOLOv8m RGB mAP50 = 0.613 (61.3%)</v>
      </c>
      <c r="C110" s="6" t="str">
        <f>IFERROR(__xludf.DUMMYFUNCTION("""COMPUTED_VALUE"""),"Table 2 YOLOv8m RDB mAP50 = 0.634 (63.4%); YOLOv8s RDB = 0.621; YOLOv8s RGD = 0.596; YOLOv8s DGB = 0.592")</f>
        <v>Table 2 YOLOv8m RDB mAP50 = 0.634 (63.4%); YOLOv8s RDB = 0.621; YOLOv8s RGD = 0.596; YOLOv8s DGB = 0.592</v>
      </c>
      <c r="D110" s="6" t="str">
        <f>IFERROR(__xludf.DUMMYFUNCTION("""COMPUTED_VALUE"""),"Pasture dock looks like forage grasses and full RGBD is too heavy for small robots, so one RGB channel is replaced with stereo depth while keeping a 3-channel YOLOv8 input. Extractor-linked: best eligible model is YOLOv8m RDB (63.4%) versus the same-size "&amp;"RGB control YOLOv8m RGB (61.3%) on the same 7:2:1 split. Authors compare band combinations; they do not name this as a training-data mitigation. Do not use YOLOv8s RGB (57.4) as baseline against YOLOv8m RDB.")</f>
        <v>Pasture dock looks like forage grasses and full RGBD is too heavy for small robots, so one RGB channel is replaced with stereo depth while keeping a 3-channel YOLOv8 input. Extractor-linked: best eligible model is YOLOv8m RDB (63.4%) versus the same-size RGB control YOLOv8m RGB (61.3%) on the same 7:2:1 split. Authors compare band combinations; they do not name this as a training-data mitigation. Do not use YOLOv8s RGB (57.4) as baseline against YOLOv8m RDB.</v>
      </c>
    </row>
    <row r="111" ht="31.5" customHeight="1">
      <c r="A111" s="5" t="str">
        <f>IFERROR(__xludf.DUMMYFUNCTION("""COMPUTED_VALUE"""),"SCOPUS-000166")</f>
        <v>SCOPUS-000166</v>
      </c>
      <c r="B111" s="6" t="str">
        <f>IFERROR(__xludf.DUMMYFUNCTION("""COMPUTED_VALUE"""),"Table 3 / Table 5 DETR mAP50 = 0.764 (validation; Table 4 AP at IoU=0.50:0.95 is a different metric)")</f>
        <v>Table 3 / Table 5 DETR mAP50 = 0.764 (validation; Table 4 AP at IoU=0.50:0.95 is a different metric)</v>
      </c>
      <c r="C111" s="6" t="str">
        <f>IFERROR(__xludf.DUMMYFUNCTION("""COMPUTED_VALUE"""),"Table 3 / Table 5 / Table 7 RMS-DETR mAP50 = 0.792 (best); DETR-CGA+CNN = 0.784; DETR-CGA = 0.772")</f>
        <v>Table 3 / Table 5 / Table 7 RMS-DETR mAP50 = 0.792 (best); DETR-CGA+CNN = 0.784; DETR-CGA = 0.772</v>
      </c>
      <c r="D111" s="6" t="str">
        <f>IFERROR(__xludf.DUMMYFUNCTION("""COMPUTED_VALUE"""),"Barnyard grass is morphologically similar to rice, often occluded, and occupies only tens of UAV pixels against complex paddy backgrounds; authors also note relatively small training volume. Extractor-linked: RMS-DETR (multi-scale hybrid Transformer/CNN e"&amp;"ncoder, Cascaded Group Attention, PConv) is the mitigation model versus DETR on the same 7:2:1 weed-tile split. Authors present this as an architecture for small/occluded weeds, not as a named training-data mitigation. mAP50 is COCO-style AP at IoU=0.5 (d"&amp;"istinct from Table 4 AP at 0.50:0.95).")</f>
        <v>Barnyard grass is morphologically similar to rice, often occluded, and occupies only tens of UAV pixels against complex paddy backgrounds; authors also note relatively small training volume. Extractor-linked: RMS-DETR (multi-scale hybrid Transformer/CNN encoder, Cascaded Group Attention, PConv) is the mitigation model versus DETR on the same 7:2:1 weed-tile split. Authors present this as an architecture for small/occluded weeds, not as a named training-data mitigation. mAP50 is COCO-style AP at IoU=0.5 (distinct from Table 4 AP at 0.50:0.95).</v>
      </c>
    </row>
    <row r="112" ht="31.5" customHeight="1">
      <c r="A112" s="5" t="str">
        <f>IFERROR(__xludf.DUMMYFUNCTION("""COMPUTED_VALUE"""),"SCOPUS-000184")</f>
        <v>SCOPUS-000184</v>
      </c>
      <c r="B112" s="6" t="str">
        <f>IFERROR(__xludf.DUMMYFUNCTION("""COMPUTED_VALUE"""),"Table 3 Faster R-CNN mAP = 0.919; Table 2 Test IoU = 0.5 so mAP is mAP@0.5")</f>
        <v>Table 3 Faster R-CNN mAP = 0.919; Table 2 Test IoU = 0.5 so mAP is mAP@0.5</v>
      </c>
      <c r="C112" s="6" t="str">
        <f>IFERROR(__xludf.DUMMYFUNCTION("""COMPUTED_VALUE"""),"Table 3 YOLOv11 mAP = 0.975 (YOLOv11x); RT-DETR = 0.972; Table 5 YOLOv11m = 0.944")</f>
        <v>Table 3 YOLOv11 mAP = 0.975 (YOLOv11x); RT-DETR = 0.972; Table 5 YOLOv11m = 0.944</v>
      </c>
      <c r="D112" s="6" t="str">
        <f>IFERROR(__xludf.DUMMYFUNCTION("""COMPUTED_VALUE"""),"Early maize and weeds sit in cluttered inter- and intra-row scenes with occlusion, small embryonic boxes, variable lighting/soil, and slower two-stage inference. Extractor-linked: YOLOv11x (COCO-pretrained detectors, online augmentation, TensorRT export) "&amp;"is the best eligible-metric model versus Faster R-CNN on the same 70/10/20 test split. Authors do not name this as a training-data mitigation; they present an architecture/hardware comparison. YOLOv11n mAP=0.867 was not used as a weak baseline.")</f>
        <v>Early maize and weeds sit in cluttered inter- and intra-row scenes with occlusion, small embryonic boxes, variable lighting/soil, and slower two-stage inference. Extractor-linked: YOLOv11x (COCO-pretrained detectors, online augmentation, TensorRT export) is the best eligible-metric model versus Faster R-CNN on the same 70/10/20 test split. Authors do not name this as a training-data mitigation; they present an architecture/hardware comparison. YOLOv11n mAP=0.867 was not used as a weak baseline.</v>
      </c>
    </row>
    <row r="113" ht="31.5" customHeight="1">
      <c r="A113" s="5" t="str">
        <f>IFERROR(__xludf.DUMMYFUNCTION("""COMPUTED_VALUE"""),"SCOPUS-000192")</f>
        <v>SCOPUS-000192</v>
      </c>
      <c r="B113" s="6" t="str">
        <f>IFERROR(__xludf.DUMMYFUNCTION("""COMPUTED_VALUE"""),"§3.2 Mask R-CNN mAP at 0.5 threshold = 0.627 (same 232-image 80/20 instance split)")</f>
        <v>§3.2 Mask R-CNN mAP at 0.5 threshold = 0.627 (same 232-image 80/20 instance split)</v>
      </c>
      <c r="C113" s="6" t="str">
        <f>IFERROR(__xludf.DUMMYFUNCTION("""COMPUTED_VALUE"""),"Table 6 MaskmAP@0.5 YOLOv9-e = 74.4%; YOLO11-s = 73.8%; YOLOv8-s = 72.8% (conflict: §3.2 YOLOv9 mAP = 0.743 vs Table 6 74.4)")</f>
        <v>Table 6 MaskmAP@0.5 YOLOv9-e = 74.4%; YOLO11-s = 73.8%; YOLOv8-s = 72.8% (conflict: §3.2 YOLOv9 mAP = 0.743 vs Table 6 74.4)</v>
      </c>
      <c r="D113" s="6" t="str">
        <f>IFERROR(__xludf.DUMMYFUNCTION("""COMPUTED_VALUE"""),"Post-emergence sugar beet and weeds look similar and overlap, instance counts are imbalanced, small weeds are ~2 px at 0.489 cm GSD, and maps must run on a Jetson Orin Nano. Extractor-linked: YOLOv9-e is the best printed Mask mAP@0.5 (74.4%) versus Mask R"&amp;"-CNN (62.7%) on the same instance split. Authors do not name this pair as a training-data mitigation. Semantic U-Net class IoUs were not recoded as mIoU. ANALYTICAL NOTE: retain as valid reported Segmentation evidence, but Mask mAP@0.5 is not the primary "&amp;"Segmentation synthesis metric (mIoU); exclude this comparison from task-specific primary mIoU pooling.")</f>
        <v>Post-emergence sugar beet and weeds look similar and overlap, instance counts are imbalanced, small weeds are ~2 px at 0.489 cm GSD, and maps must run on a Jetson Orin Nano. Extractor-linked: YOLOv9-e is the best printed Mask mAP@0.5 (74.4%) versus Mask R-CNN (62.7%) on the same instance split. Authors do not name this pair as a training-data mitigation. Semantic U-Net class IoUs were not recoded as mIoU. ANALYTICAL NOTE: retain as valid reported Segmentation evidence, but Mask mAP@0.5 is not the primary Segmentation synthesis metric (mIoU); exclude this comparison from task-specific primary mIoU pooling.</v>
      </c>
    </row>
    <row r="114" ht="31.5" customHeight="1">
      <c r="A114" s="5" t="str">
        <f>IFERROR(__xludf.DUMMYFUNCTION("""COMPUTED_VALUE"""),"SCOPUS-000221")</f>
        <v>SCOPUS-000221</v>
      </c>
      <c r="B114" s="6" t="str">
        <f>IFERROR(__xludf.DUMMYFUNCTION("""COMPUTED_VALUE"""),"Table 1 EfficientNet V2 without DA Acc. = 0.9600 (96.00%)")</f>
        <v>Table 1 EfficientNet V2 without DA Acc. = 0.9600 (96.00%)</v>
      </c>
      <c r="C114" s="6" t="str">
        <f>IFERROR(__xludf.DUMMYFUNCTION("""COMPUTED_VALUE"""),"Table 1 EfficientNet V2 with DA Acc. = 0.9703 (97.03%)")</f>
        <v>Table 1 EfficientNet V2 with DA Acc. = 0.9703 (97.03%)</v>
      </c>
      <c r="D114" s="6" t="str">
        <f>IFERROR(__xludf.DUMMYFUNCTION("""COMPUTED_VALUE"""),"DeepWeeds is class-imbalanced (Negative 9106 vs ~1000 per weed) and collected under variable rangeland lighting and viewpoints; ViT is described as data-hungry. Extractor-linked: EfficientNet V2 with flips/rotations/color jitter/random erasing is the best"&amp;" Table 1 Acc. (97.03%) versus the same architecture without DA (96.0%) on the same 15% test split. Authors do not name a training-data barrier–mitigation pair beyond DA helping generalization.")</f>
        <v>DeepWeeds is class-imbalanced (Negative 9106 vs ~1000 per weed) and collected under variable rangeland lighting and viewpoints; ViT is described as data-hungry. Extractor-linked: EfficientNet V2 with flips/rotations/color jitter/random erasing is the best Table 1 Acc. (97.03%) versus the same architecture without DA (96.0%) on the same 15% test split. Authors do not name a training-data barrier–mitigation pair beyond DA helping generalization.</v>
      </c>
    </row>
    <row r="115" ht="31.5" customHeight="1">
      <c r="A115" s="5" t="str">
        <f>IFERROR(__xludf.DUMMYFUNCTION("""COMPUTED_VALUE"""),"SCOPUS-000224")</f>
        <v>SCOPUS-000224</v>
      </c>
      <c r="B115" s="6" t="str">
        <f>IFERROR(__xludf.DUMMYFUNCTION("""COMPUTED_VALUE"""),"Table 1 YOLOv5s mAP@0.5 = 94.0% (IoU=0.5 defined in §3.2); identical hyperparameters vs YOLO-ACE")</f>
        <v>Table 1 YOLOv5s mAP@0.5 = 94.0% (IoU=0.5 defined in §3.2); identical hyperparameters vs YOLO-ACE</v>
      </c>
      <c r="C115" s="6" t="str">
        <f>IFERROR(__xludf.DUMMYFUNCTION("""COMPUTED_VALUE"""),"Table 1 YOLO-ACE mAP@0.5 = 95.3%; YOLO-ACEs = 95.0")</f>
        <v>Table 1 YOLO-ACE mAP@0.5 = 95.3%; YOLO-ACEs = 95.0</v>
      </c>
      <c r="D115" s="6" t="str">
        <f>IFERROR(__xludf.DUMMYFUNCTION("""COMPUTED_VALUE"""),"Cotton-field weeds are small, occluded, multi-scale, and morphologically variable, which YOLOv5s still misses. Extractor-linked: YOLO-ACE (CAM replacing SPPF, Selective Kernel Attention, decoupled head) is the best Table 1 mAP@0.5 model (95.3%) versus YOL"&amp;"Ov5s (94.0%) on the same CottonWeedDet12 7:2:1 split. Authors frame this as architecture for accuracy/efficiency, not a named training-data mitigation.")</f>
        <v>Cotton-field weeds are small, occluded, multi-scale, and morphologically variable, which YOLOv5s still misses. Extractor-linked: YOLO-ACE (CAM replacing SPPF, Selective Kernel Attention, decoupled head) is the best Table 1 mAP@0.5 model (95.3%) versus YOLOv5s (94.0%) on the same CottonWeedDet12 7:2:1 split. Authors frame this as architecture for accuracy/efficiency, not a named training-data mitigation.</v>
      </c>
    </row>
    <row r="116" ht="31.5" customHeight="1">
      <c r="A116" s="5" t="str">
        <f>IFERROR(__xludf.DUMMYFUNCTION("""COMPUTED_VALUE"""),"SCOPUS-000227")</f>
        <v>SCOPUS-000227</v>
      </c>
      <c r="B116" s="6" t="str">
        <f>IFERROR(__xludf.DUMMYFUNCTION("""COMPUTED_VALUE"""),"§4.2 printed text: YOLOv8 trained 2022 / tested 2021 mAP@50 = 81.5% without I3Net (IoU=0.5 in §3.2)")</f>
        <v>§4.2 printed text: YOLOv8 trained 2022 / tested 2021 mAP@50 = 81.5% without I3Net (IoU=0.5 in §3.2)</v>
      </c>
      <c r="C116" s="6" t="str">
        <f>IFERROR(__xludf.DUMMYFUNCTION("""COMPUTED_VALUE"""),"§4.2 printed text: YOLOv8+I3Net 2022→2021 mAP@50 = 84.8%; YOLOX+I3Net 82.9→84.3 on the same split")</f>
        <v>§4.2 printed text: YOLOv8+I3Net 2022→2021 mAP@50 = 84.8%; YOLOX+I3Net 82.9→84.3 on the same split</v>
      </c>
      <c r="D116" s="6" t="str">
        <f>IFERROR(__xludf.DUMMYFUNCTION("""COMPUTED_VALUE"""),"In-season detectors exceed 92% mAP@50, but cross-season tests drop by up to 14.5% because weed appearance and field conditions shift between 2021 and 2022. Extractor-linked: YOLOv8 with unsupervised I3Net domain adaptation is the best printed same-split m"&amp;"AP@50 on the hardest transfer (84.8%) versus YOLOv8 without I3Net (81.5%). Not chart-read; numbers are in §4.2 prose. Survey of 36 datasets is not the extracted comparison.")</f>
        <v>In-season detectors exceed 92% mAP@50, but cross-season tests drop by up to 14.5% because weed appearance and field conditions shift between 2021 and 2022. Extractor-linked: YOLOv8 with unsupervised I3Net domain adaptation is the best printed same-split mAP@50 on the hardest transfer (84.8%) versus YOLOv8 without I3Net (81.5%). Not chart-read; numbers are in §4.2 prose. Survey of 36 datasets is not the extracted comparison.</v>
      </c>
    </row>
    <row r="117" ht="31.5" customHeight="1">
      <c r="A117" s="5" t="str">
        <f>IFERROR(__xludf.DUMMYFUNCTION("""COMPUTED_VALUE"""),"SCOPUS-000238")</f>
        <v>SCOPUS-000238</v>
      </c>
      <c r="B117" s="6" t="str">
        <f>IFERROR(__xludf.DUMMYFUNCTION("""COMPUTED_VALUE"""),"Table 4a YOLOv9 temporal mAP@0.5 = 0.73 (same test field A2 2022; IoU=0.5 in §3)")</f>
        <v>Table 4a YOLOv9 temporal mAP@0.5 = 0.73 (same test field A2 2022; IoU=0.5 in §3)</v>
      </c>
      <c r="C117" s="6" t="str">
        <f>IFERROR(__xludf.DUMMYFUNCTION("""COMPUTED_VALUE"""),"Table 4c YOLOv9/YOLOv8/YOLOv10 spatiotemporal mAP@0.5 = 0.91; Table 4b YOLOv8 spatial = 0.89")</f>
        <v>Table 4c YOLOv9/YOLOv8/YOLOv10 spatiotemporal mAP@0.5 = 0.91; Table 4b YOLOv8 spatial = 0.89</v>
      </c>
      <c r="D117" s="6" t="str">
        <f>IFERROR(__xludf.DUMMYFUNCTION("""COMPUTED_VALUE"""),"Training only on the previous year fails under year-to-year field shift (temporal mAP@0.5 0.68–0.73), classes are imbalanced, and CYPRO boxes were inconsistent across years. Extractor-linked: pooling 2021+2022 fields (spatiotemporal Data Processing) plus "&amp;"COCO pretraining and on-the-fly augmentation raises the same YOLOv9 on held-out field A2 from 73.0% to 91.0% mAP@0.5. Authors present this as multi-year data for generalization, not a named training-data mitigation.")</f>
        <v>Training only on the previous year fails under year-to-year field shift (temporal mAP@0.5 0.68–0.73), classes are imbalanced, and CYPRO boxes were inconsistent across years. Extractor-linked: pooling 2021+2022 fields (spatiotemporal Data Processing) plus COCO pretraining and on-the-fly augmentation raises the same YOLOv9 on held-out field A2 from 73.0% to 91.0% mAP@0.5. Authors present this as multi-year data for generalization, not a named training-data mitigation.</v>
      </c>
    </row>
    <row r="118" ht="31.5" customHeight="1">
      <c r="A118" s="5" t="str">
        <f>IFERROR(__xludf.DUMMYFUNCTION("""COMPUTED_VALUE"""),"SCOPUS-000251")</f>
        <v>SCOPUS-000251</v>
      </c>
      <c r="B118" s="6" t="str">
        <f>IFERROR(__xludf.DUMMYFUNCTION("""COMPUTED_VALUE"""),"§3.2 / abstract YOLOv10l RGB mAP@0.5 = 94.5% (mean of 8 test subsets; IoU overlap ≥50%)")</f>
        <v>§3.2 / abstract YOLOv10l RGB mAP@0.5 = 94.5% (mean of 8 test subsets; IoU overlap ≥50%)</v>
      </c>
      <c r="C118" s="6" t="str">
        <f>IFERROR(__xludf.DUMMYFUNCTION("""COMPUTED_VALUE"""),"Table 2 / §3.2 YOLOv10l RGB+NIR mAP@0.5 = 94.9%; YOLOv9l = 93.5%; YOLOv8l = 93.3%")</f>
        <v>Table 2 / §3.2 YOLOv10l RGB+NIR mAP@0.5 = 94.9%; YOLOv9l = 93.5%; YOLOv8l = 93.3%</v>
      </c>
      <c r="D118" s="6" t="str">
        <f>IFERROR(__xludf.DUMMYFUNCTION("""COMPUTED_VALUE"""),"Cabbage and 13 weed classes are small (down to ~2 mm) and phenotypically similar under variable Bohemia fields; RGB-NIR bands need co-registration and annotation is laborious. Four-channel RGB+NIR fusion (Data Processing) with mosaic/flip/erasing is the e"&amp;"xtractor-linked comparison: YOLOv10l mAP@0.5 94.9% vs same-model RGB 94.5% on the same 10% test split (paired t-test p&lt;0.001). Do not use YOLOv8-p2 86.8% as baseline. Authors frame NIR as a spectral feature, not a named training-data mitigation.")</f>
        <v>Cabbage and 13 weed classes are small (down to ~2 mm) and phenotypically similar under variable Bohemia fields; RGB-NIR bands need co-registration and annotation is laborious. Four-channel RGB+NIR fusion (Data Processing) with mosaic/flip/erasing is the extractor-linked comparison: YOLOv10l mAP@0.5 94.9% vs same-model RGB 94.5% on the same 10% test split (paired t-test p&lt;0.001). Do not use YOLOv8-p2 86.8% as baseline. Authors frame NIR as a spectral feature, not a named training-data mitigation.</v>
      </c>
    </row>
    <row r="119" ht="31.5" customHeight="1">
      <c r="A119" s="5" t="str">
        <f>IFERROR(__xludf.DUMMYFUNCTION("""COMPUTED_VALUE"""),"SCOPUS-000257")</f>
        <v>SCOPUS-000257</v>
      </c>
      <c r="B119" s="6" t="str">
        <f>IFERROR(__xludf.DUMMYFUNCTION("""COMPUTED_VALUE"""),"Table 9 Experiment 1 / Table 10 YOLO v11n mAP50 = 83.3%")</f>
        <v>Table 9 Experiment 1 / Table 10 YOLO v11n mAP50 = 83.3%</v>
      </c>
      <c r="C119" s="6" t="str">
        <f>IFERROR(__xludf.DUMMYFUNCTION("""COMPUTED_VALUE"""),"Table 9 Experiment 5 ADown+IDWC mAP50 = 84.1% (best ablation); Experiment 8 AGRI-YOLO = 82.8%; Experiment 6 ADown+LADH = 83.5%")</f>
        <v>Table 9 Experiment 5 ADown+IDWC mAP50 = 84.1% (best ablation); Experiment 8 AGRI-YOLO = 82.8%; Experiment 6 ADown+LADH = 83.5%</v>
      </c>
      <c r="D119" s="6" t="str">
        <f>IFERROR(__xludf.DUMMYFUNCTION("""COMPUTED_VALUE"""),"YOLO v11n is still heavy for drones/handhelds, and maize seedlings plus weeds are small, crop-like, and sit in cluttered soil. AGRI-YOLO rebuilds C3k2 with InceptionNeXt DWConv, replaces downsampling with ADown, and uses a LADH head. Extractor-linked: bes"&amp;"t printed mAP50 among proposed-family ablations is ADown+IDWC 84.1% versus parent YOLO v11n 83.3% on the same 70/20/10 split; named AGRI-YOLO is 82.8%. Do not use YOLO v10 79.4% as baseline or YOLO v9 84.3% as a proposed variant. Authors frame this as lig"&amp;"htweight architecture, not a named training-data mitigation.")</f>
        <v>YOLO v11n is still heavy for drones/handhelds, and maize seedlings plus weeds are small, crop-like, and sit in cluttered soil. AGRI-YOLO rebuilds C3k2 with InceptionNeXt DWConv, replaces downsampling with ADown, and uses a LADH head. Extractor-linked: best printed mAP50 among proposed-family ablations is ADown+IDWC 84.1% versus parent YOLO v11n 83.3% on the same 70/20/10 split; named AGRI-YOLO is 82.8%. Do not use YOLO v10 79.4% as baseline or YOLO v9 84.3% as a proposed variant. Authors frame this as lightweight architecture, not a named training-data mitigation.</v>
      </c>
    </row>
    <row r="120" ht="31.5" customHeight="1">
      <c r="A120" s="5" t="str">
        <f>IFERROR(__xludf.DUMMYFUNCTION("""COMPUTED_VALUE"""),"SCOPUS-000258")</f>
        <v>SCOPUS-000258</v>
      </c>
      <c r="B120" s="6" t="str">
        <f>IFERROR(__xludf.DUMMYFUNCTION("""COMPUTED_VALUE"""),"Table 1 YOLOv8x overall mAP@50 = 90.6% (±0.8%); IoU threshold = 0.5 in §2.3. Not YOLOv10s 86.6% (weakest row)")</f>
        <v>Table 1 YOLOv8x overall mAP@50 = 90.6% (±0.8%); IoU threshold = 0.5 in §2.3. Not YOLOv10s 86.6% (weakest row)</v>
      </c>
      <c r="C120" s="6" t="str">
        <f>IFERROR(__xludf.DUMMYFUNCTION("""COMPUTED_VALUE"""),"Table 1 YOLOv9-e overall mAP@50 = 91.3% (±0.9%); YOLOv9-c = 91.1% (±1.0%); deployed YOLOv10s = 86.6% (±1.2%)")</f>
        <v>Table 1 YOLOv9-e overall mAP@50 = 91.3% (±0.9%); YOLOv9-c = 91.1% (±1.0%); deployed YOLOv10s = 86.6% (±1.2%)</v>
      </c>
      <c r="D120" s="6" t="str">
        <f>IFERROR(__xludf.DUMMYFUNCTION("""COMPUTED_VALUE"""),"Vegetable weeds vary across seasons, overlap, and must be detected in real time on an ATV edge computer; still-to-video field drop is large. A 12-model YOLO bake-off with COCO-pretrained weights. Extractor-linked: best Table 1 mAP@50 is YOLOv9-e 91.3% ver"&amp;"sus fair high-capacity YOLOv8x 90.6% on the same 75/5/20 still-image split. YOLOv10s (86.6%) is the deployed real-time variant, not the control. Field video YOLOv10s 48.9% and indoor HSV 98.9% are different tests and were not paired.")</f>
        <v>Vegetable weeds vary across seasons, overlap, and must be detected in real time on an ATV edge computer; still-to-video field drop is large. A 12-model YOLO bake-off with COCO-pretrained weights. Extractor-linked: best Table 1 mAP@50 is YOLOv9-e 91.3% versus fair high-capacity YOLOv8x 90.6% on the same 75/5/20 still-image split. YOLOv10s (86.6%) is the deployed real-time variant, not the control. Field video YOLOv10s 48.9% and indoor HSV 98.9% are different tests and were not paired.</v>
      </c>
    </row>
    <row r="121" ht="31.5" customHeight="1">
      <c r="A121" s="5" t="str">
        <f>IFERROR(__xludf.DUMMYFUNCTION("""COMPUTED_VALUE"""),"SCOPUS-000262")</f>
        <v>SCOPUS-000262</v>
      </c>
      <c r="B121" s="6" t="str">
        <f>IFERROR(__xludf.DUMMYFUNCTION("""COMPUTED_VALUE"""),"Results text YOLOv8 nano three-run mAP@0.5 = 81.2/81.5/81.8%, mean 81.5% (±0.30%); Table 2 markdown grid is empty")</f>
        <v>Results text YOLOv8 nano three-run mAP@0.5 = 81.2/81.5/81.8%, mean 81.5% (±0.30%); Table 2 markdown grid is empty</v>
      </c>
      <c r="C121" s="6" t="str">
        <f>IFERROR(__xludf.DUMMYFUNCTION("""COMPUTED_VALUE"""),"Results text / Figure 21 caption Faster R-CNN mAP@0.5 = 93.28% (0.9328) on the same dataset")</f>
        <v>Results text / Figure 21 caption Faster R-CNN mAP@0.5 = 93.28% (0.9328) on the same dataset</v>
      </c>
      <c r="D121" s="6" t="str">
        <f>IFERROR(__xludf.DUMMYFUNCTION("""COMPUTED_VALUE"""),"Primary UAV pigweed experiment (not a review). Pigweed is small, sparsely labelled, and visually similar to soybean; onboard inference must be fast. Thresholding/k-means/HSV–HSL processing plus YOLOv8 variants and Faster R-CNN were trained here. Extractor"&amp;"-linked: best printed mAP@0.5 is Faster R-CNN 93.28% versus YOLOv8n 81.5% (best printed YOLO; three-run mean). Do not chart-read Figure 22 small/medium/large mAP. Authors propose nano for real-time use; they do not name this as a training-data mitigation.")</f>
        <v>Primary UAV pigweed experiment (not a review). Pigweed is small, sparsely labelled, and visually similar to soybean; onboard inference must be fast. Thresholding/k-means/HSV–HSL processing plus YOLOv8 variants and Faster R-CNN were trained here. Extractor-linked: best printed mAP@0.5 is Faster R-CNN 93.28% versus YOLOv8n 81.5% (best printed YOLO; three-run mean). Do not chart-read Figure 22 small/medium/large mAP. Authors propose nano for real-time use; they do not name this as a training-data mitigation.</v>
      </c>
    </row>
    <row r="122" ht="31.5" customHeight="1">
      <c r="A122" s="5" t="str">
        <f>IFERROR(__xludf.DUMMYFUNCTION("""COMPUTED_VALUE"""),"SCOPUS-000281")</f>
        <v>SCOPUS-000281</v>
      </c>
      <c r="B122" s="6" t="str">
        <f>IFERROR(__xludf.DUMMYFUNCTION("""COMPUTED_VALUE"""),"Table 3 UNet++ ResNeXt101_32x8d mIoU = 87.97% (best CNN; DeepLabV3+ EfficientNet-b5 84.21 not used — weakest junk)")</f>
        <v>Table 3 UNet++ ResNeXt101_32x8d mIoU = 87.97% (best CNN; DeepLabV3+ EfficientNet-b5 84.21 not used — weakest junk)</v>
      </c>
      <c r="C122" s="6" t="str">
        <f>IFERROR(__xludf.DUMMYFUNCTION("""COMPUTED_VALUE"""),"Table 3 ensemble mIoU = 90.75% (best); DPT+DINOv2(vit_b) = 90.18; DPT+DINOv2(vit_1) = 90.04. Ensemble class IoUs 94.90/81.43/95.91 mean = 90.75 (class-mean confirmed)")</f>
        <v>Table 3 ensemble mIoU = 90.75% (best); DPT+DINOv2(vit_b) = 90.18; DPT+DINOv2(vit_1) = 90.04. Ensemble class IoUs 94.90/81.43/95.91 mean = 90.75 (class-mean confirmed)</v>
      </c>
      <c r="D122" s="6" t="str">
        <f>IFERROR(__xludf.DUMMYFUNCTION("""COMPUTED_VALUE"""),"UAV tobacco scenes mix similar green foliage with soil, shadows, low-resolution detail, and small weeds. Extractor-linked: Table 3 ensemble of Transformer/Mamba/UNet decoders is the best HR mIoU (90.75%) versus the strongest same-table CNN, UNet++ ResNeXt"&amp;"101_32x8d (87.97%). Authors frame SRR+ensemble as architecture/image-quality response, not a named training-data mitigation.")</f>
        <v>UAV tobacco scenes mix similar green foliage with soil, shadows, low-resolution detail, and small weeds. Extractor-linked: Table 3 ensemble of Transformer/Mamba/UNet decoders is the best HR mIoU (90.75%) versus the strongest same-table CNN, UNet++ ResNeXt101_32x8d (87.97%). Authors frame SRR+ensemble as architecture/image-quality response, not a named training-data mitigation.</v>
      </c>
    </row>
    <row r="123" ht="31.5" customHeight="1">
      <c r="A123" s="5" t="str">
        <f>IFERROR(__xludf.DUMMYFUNCTION("""COMPUTED_VALUE"""),"SCOPUS-000288")</f>
        <v>SCOPUS-000288</v>
      </c>
      <c r="B123" s="6" t="str">
        <f>IFERROR(__xludf.DUMMYFUNCTION("""COMPUTED_VALUE"""),"Table 7 EfficientNet B0 Accuy = 98.87% (fair same-table CNN; Lightweight-3D-CNN 97.40 / Xception 97.24 not used — weaker junk). Table 8 reports runtimes for the same models")</f>
        <v>Table 7 EfficientNet B0 Accuy = 98.87% (fair same-table CNN; Lightweight-3D-CNN 97.40 / Xception 97.24 not used — weaker junk). Table 8 reports runtimes for the same models</v>
      </c>
      <c r="C123" s="6" t="str">
        <f>IFERROR(__xludf.DUMMYFUNCTION("""COMPUTED_VALUE"""),"Table 7 / Table 5 TESP 20% AWRC-DLMLO Accuy = 99.11%")</f>
        <v>Table 7 / Table 5 TESP 20% AWRC-DLMLO Accuy = 99.11%</v>
      </c>
      <c r="D123" s="6" t="str">
        <f>IFERROR(__xludf.DUMMYFUNCTION("""COMPUTED_VALUE"""),"Binary food-crop vs weed images are class-imbalanced (441 vs 7442) and noisy/look-alike, while heavier CNNs are slow. Extractor-linked: Gaussian filter, RA-UNet attention, ShuffleNetV2 features, LOA, and CQN reach Table 7 Accuy 99.11% versus EfficientNet "&amp;"B0 98.87% on the reported comparison. Authors do not isolate a single named training-data mitigation.")</f>
        <v>Binary food-crop vs weed images are class-imbalanced (441 vs 7442) and noisy/look-alike, while heavier CNNs are slow. Extractor-linked: Gaussian filter, RA-UNet attention, ShuffleNetV2 features, LOA, and CQN reach Table 7 Accuy 99.11% versus EfficientNet B0 98.87% on the reported comparison. Authors do not isolate a single named training-data mitigation.</v>
      </c>
    </row>
    <row r="124" ht="31.5" customHeight="1">
      <c r="A124" s="5" t="str">
        <f>IFERROR(__xludf.DUMMYFUNCTION("""COMPUTED_VALUE"""),"SCOPUS-000289")</f>
        <v>SCOPUS-000289</v>
      </c>
      <c r="B124" s="6" t="str">
        <f>IFERROR(__xludf.DUMMYFUNCTION("""COMPUTED_VALUE"""),"Table 5 Combined YOLOv8n mAP50 = 0.806 (fair lightweight YOLO; YOLOv8m Combined 0.784 not used — weakest junk)")</f>
        <v>Table 5 Combined YOLOv8n mAP50 = 0.806 (fair lightweight YOLO; YOLOv8m Combined 0.784 not used — weakest junk)</v>
      </c>
      <c r="C124" s="6" t="str">
        <f>IFERROR(__xludf.DUMMYFUNCTION("""COMPUTED_VALUE"""),"Table 5 Combined YOLOv9c mAP50 = 0.839 (best); YOLOv9_cw5 = 0.821")</f>
        <v>Table 5 Combined YOLOv9c mAP50 = 0.839 (best); YOLOv9_cw5 = 0.821</v>
      </c>
      <c r="D124" s="6" t="str">
        <f>IFERROR(__xludf.DUMMYFUNCTION("""COMPUTED_VALUE"""),"Eight crops and five weeds were imaged by ground robots across North Dakota sites and years, so lighting, growth, overlap, and sample size vary and on-robot compute is limited. Extractor-linked: YOLOv9c is the best Combined mAP50 (83.9%) versus YOLOv8n (8"&amp;"0.6%) on the same merged split; filter-reduced YOLOv9_cw5 still reaches 82.1%. Authors frame this as data- and model-centric YOLO comparison, not a named training-data mitigation.")</f>
        <v>Eight crops and five weeds were imaged by ground robots across North Dakota sites and years, so lighting, growth, overlap, and sample size vary and on-robot compute is limited. Extractor-linked: YOLOv9c is the best Combined mAP50 (83.9%) versus YOLOv8n (80.6%) on the same merged split; filter-reduced YOLOv9_cw5 still reaches 82.1%. Authors frame this as data- and model-centric YOLO comparison, not a named training-data mitigation.</v>
      </c>
    </row>
    <row r="125" ht="31.5" customHeight="1">
      <c r="A125" s="5" t="str">
        <f>IFERROR(__xludf.DUMMYFUNCTION("""COMPUTED_VALUE"""),"SCOPUS-000306")</f>
        <v>SCOPUS-000306</v>
      </c>
      <c r="B125" s="6" t="str">
        <f>IFERROR(__xludf.DUMMYFUNCTION("""COMPUTED_VALUE"""),"Fig. 11 Original Model MIOU = 0.5150")</f>
        <v>Fig. 11 Original Model MIOU = 0.5150</v>
      </c>
      <c r="C125" s="6" t="str">
        <f>IFERROR(__xludf.DUMMYFUNCTION("""COMPUTED_VALUE"""),"Fig. 11 SR MIOU = 0.5116; SR and MW MIOU = 0.5089 (proposed SR does not beat original)")</f>
        <v>Fig. 11 SR MIOU = 0.5116; SR and MW MIOU = 0.5089 (proposed SR does not beat original)</v>
      </c>
      <c r="D125" s="6" t="str">
        <f>IFERROR(__xludf.DUMMYFUNCTION("""COMPUTED_VALUE"""),"10 m UAV orthomosaics are low-detail, weeds look like potato, and polygon masks are slow. SAM-assisted instance segmentation plus Real-ESRGAN SR and default YOLO augmentation/pretraining is the pipeline. Eligible metric is class-mean MIOU (authors: averag"&amp;"e IoU of all classes): original YOLOv8 51.5% vs SR 51.16% vs SR+MW 50.89% on the same tiles. Abstract Mask R-CNN mAP50 = 0.920 and YOLOv8 mAP@0.5 = 0.902 are instance-seg AP, not mIoU, and SR mAP@0.5 is only 'slightly higher' (not printed).")</f>
        <v>10 m UAV orthomosaics are low-detail, weeds look like potato, and polygon masks are slow. SAM-assisted instance segmentation plus Real-ESRGAN SR and default YOLO augmentation/pretraining is the pipeline. Eligible metric is class-mean MIOU (authors: average IoU of all classes): original YOLOv8 51.5% vs SR 51.16% vs SR+MW 50.89% on the same tiles. Abstract Mask R-CNN mAP50 = 0.920 and YOLOv8 mAP@0.5 = 0.902 are instance-seg AP, not mIoU, and SR mAP@0.5 is only 'slightly higher' (not printed).</v>
      </c>
    </row>
    <row r="126" ht="31.5" customHeight="1">
      <c r="A126" s="5" t="str">
        <f>IFERROR(__xludf.DUMMYFUNCTION("""COMPUTED_VALUE"""),"SCOPUS-000319")</f>
        <v>SCOPUS-000319</v>
      </c>
      <c r="B126" s="6" t="str">
        <f>IFERROR(__xludf.DUMMYFUNCTION("""COMPUTED_VALUE"""),"Table 3 DenseNet121 Accuracy = 0.9161 (text also 0.9158)")</f>
        <v>Table 3 DenseNet121 Accuracy = 0.9161 (text also 0.9158)</v>
      </c>
      <c r="C126" s="6" t="str">
        <f>IFERROR(__xludf.DUMMYFUNCTION("""COMPUTED_VALUE"""),"Table 3 / Abstract InceptionV3 test Accuracy = 0.9783")</f>
        <v>Table 3 / Abstract InceptionV3 test Accuracy = 0.9783</v>
      </c>
      <c r="D126" s="6" t="str">
        <f>IFERROR(__xludf.DUMMYFUNCTION("""COMPUTED_VALUE"""),"Sticky/jasmine rice at three growth stages is easy to confuse with grasses under variable field light. Frozen ImageNet InceptionV3 with a custom head and rotation/shift/shear/zoom/flip augmentation is compared with other CNNs on the same 1800-image test s"&amp;"plit. InceptionV3 Accuracy is 97.83% versus DenseNet121 91.61% (next-best same-experiment CNN; MobileNetV3 71.91% was not used as the baseline).")</f>
        <v>Sticky/jasmine rice at three growth stages is easy to confuse with grasses under variable field light. Frozen ImageNet InceptionV3 with a custom head and rotation/shift/shear/zoom/flip augmentation is compared with other CNNs on the same 1800-image test split. InceptionV3 Accuracy is 97.83% versus DenseNet121 91.61% (next-best same-experiment CNN; MobileNetV3 71.91% was not used as the baseline).</v>
      </c>
    </row>
    <row r="127" ht="31.5" customHeight="1">
      <c r="A127" s="5" t="str">
        <f>IFERROR(__xludf.DUMMYFUNCTION("""COMPUTED_VALUE"""),"SCOPUS-000344")</f>
        <v>SCOPUS-000344</v>
      </c>
      <c r="B127" s="6" t="str">
        <f>IFERROR(__xludf.DUMMYFUNCTION("""COMPUTED_VALUE"""),"Table 1 proposed model based RGB Accuracy = 86.2%")</f>
        <v>Table 1 proposed model based RGB Accuracy = 86.2%</v>
      </c>
      <c r="C127" s="6" t="str">
        <f>IFERROR(__xludf.DUMMYFUNCTION("""COMPUTED_VALUE"""),"Table 1 proposed model based HSV Accuracy = 98.3%")</f>
        <v>Table 1 proposed model based HSV Accuracy = 98.3%</v>
      </c>
      <c r="D127" s="6" t="str">
        <f>IFERROR(__xludf.DUMMYFUNCTION("""COMPUTED_VALUE"""),"Rumex in grassland is green-on-green under changing light, occlusion, overlap and growth stage, so RGB R-CNN is weak. Images are converted to HSV, selective-search regions are classified with ImageNet VGG16 features and SVM. Table 1 Accuracy rises from 86"&amp;".2% (RGB) to 98.3% (HSV) on the same proposed model. Literature rows (SIFT/SURF/Overfeat/AlexNet/VGG-VD16) were not retrained here.")</f>
        <v>Rumex in grassland is green-on-green under changing light, occlusion, overlap and growth stage, so RGB R-CNN is weak. Images are converted to HSV, selective-search regions are classified with ImageNet VGG16 features and SVM. Table 1 Accuracy rises from 86.2% (RGB) to 98.3% (HSV) on the same proposed model. Literature rows (SIFT/SURF/Overfeat/AlexNet/VGG-VD16) were not retrained here.</v>
      </c>
    </row>
    <row r="128" ht="31.5" customHeight="1">
      <c r="A128" s="5" t="str">
        <f>IFERROR(__xludf.DUMMYFUNCTION("""COMPUTED_VALUE"""),"SCOPUS-000364")</f>
        <v>SCOPUS-000364</v>
      </c>
      <c r="B128" s="6" t="str">
        <f>IFERROR(__xludf.DUMMYFUNCTION("""COMPUTED_VALUE"""),"Table 2 / Table 5 Faster RCNN R101-FPN original mAP@0.5 = 76.92% (fair two-stage pair in Table 5; Faster RCNN R50-C4 75.05 not used — weakest junk)")</f>
        <v>Table 2 / Table 5 Faster RCNN R101-FPN original mAP@0.5 = 76.92% (fair two-stage pair in Table 5; Faster RCNN R50-C4 75.05 not used — weakest junk)</v>
      </c>
      <c r="C128" s="6" t="str">
        <f>IFERROR(__xludf.DUMMYFUNCTION("""COMPUTED_VALUE"""),"Table 5 RetinaNet R101-FPN 8x mAP@0.5 = 81.13%; Table 2 RetinaNet R101-FPN no-aug mAP@0.50 = 79.98%")</f>
        <v>Table 5 RetinaNet R101-FPN 8x mAP@0.5 = 81.13%; Table 2 RetinaNet R101-FPN no-aug mAP@0.50 = 79.98%</v>
      </c>
      <c r="D128" s="6" t="str">
        <f>IFERROR(__xludf.DUMMYFUNCTION("""COMPUTED_VALUE"""),"Three cotton weeds vary in size and field light; YOLO/EfficientDet miss small Carpetweed boxes. Thirteen COCO-pretrained detectors are compared, and geometric/color augmentation is applied to RetinaNet R101-FPN and Faster RCNN R101-FPN. Best test mAP@0.5 "&amp;"is RetinaNet 8x 81.13% against the same-experiment Faster RCNN R101-FPN control 76.92% (§2.4 confirms IoU threshold 50%).")</f>
        <v>Three cotton weeds vary in size and field light; YOLO/EfficientDet miss small Carpetweed boxes. Thirteen COCO-pretrained detectors are compared, and geometric/color augmentation is applied to RetinaNet R101-FPN and Faster RCNN R101-FPN. Best test mAP@0.5 is RetinaNet 8x 81.13% against the same-experiment Faster RCNN R101-FPN control 76.92% (§2.4 confirms IoU threshold 50%).</v>
      </c>
    </row>
    <row r="129" ht="31.5" customHeight="1">
      <c r="A129" s="5" t="str">
        <f>IFERROR(__xludf.DUMMYFUNCTION("""COMPUTED_VALUE"""),"SCOPUS-000372")</f>
        <v>SCOPUS-000372</v>
      </c>
      <c r="B129" s="6" t="str">
        <f>IFERROR(__xludf.DUMMYFUNCTION("""COMPUTED_VALUE"""),"Table 5 InceptionV3 Accuracy = 0.9791 (best same-experiment pretrained control; MobileNetV2 0.9327 / RCNN 0.9142 not used — weaker junk)")</f>
        <v>Table 5 InceptionV3 Accuracy = 0.9791 (best same-experiment pretrained control; MobileNetV2 0.9327 / RCNN 0.9142 not used — weaker junk)</v>
      </c>
      <c r="C129" s="6" t="str">
        <f>IFERROR(__xludf.DUMMYFUNCTION("""COMPUTED_VALUE"""),"Table 5 HierbaNetV1 (Proposed model) Accuracy = 0.9861")</f>
        <v>Table 5 HierbaNetV1 (Proposed model) Accuracy = 0.9861</v>
      </c>
      <c r="D129" s="6" t="str">
        <f>IFERROR(__xludf.DUMMYFUNCTION("""COMPUTED_VALUE"""),"Early sorghum, grass and broadleaf weeds have different-sized ROIs and look alike, so conventional CNNs miss mixed-scale features. HierbaNetV1 fuses high- and low-level maps from 1x1–7x7 kernels in two blocks. Table 5 Accuracy is 98.61% versus 97.91% for "&amp;"InceptionV3, which the authors retrained on the same SorghumWeedDataset_Classification split.")</f>
        <v>Early sorghum, grass and broadleaf weeds have different-sized ROIs and look alike, so conventional CNNs miss mixed-scale features. HierbaNetV1 fuses high- and low-level maps from 1x1–7x7 kernels in two blocks. Table 5 Accuracy is 98.61% versus 97.91% for InceptionV3, which the authors retrained on the same SorghumWeedDataset_Classification split.</v>
      </c>
    </row>
    <row r="130" ht="31.5" customHeight="1">
      <c r="A130" s="5" t="str">
        <f>IFERROR(__xludf.DUMMYFUNCTION("""COMPUTED_VALUE"""),"SCOPUS-000379")</f>
        <v>SCOPUS-000379</v>
      </c>
      <c r="B130" s="6" t="str">
        <f>IFERROR(__xludf.DUMMYFUNCTION("""COMPUTED_VALUE"""),"Table 4 VGG19 Accuracy (%) = 97.44 (same validation split as VGG16; Table 3 SVM 83.04 is test and was not mixed)")</f>
        <v>Table 4 VGG19 Accuracy (%) = 97.44 (same validation split as VGG16; Table 3 SVM 83.04 is test and was not mixed)</v>
      </c>
      <c r="C130" s="6" t="str">
        <f>IFERROR(__xludf.DUMMYFUNCTION("""COMPUTED_VALUE"""),"Table 4 VGG16 Accuracy (%) = 97.83; Xception = 97.24")</f>
        <v>Table 4 VGG16 Accuracy (%) = 97.83; Xception = 97.24</v>
      </c>
      <c r="D130" s="6" t="str">
        <f>IFERROR(__xludf.DUMMYFUNCTION("""COMPUTED_VALUE"""),"Early maize and narrow-leaf weeds look alike under changing sun, soil, and growth stages. ImageNet-pretrained CNNs are compared on the same Table 4 validation split. Best Accuracy is VGG16 97.83% versus next-best VGG19 97.44%. Table 3 SVM test Accuracy 83"&amp;".04% is a different split and was not used as baseline.")</f>
        <v>Early maize and narrow-leaf weeds look alike under changing sun, soil, and growth stages. ImageNet-pretrained CNNs are compared on the same Table 4 validation split. Best Accuracy is VGG16 97.83% versus next-best VGG19 97.44%. Table 3 SVM test Accuracy 83.04% is a different split and was not used as baseline.</v>
      </c>
    </row>
    <row r="131" ht="31.5" customHeight="1">
      <c r="A131" s="5" t="str">
        <f>IFERROR(__xludf.DUMMYFUNCTION("""COMPUTED_VALUE"""),"SCOPUS-000383")</f>
        <v>SCOPUS-000383</v>
      </c>
      <c r="B131" s="6" t="str">
        <f>IFERROR(__xludf.DUMMYFUNCTION("""COMPUTED_VALUE"""),"Table 6 Training Image Set 4 mAP @ T = 0.5 = 44.72%")</f>
        <v>Table 6 Training Image Set 4 mAP @ T = 0.5 = 44.72%</v>
      </c>
      <c r="C131" s="6" t="str">
        <f>IFERROR(__xludf.DUMMYFUNCTION("""COMPUTED_VALUE"""),"Table 7 Training Image Set 4+ mAP @ T = 0.5 = 54.25%")</f>
        <v>Table 7 Training Image Set 4+ mAP @ T = 0.5 = 54.25%</v>
      </c>
      <c r="D131" s="6" t="str">
        <f>IFERROR(__xludf.DUMMYFUNCTION("""COMPUTED_VALUE"""),"UAS weeds are small, similar to crop seedlings, and poorly resolved at 30 m, so imagery is restricted to 10 m AGL, tiled/resized to 800×800, and YOLOv3 is continued from Set 4 weights with rotation/random-resize augmentation. On the same 166-image early-s"&amp;"eason maize set, mAP@0.5 rises from 44.72% (Set 4) to 54.25% (Set 4+). Sets 1–3 use different heights/crops and are not the control.")</f>
        <v>UAS weeds are small, similar to crop seedlings, and poorly resolved at 30 m, so imagery is restricted to 10 m AGL, tiled/resized to 800×800, and YOLOv3 is continued from Set 4 weights with rotation/random-resize augmentation. On the same 166-image early-season maize set, mAP@0.5 rises from 44.72% (Set 4) to 54.25% (Set 4+). Sets 1–3 use different heights/crops and are not the control.</v>
      </c>
    </row>
    <row r="132" ht="31.5" customHeight="1">
      <c r="A132" s="5" t="str">
        <f>IFERROR(__xludf.DUMMYFUNCTION("""COMPUTED_VALUE"""),"SCOPUS-000402")</f>
        <v>SCOPUS-000402</v>
      </c>
      <c r="B132" s="6" t="str">
        <f>IFERROR(__xludf.DUMMYFUNCTION("""COMPUTED_VALUE"""),"Table 4 Faster-RCNN no augmentation mAP (IoU 50%) = 78.71")</f>
        <v>Table 4 Faster-RCNN no augmentation mAP (IoU 50%) = 78.71</v>
      </c>
      <c r="C132" s="6" t="str">
        <f>IFERROR(__xludf.DUMMYFUNCTION("""COMPUTED_VALUE"""),"Table 4 YOLOv7 all augmentation mAP (IoU 50%) = 89.93; YOLOv7 no aug = 88.50; YOLOv8x all aug = 89.39")</f>
        <v>Table 4 YOLOv7 all augmentation mAP (IoU 50%) = 89.93; YOLOv7 no aug = 88.50; YOLOv8x all aug = 89.39</v>
      </c>
      <c r="D132" s="6" t="str">
        <f>IFERROR(__xludf.DUMMYFUNCTION("""COMPUTED_VALUE"""),"Image-level Corn-weed labels hide multiple overlapping species and minority/Unknown classes, so the set is re-boxed and COCO-pretrained YOLO detectors plus geometric/photometric augmentation are compared with Faster R-CNN on the same five-fold test. Best "&amp;"eligible mAP is YOLOv7 all-aug 89.93% versus the in-paper two-stage control Faster-RCNN no-aug 78.71%.")</f>
        <v>Image-level Corn-weed labels hide multiple overlapping species and minority/Unknown classes, so the set is re-boxed and COCO-pretrained YOLO detectors plus geometric/photometric augmentation are compared with Faster R-CNN on the same five-fold test. Best eligible mAP is YOLOv7 all-aug 89.93% versus the in-paper two-stage control Faster-RCNN no-aug 78.71%.</v>
      </c>
    </row>
    <row r="133" ht="31.5" customHeight="1">
      <c r="A133" s="5" t="str">
        <f>IFERROR(__xludf.DUMMYFUNCTION("""COMPUTED_VALUE"""),"SCOPUS-000415")</f>
        <v>SCOPUS-000415</v>
      </c>
      <c r="B133" s="6" t="str">
        <f>IFERROR(__xludf.DUMMYFUNCTION("""COMPUTED_VALUE"""),"Table 4 / Table 5 Deeplab-v3 baseline Semantic Segmentation mIoU (%) = 68.6")</f>
        <v>Table 4 / Table 5 Deeplab-v3 baseline Semantic Segmentation mIoU (%) = 68.6</v>
      </c>
      <c r="C133" s="6" t="str">
        <f>IFERROR(__xludf.DUMMYFUNCTION("""COMPUTED_VALUE"""),"Table 5 Deeplab-v3 trained at σN=160, tested on baseline mIoU (%) = 69.6; σN=80 = 69.3")</f>
        <v>Table 5 Deeplab-v3 trained at σN=160, tested on baseline mIoU (%) = 69.6; σN=80 = 69.3</v>
      </c>
      <c r="D133" s="6" t="str">
        <f>IFERROR(__xludf.DUMMYFUNCTION("""COMPUTED_VALUE"""),"Weed-mapping CNNs drop when resolution, exposure, blur, noise, or lighting differ between train and test. Raw-pipeline degradations and three lighting sets (noon/sunset/cloudy) are simulated; COCO-pretrained Deeplab-v3 with weighted loss is the mapping mo"&amp;"del. Best printed class-mean mIoU is 69.6% (train mild noise σN=160, test clean) versus matched-quality baseline 68.6% on the same DSnoon test images.")</f>
        <v>Weed-mapping CNNs drop when resolution, exposure, blur, noise, or lighting differ between train and test. Raw-pipeline degradations and three lighting sets (noon/sunset/cloudy) are simulated; COCO-pretrained Deeplab-v3 with weighted loss is the mapping model. Best printed class-mean mIoU is 69.6% (train mild noise σN=160, test clean) versus matched-quality baseline 68.6% on the same DSnoon test images.</v>
      </c>
    </row>
    <row r="134" ht="31.5" customHeight="1">
      <c r="A134" s="5" t="str">
        <f>IFERROR(__xludf.DUMMYFUNCTION("""COMPUTED_VALUE"""),"SCOPUS-000421")</f>
        <v>SCOPUS-000421</v>
      </c>
      <c r="B134" s="6" t="str">
        <f>IFERROR(__xludf.DUMMYFUNCTION("""COMPUTED_VALUE"""),"Conclusions / §4.3.2 / Figure 13 in-situ AP EfficientDet monocot/dicot = 27.43%/42.91%; mean at IoU=0.5 = 35.17%")</f>
        <v>Conclusions / §4.3.2 / Figure 13 in-situ AP EfficientDet monocot/dicot = 27.43%/42.91%; mean at IoU=0.5 = 35.17%</v>
      </c>
      <c r="C134" s="6" t="str">
        <f>IFERROR(__xludf.DUMMYFUNCTION("""COMPUTED_VALUE"""),"Conclusions / §4.3.2 / Figure 13 in-situ AP YOLOv5 monocot/dicot = 30.70%/51.50%; mean at IoU=0.5 = 41.10%")</f>
        <v>Conclusions / §4.3.2 / Figure 13 in-situ AP YOLOv5 monocot/dicot = 30.70%/51.50%; mean at IoU=0.5 = 41.10%</v>
      </c>
      <c r="D134" s="6" t="str">
        <f>IFERROR(__xludf.DUMMYFUNCTION("""COMPUTED_VALUE"""),"Dense Danish fields occlude small monocot/dicot weeds against crops and variable soil. EfficientDet-D3 and YOLOv5m are trained on ~26,000 in-situ images (fine-tune + geometric/color augmentation). Cut-and-paste synthetics are a held-out stress test, not t"&amp;"raining data, so Synthetic Data Generation is not the extracted mitigation. On 1149 unseen in-situ images YOLOv5m mean AP at IoU=0.5 is 41.10% versus 35.17% for EfficientDet-D3.")</f>
        <v>Dense Danish fields occlude small monocot/dicot weeds against crops and variable soil. EfficientDet-D3 and YOLOv5m are trained on ~26,000 in-situ images (fine-tune + geometric/color augmentation). Cut-and-paste synthetics are a held-out stress test, not training data, so Synthetic Data Generation is not the extracted mitigation. On 1149 unseen in-situ images YOLOv5m mean AP at IoU=0.5 is 41.10% versus 35.17% for EfficientDet-D3.</v>
      </c>
    </row>
    <row r="135" ht="31.5" customHeight="1">
      <c r="A135" s="5" t="str">
        <f>IFERROR(__xludf.DUMMYFUNCTION("""COMPUTED_VALUE"""),"SCOPUS-000429")</f>
        <v>SCOPUS-000429</v>
      </c>
      <c r="B135" s="6" t="str">
        <f>IFERROR(__xludf.DUMMYFUNCTION("""COMPUTED_VALUE"""),"Table 4 YOLOv3 Mean average precision = 91.80% (IoU=0.5 / mAP_0.5 in §Deep-learning-based detection and Figure 5–6)")</f>
        <v>Table 4 YOLOv3 Mean average precision = 91.80% (IoU=0.5 / mAP_0.5 in §Deep-learning-based detection and Figure 5–6)</v>
      </c>
      <c r="C135" s="6" t="str">
        <f>IFERROR(__xludf.DUMMYFUNCTION("""COMPUTED_VALUE"""),"Table 4 YOLOv5 Mean average precision = 92.40%; Faster R-CNN = 92.15%")</f>
        <v>Table 4 YOLOv5 Mean average precision = 92.40%; Faster R-CNN = 92.15%</v>
      </c>
      <c r="D135" s="6" t="str">
        <f>IFERROR(__xludf.DUMMYFUNCTION("""COMPUTED_VALUE"""),"Prior weed sets are small or closed, and Gramineae species plus growth-stage change look alike in cluttered soil. This paper trains YOLOv3, YOLOv5, and Faster R-CNN on Weed25 under the same IoU=0.5 protocol. Best printed same-split metric is YOLOv5 92.4% "&amp;"versus YOLOv3 91.8% (Faster R-CNN 92.15%). Quan et al. 2022 and Li et al. 2021 in the Discussion are cited priors on other datasets and were not used as Tab7.")</f>
        <v>Prior weed sets are small or closed, and Gramineae species plus growth-stage change look alike in cluttered soil. This paper trains YOLOv3, YOLOv5, and Faster R-CNN on Weed25 under the same IoU=0.5 protocol. Best printed same-split metric is YOLOv5 92.4% versus YOLOv3 91.8% (Faster R-CNN 92.15%). Quan et al. 2022 and Li et al. 2021 in the Discussion are cited priors on other datasets and were not used as Tab7.</v>
      </c>
    </row>
    <row r="136" ht="31.5" customHeight="1">
      <c r="A136" s="5" t="str">
        <f>IFERROR(__xludf.DUMMYFUNCTION("""COMPUTED_VALUE"""),"SCOPUS-000441")</f>
        <v>SCOPUS-000441</v>
      </c>
      <c r="B136" s="6" t="str">
        <f>IFERROR(__xludf.DUMMYFUNCTION("""COMPUTED_VALUE"""),"Table 2 U-Net mIoU = 0.71 (same 892/200 tile split; class-mean Jaccard in §4.2)")</f>
        <v>Table 2 U-Net mIoU = 0.71 (same 892/200 tile split; class-mean Jaccard in §4.2)</v>
      </c>
      <c r="C136" s="6" t="str">
        <f>IFERROR(__xludf.DUMMYFUNCTION("""COMPUTED_VALUE"""),"Table 2 / Table 4 M5 proposed mIoU = 0.81; Table 4 M4 = 0.80; Table 3 M8 DenseInception+ASPP (1,2,3,4) = 0.77")</f>
        <v>Table 2 / Table 4 M5 proposed mIoU = 0.81; Table 4 M4 = 0.80; Table 3 M8 DenseInception+ASPP (1,2,3,4) = 0.77</v>
      </c>
      <c r="D136" s="6" t="str">
        <f>IFERROR(__xludf.DUMMYFUNCTION("""COMPUTED_VALUE"""),"Rice and weeds in 6 m UAV tiles vary in scale, overlap, and colour, which FCN/U-Net miss because of limited receptive field. Dense-Inception+ASPP plus parallel channel–spatial attention (CnSAU) in the decoder lifts mIoU from 71.0% (U-Net) to 81.0% on the "&amp;"Huang rice–weed test tiles. AlexNet-FCN 63.0% was not used as the control (weakest junk). DeepLab 78.0% is a same-table comparator, not the extracted baseline.")</f>
        <v>Rice and weeds in 6 m UAV tiles vary in scale, overlap, and colour, which FCN/U-Net miss because of limited receptive field. Dense-Inception+ASPP plus parallel channel–spatial attention (CnSAU) in the decoder lifts mIoU from 71.0% (U-Net) to 81.0% on the Huang rice–weed test tiles. AlexNet-FCN 63.0% was not used as the control (weakest junk). DeepLab 78.0% is a same-table comparator, not the extracted baseline.</v>
      </c>
    </row>
    <row r="137" ht="31.5" customHeight="1">
      <c r="A137" s="5" t="str">
        <f>IFERROR(__xludf.DUMMYFUNCTION("""COMPUTED_VALUE"""),"SCOPUS-000454")</f>
        <v>SCOPUS-000454</v>
      </c>
      <c r="B137" s="6" t="str">
        <f>IFERROR(__xludf.DUMMYFUNCTION("""COMPUTED_VALUE"""),"Table 3 CottonWeedID10 ResNet50 Original Top-1 acc. = 98.43% (mean of 5 Monte Carlo replications; same 90/10 hold-out test)")</f>
        <v>Table 3 CottonWeedID10 ResNet50 Original Top-1 acc. = 98.43% (mean of 5 Monte Carlo replications; same 90/10 hold-out test)</v>
      </c>
      <c r="C137" s="6" t="str">
        <f>IFERROR(__xludf.DUMMYFUNCTION("""COMPUTED_VALUE"""),"Table 3 CottonWeedID10 With Aug. ResNet50 Top-1 acc. = 99.37%; DenseNet121 = 99.28%; Inception-v3 = 98.47%")</f>
        <v>Table 3 CottonWeedID10 With Aug. ResNet50 Top-1 acc. = 99.37%; DenseNet121 = 99.28%; Inception-v3 = 98.47%</v>
      </c>
      <c r="D137" s="6" t="str">
        <f>IFERROR(__xludf.DUMMYFUNCTION("""COMPUTED_VALUE"""),"Labeled cotton-weed photos are scarce and class-imbalanced under variable field light and growth stage. Classifier-guided diffusion (ADM-G) plus realism-score filtering adds 4,000 synthetic training images. Fair same-architecture control is ResNet50 train"&amp;"ed on real images only (98.43%), not Inception-v3 original 97.30% (weakest of the four). Best eligible model is ResNet50 with ADM-G synthetics (99.37%).")</f>
        <v>Labeled cotton-weed photos are scarce and class-imbalanced under variable field light and growth stage. Classifier-guided diffusion (ADM-G) plus realism-score filtering adds 4,000 synthetic training images. Fair same-architecture control is ResNet50 trained on real images only (98.43%), not Inception-v3 original 97.30% (weakest of the four). Best eligible model is ResNet50 with ADM-G synthetics (99.37%).</v>
      </c>
    </row>
    <row r="138" ht="31.5" customHeight="1">
      <c r="A138" s="5" t="str">
        <f>IFERROR(__xludf.DUMMYFUNCTION("""COMPUTED_VALUE"""),"SCOPUS-000459")</f>
        <v>SCOPUS-000459</v>
      </c>
      <c r="B138" s="6" t="str">
        <f>IFERROR(__xludf.DUMMYFUNCTION("""COMPUTED_VALUE"""),"Table 5 InceptionV4 scratch mixed Accuracy = 99.41%")</f>
        <v>Table 5 InceptionV4 scratch mixed Accuracy = 99.41%</v>
      </c>
      <c r="C138" s="6" t="str">
        <f>IFERROR(__xludf.DUMMYFUNCTION("""COMPUTED_VALUE"""),"Table 6 pre-trained InceptionV4 mixed Accuracy = 99.51%; InceptionV3 = 99.17%; MobileNet V2 = 99.07%")</f>
        <v>Table 6 pre-trained InceptionV4 mixed Accuracy = 99.51%; InceptionV3 = 99.17%; MobileNet V2 = 99.07%</v>
      </c>
      <c r="D138" s="6" t="str">
        <f>IFERROR(__xludf.DUMMYFUNCTION("""COMPUTED_VALUE"""),"Binary weed vs weed-free patches are made harder with look-alike infested/clean crops, and tractor CNNs must stay small for spraying. Fair same-architecture control is Inception V4 trained from scratch on the mixed set (99.41%), not VGG16 scratch 98.36. P"&amp;"re-trained Inception V4 is the best Table 6 Accuracy (99.51%); MobileNet V2 is the authors' preferred embedded variant (14 MB).")</f>
        <v>Binary weed vs weed-free patches are made harder with look-alike infested/clean crops, and tractor CNNs must stay small for spraying. Fair same-architecture control is Inception V4 trained from scratch on the mixed set (99.41%), not VGG16 scratch 98.36. Pre-trained Inception V4 is the best Table 6 Accuracy (99.51%); MobileNet V2 is the authors' preferred embedded variant (14 MB).</v>
      </c>
    </row>
    <row r="139" ht="31.5" customHeight="1">
      <c r="A139" s="5" t="str">
        <f>IFERROR(__xludf.DUMMYFUNCTION("""COMPUTED_VALUE"""),"SCOPUS-000471")</f>
        <v>SCOPUS-000471</v>
      </c>
      <c r="B139" s="6" t="str">
        <f>IFERROR(__xludf.DUMMYFUNCTION("""COMPUTED_VALUE"""),"Table 1 ResNet50 Accuracy = 94.12 (strongest same-table CNN; VGG16 91.53 not used)")</f>
        <v>Table 1 ResNet50 Accuracy = 94.12 (strongest same-table CNN; VGG16 91.53 not used)</v>
      </c>
      <c r="C139" s="6" t="str">
        <f>IFERROR(__xludf.DUMMYFUNCTION("""COMPUTED_VALUE"""),"Table 1 Propose GAN-DCNN Accuracy = 96.34")</f>
        <v>Table 1 Propose GAN-DCNN Accuracy = 96.34</v>
      </c>
      <c r="D139" s="6" t="str">
        <f>IFERROR(__xludf.DUMMYFUNCTION("""COMPUTED_VALUE"""),"GAN generator synthesises extra weed images so a DCNN discriminator can learn with more data; dual-scale filters and mixed pooling are the architecture change. Task is image-level Classification (weed vs not / Accuracy), not box Detection. Fair control is"&amp;" ResNet50 94.12 on the same Table 1, not VGG16. Detection rate/recall/precision were not substituted.")</f>
        <v>GAN generator synthesises extra weed images so a DCNN discriminator can learn with more data; dual-scale filters and mixed pooling are the architecture change. Task is image-level Classification (weed vs not / Accuracy), not box Detection. Fair control is ResNet50 94.12 on the same Table 1, not VGG16. Detection rate/recall/precision were not substituted.</v>
      </c>
    </row>
    <row r="140" ht="31.5" customHeight="1">
      <c r="A140" s="5" t="str">
        <f>IFERROR(__xludf.DUMMYFUNCTION("""COMPUTED_VALUE"""),"SCOPUS-000480")</f>
        <v>SCOPUS-000480</v>
      </c>
      <c r="B140" s="6" t="str">
        <f>IFERROR(__xludf.DUMMYFUNCTION("""COMPUTED_VALUE"""),"Table 6 ResNet-50 combined real-only Testing accuracy = 98.06%")</f>
        <v>Table 6 ResNet-50 combined real-only Testing accuracy = 98.06%</v>
      </c>
      <c r="C140" s="6" t="str">
        <f>IFERROR(__xludf.DUMMYFUNCTION("""COMPUTED_VALUE"""),"Table 7 ResNet-50 real+augmented Testing accuracy = 98.30%; Inception-V3 = 98.02%; MobileNetV2 = 98.02%")</f>
        <v>Table 7 ResNet-50 real+augmented Testing accuracy = 98.30%; Inception-V3 = 98.02%; MobileNetV2 = 98.02%</v>
      </c>
      <c r="D140" s="6" t="str">
        <f>IFERROR(__xludf.DUMMYFUNCTION("""COMPUTED_VALUE"""),"The merged 20-class set is long-tailed (soybean 27.31% vs cotton 0.20%) and chinee apple is confused with snakeweed across sites. Fair same-architecture control is Table 6 ResNet-50 without train-only oversampling (98.06%), not VGG16 97.76. Train-only aug"&amp;"mentation to 4425/class plus ImageNet fine-tuning lifts ResNet-50 test accuracy to 98.30% (Table 7).")</f>
        <v>The merged 20-class set is long-tailed (soybean 27.31% vs cotton 0.20%) and chinee apple is confused with snakeweed across sites. Fair same-architecture control is Table 6 ResNet-50 without train-only oversampling (98.06%), not VGG16 97.76. Train-only augmentation to 4425/class plus ImageNet fine-tuning lifts ResNet-50 test accuracy to 98.30% (Table 7).</v>
      </c>
    </row>
    <row r="141" ht="31.5" customHeight="1">
      <c r="A141" s="5" t="str">
        <f>IFERROR(__xludf.DUMMYFUNCTION("""COMPUTED_VALUE"""),"SCOPUS-000492")</f>
        <v>SCOPUS-000492</v>
      </c>
      <c r="B141" s="6" t="str">
        <f>IFERROR(__xludf.DUMMYFUNCTION("""COMPUTED_VALUE"""),"Section 3.2.1 AlexNet TL real-only test accuracy = 97.07%")</f>
        <v>Section 3.2.1 AlexNet TL real-only test accuracy = 97.07%</v>
      </c>
      <c r="C141" s="6" t="str">
        <f>IFERROR(__xludf.DUMMYFUNCTION("""COMPUTED_VALUE"""),"Section 3.2.1 GAN-TL test accuracy = 98.40%; §3.2.2 GAN-SVM and GAN-LDA overall accuracy = 96.0%")</f>
        <v>Section 3.2.1 GAN-TL test accuracy = 98.40%; §3.2.2 GAN-SVM and GAN-LDA overall accuracy = 96.0%</v>
      </c>
      <c r="D141" s="6" t="str">
        <f>IFERROR(__xludf.DUMMYFUNCTION("""COMPUTED_VALUE"""),"Only 200 labelled seedling images per class are available, so a pix2pix cGAN synthesises extra RGB views from binary vegetation masks (Synthetic Data Generation). Fair same-architecture control is AlexNet transfer learning on real images only (97.07%). Ad"&amp;"ding 200 artificial images per class lifts test accuracy to 98.40%. GAN-SVM/LDA Accuracies are printed; SVM/LDA without GAN report F1 only (0.935 and 0.943) and were not invented.")</f>
        <v>Only 200 labelled seedling images per class are available, so a pix2pix cGAN synthesises extra RGB views from binary vegetation masks (Synthetic Data Generation). Fair same-architecture control is AlexNet transfer learning on real images only (97.07%). Adding 200 artificial images per class lifts test accuracy to 98.40%. GAN-SVM/LDA Accuracies are printed; SVM/LDA without GAN report F1 only (0.935 and 0.943) and were not invented.</v>
      </c>
    </row>
    <row r="142" ht="31.5" customHeight="1">
      <c r="A142" s="5" t="str">
        <f>IFERROR(__xludf.DUMMYFUNCTION("""COMPUTED_VALUE"""),"SCOPUS-000493")</f>
        <v>SCOPUS-000493</v>
      </c>
      <c r="B142" s="6" t="str">
        <f>IFERROR(__xludf.DUMMYFUNCTION("""COMPUTED_VALUE"""),"Table 2 test Acc MobileNetV2 = 87.83 (not MobileViT-2 86.38 — weaker junk)")</f>
        <v>Table 2 test Acc MobileNetV2 = 87.83 (not MobileViT-2 86.38 — weaker junk)</v>
      </c>
      <c r="C142" s="6" t="str">
        <f>IFERROR(__xludf.DUMMYFUNCTION("""COMPUTED_VALUE"""),"Table 2 test Acc MobileNetV3Large = 89.06 (best); MobileViT-16 = 88.84; ResNet50 = 88.77")</f>
        <v>Table 2 test Acc MobileNetV3Large = 89.06 (best); MobileViT-16 = 88.84; ResNet50 = 88.77</v>
      </c>
      <c r="D142" s="6" t="str">
        <f>IFERROR(__xludf.DUMMYFUNCTION("""COMPUTED_VALUE"""),"Five winter-wheat weeds cropped from low-altitude UAV frames are class-imbalanced (Table 1: SPRAR 725 vs STEME 5982), occluded, and limited, so deeper ResNets overfit. ImageNet transfer learning, crop/resize/rotate augmentation, and a lightweight MobileNe"&amp;"tV3Large backbone raise Table 2 test Acc from MobileNetV2 87.83% to 89.06% on the same 70/20/10 split. MobileNetV2 is the same-family predecessor the authors scale, not the weakest row. MobileViT-16 (attention, trained from scratch) and ResNet50 are the o"&amp;"ther main same-table comparators.")</f>
        <v>Five winter-wheat weeds cropped from low-altitude UAV frames are class-imbalanced (Table 1: SPRAR 725 vs STEME 5982), occluded, and limited, so deeper ResNets overfit. ImageNet transfer learning, crop/resize/rotate augmentation, and a lightweight MobileNetV3Large backbone raise Table 2 test Acc from MobileNetV2 87.83% to 89.06% on the same 70/20/10 split. MobileNetV2 is the same-family predecessor the authors scale, not the weakest row. MobileViT-16 (attention, trained from scratch) and ResNet50 are the other main same-table comparators.</v>
      </c>
    </row>
    <row r="143" ht="31.5" customHeight="1">
      <c r="A143" s="5" t="str">
        <f>IFERROR(__xludf.DUMMYFUNCTION("""COMPUTED_VALUE"""),"SCOPUS-000505")</f>
        <v>SCOPUS-000505</v>
      </c>
      <c r="B143" s="6" t="str">
        <f>IFERROR(__xludf.DUMMYFUNCTION("""COMPUTED_VALUE"""),"Table 8 NN Accuracy = 0.935 (not KNN 0.891 — weaker junk; Table 6 AlexNet feature-extract Acc 0.847 is a backbone screen, not the classifier control)")</f>
        <v>Table 8 NN Accuracy = 0.935 (not KNN 0.891 — weaker junk; Table 6 AlexNet feature-extract Acc 0.847 is a backbone screen, not the classifier control)</v>
      </c>
      <c r="C143" s="6" t="str">
        <f>IFERROR(__xludf.DUMMYFUNCTION("""COMPUTED_VALUE"""),"Table 9 Voting (ADSCFGWO) Accuracy = 0.977 (best); Voting (PSO) = 0.954; Voting (GA) = 0.951")</f>
        <v>Table 9 Voting (ADSCFGWO) Accuracy = 0.977 (best); Voting (PSO) = 0.954; Voting (GA) = 0.951</v>
      </c>
      <c r="D143" s="6" t="str">
        <f>IFERROR(__xludf.DUMMYFUNCTION("""COMPUTED_VALUE"""),"Sprayer-drone wheat vs weed frames are class-imbalanced (1176/4851 train) and treated as a limited-data transfer-learning problem. AlexNet features plus binary ADSCFGWO selection feed an NN+SVM+KNN voting ensemble, raising Table 8 NN Accuracy from 93.5% t"&amp;"o 97.7% (Table 9) on the same 670-image test split. NN is the strongest of the three unoptimized base learners, not a junk row. PSO- and GA-tuned voting are the other main same-table variants.")</f>
        <v>Sprayer-drone wheat vs weed frames are class-imbalanced (1176/4851 train) and treated as a limited-data transfer-learning problem. AlexNet features plus binary ADSCFGWO selection feed an NN+SVM+KNN voting ensemble, raising Table 8 NN Accuracy from 93.5% to 97.7% (Table 9) on the same 670-image test split. NN is the strongest of the three unoptimized base learners, not a junk row. PSO- and GA-tuned voting are the other main same-table variants.</v>
      </c>
    </row>
    <row r="144" ht="31.5" customHeight="1">
      <c r="A144" s="5" t="str">
        <f>IFERROR(__xludf.DUMMYFUNCTION("""COMPUTED_VALUE"""),"SCOPUS-000532")</f>
        <v>SCOPUS-000532</v>
      </c>
      <c r="B144" s="6" t="str">
        <f>IFERROR(__xludf.DUMMYFUNCTION("""COMPUTED_VALUE"""),"Table 2 YOLOv8 RGB mAP0.5 = 0.893 → 89.3% (map@0.5 defined as IoU=0.5 in Evaluation indicators)")</f>
        <v>Table 2 YOLOv8 RGB mAP0.5 = 0.893 → 89.3% (map@0.5 defined as IoU=0.5 in Evaluation indicators)</v>
      </c>
      <c r="C144" s="6" t="str">
        <f>IFERROR(__xludf.DUMMYFUNCTION("""COMPUTED_VALUE"""),"Table 2 Swin-T YOLOv8+Slim-neck RGB+NIR mAP0.5 = 0.960 → 96.0%; Swin-T YOLOv8 fusion = 0.955; YOLOv8 fusion = 0.933")</f>
        <v>Table 2 Swin-T YOLOv8+Slim-neck RGB+NIR mAP0.5 = 0.960 → 96.0%; Swin-T YOLOv8 fusion = 0.955; YOLOv8 fusion = 0.933</v>
      </c>
      <c r="D144" s="6" t="str">
        <f>IFERROR(__xludf.DUMMYFUNCTION("""COMPUTED_VALUE"""),"Field light, occlusion, and small seedling weeds make RGB-only YOLOv8 unreliable for laser aiming. Dual-scale pixel fusion of RGB and NIR, a Swin-Transformer backbone, and Slim-neck (GSConv/VoV-GSCSP) raise Table 2 mAP0.5 from 89.3% (YOLOv8 RGB) to 96.0% "&amp;"on the same 640×640 fused split (YOLOv8 fusion 93.3%; Swin-T fusion 95.5%). YOLOv8 RGB is the same-family single-mode control, not a junk baseline; NIR-only 91.0% was not used as Tab7.")</f>
        <v>Field light, occlusion, and small seedling weeds make RGB-only YOLOv8 unreliable for laser aiming. Dual-scale pixel fusion of RGB and NIR, a Swin-Transformer backbone, and Slim-neck (GSConv/VoV-GSCSP) raise Table 2 mAP0.5 from 89.3% (YOLOv8 RGB) to 96.0% on the same 640×640 fused split (YOLOv8 fusion 93.3%; Swin-T fusion 95.5%). YOLOv8 RGB is the same-family single-mode control, not a junk baseline; NIR-only 91.0% was not used as Tab7.</v>
      </c>
    </row>
    <row r="145" ht="31.5" customHeight="1">
      <c r="A145" s="5" t="str">
        <f>IFERROR(__xludf.DUMMYFUNCTION("""COMPUTED_VALUE"""),"SCOPUS-000542")</f>
        <v>SCOPUS-000542</v>
      </c>
      <c r="B145" s="6" t="str">
        <f>IFERROR(__xludf.DUMMYFUNCTION("""COMPUTED_VALUE"""),"Table 12 mAP on field T, 5 training sets × 100 images, without S = 0.20 (IoU=0.5 in §2.3)")</f>
        <v>Table 12 mAP on field T, 5 training sets × 100 images, without S = 0.20 (IoU=0.5 in §2.3)</v>
      </c>
      <c r="C145" s="6" t="str">
        <f>IFERROR(__xludf.DUMMYFUNCTION("""COMPUTED_VALUE"""),"Table 12 mAP on T with S in training: 5×100 = 0.78 (best); 10×50 = 0.64; 15×33 = 0.58")</f>
        <v>Table 12 mAP on T with S in training: 5×100 = 0.78 (best); 10×50 = 0.64; 15×33 = 0.58</v>
      </c>
      <c r="D145" s="6" t="str">
        <f>IFERROR(__xludf.DUMMYFUNCTION("""COMPUTED_VALUE"""),"YOLOv3 trained on 20 Dutch sugar-beet fields still fails on new fields because volunteer potatoes are rare and variable, cameras differ (webcam D2 vs industrial D1), and field T matches Wageningen field S more than the other sites. The only printed same-s"&amp;"plit mAP@0.5 pair is Table 12: sampling similar-distribution field S lifts mAP on T from 20.0% to 78.0% at 5×100 images (10- and 15-set with-S rows 64.0% and 58.0%). Incremental finetuning is the named Domain Adaptation fix, but post-finetune mAP is only "&amp;"in Fig. 6 / generalization-error prose and was not chart-read.")</f>
        <v>YOLOv3 trained on 20 Dutch sugar-beet fields still fails on new fields because volunteer potatoes are rare and variable, cameras differ (webcam D2 vs industrial D1), and field T matches Wageningen field S more than the other sites. The only printed same-split mAP@0.5 pair is Table 12: sampling similar-distribution field S lifts mAP on T from 20.0% to 78.0% at 5×100 images (10- and 15-set with-S rows 64.0% and 58.0%). Incremental finetuning is the named Domain Adaptation fix, but post-finetune mAP is only in Fig. 6 / generalization-error prose and was not chart-read.</v>
      </c>
    </row>
    <row r="146" ht="31.5" customHeight="1">
      <c r="A146" s="5" t="str">
        <f>IFERROR(__xludf.DUMMYFUNCTION("""COMPUTED_VALUE"""),"SCOPUS-000545")</f>
        <v>SCOPUS-000545</v>
      </c>
      <c r="B146" s="6" t="str">
        <f>IFERROR(__xludf.DUMMYFUNCTION("""COMPUTED_VALUE"""),"Table 5 BaseNet MIoU = 88.33% (soybean; MIoU = mean of Crop/Weed/Background IoU in §2.2.3)")</f>
        <v>Table 5 BaseNet MIoU = 88.33% (soybean; MIoU = mean of Crop/Weed/Background IoU in §2.2.3)</v>
      </c>
      <c r="C146" s="6" t="str">
        <f>IFERROR(__xludf.DUMMYFUNCTION("""COMPUTED_VALUE"""),"Table 5 / Table 1 MSFCA-Net MIoU = 92.64%; Table 5 BaseNet+MSFCABlock = 91.72%; BaseNet+hybrid loss = 90.35%")</f>
        <v>Table 5 / Table 1 MSFCA-Net MIoU = 92.64%; Table 5 BaseNet+MSFCABlock = 91.72%; BaseNet+hybrid loss = 90.35%</v>
      </c>
      <c r="D146" s="6" t="str">
        <f>IFERROR(__xludf.DUMMYFUNCTION("""COMPUTED_VALUE"""),"Field soybean, weeds, and soil vary in scale, overlap, lighting, and class frequency, which a plain VGG16 encoder–decoder misses. Multi-scale strip-convolution attention (MSFCABlock) plus a Dice/focal hybrid loss lifts soybean MIoU from 88.33% (BaseNet) t"&amp;"o 92.64% (MSFCA-Net) on the same 7:2:1 split; MSFCABlock alone is 91.72% and hybrid loss alone 90.35%.")</f>
        <v>Field soybean, weeds, and soil vary in scale, overlap, lighting, and class frequency, which a plain VGG16 encoder–decoder misses. Multi-scale strip-convolution attention (MSFCABlock) plus a Dice/focal hybrid loss lifts soybean MIoU from 88.33% (BaseNet) to 92.64% (MSFCA-Net) on the same 7:2:1 split; MSFCABlock alone is 91.72% and hybrid loss alone 90.35%.</v>
      </c>
    </row>
    <row r="147" ht="31.5" customHeight="1">
      <c r="A147" s="5" t="str">
        <f>IFERROR(__xludf.DUMMYFUNCTION("""COMPUTED_VALUE"""),"SCOPUS-000552")</f>
        <v>SCOPUS-000552</v>
      </c>
      <c r="B147" s="6" t="str">
        <f>IFERROR(__xludf.DUMMYFUNCTION("""COMPUTED_VALUE"""),"Table 2 / §3.1 YOLOv4 mAP@ IoU = 0.5 = 0.934 on the 600-image test split")</f>
        <v>Table 2 / §3.1 YOLOv4 mAP@ IoU = 0.5 = 0.934 on the 600-image test split</v>
      </c>
      <c r="C147" s="6" t="str">
        <f>IFERROR(__xludf.DUMMYFUNCTION("""COMPUTED_VALUE"""),"Table 2 EfficientDet mAP@ IoU = 0.5 = 0.974 (best); CenterNet 0.938; §3.4 / Table 6 YOLOv4-tiny 89.2% (table prints 0.89)")</f>
        <v>Table 2 EfficientDet mAP@ IoU = 0.5 = 0.974 (best); CenterNet 0.938; §3.4 / Table 6 YOLOv4-tiny 89.2% (table prints 0.89)</v>
      </c>
      <c r="D147" s="6" t="str">
        <f>IFERROR(__xludf.DUMMYFUNCTION("""COMPUTED_VALUE"""),"Thirteen cotton/peanut weeds must be detected on a Jetson Xavier AGX, where full detectors are slow and purple/yellow nutsedge look alike with few purple samples. Same 60/20/20 split and mAP at IoU=0.5: YOLOv4 is the fair real-time control (93.4%) versus "&amp;"EfficientDet D0 (97.4%, best accuracy), CenterNet (93.8%), and YOLOv4-tiny (89.2%, faster embedded FPS with a negative mAP gain).")</f>
        <v>Thirteen cotton/peanut weeds must be detected on a Jetson Xavier AGX, where full detectors are slow and purple/yellow nutsedge look alike with few purple samples. Same 60/20/20 split and mAP at IoU=0.5: YOLOv4 is the fair real-time control (93.4%) versus EfficientDet D0 (97.4%, best accuracy), CenterNet (93.8%), and YOLOv4-tiny (89.2%, faster embedded FPS with a negative mAP gain).</v>
      </c>
    </row>
    <row r="148" ht="31.5" customHeight="1">
      <c r="A148" s="5" t="str">
        <f>IFERROR(__xludf.DUMMYFUNCTION("""COMPUTED_VALUE"""),"SCOPUS-000582")</f>
        <v>SCOPUS-000582</v>
      </c>
      <c r="B148" s="6" t="str">
        <f>IFERROR(__xludf.DUMMYFUNCTION("""COMPUTED_VALUE"""),"Table 6 Thermal RT ragweed Casselton 8 DAA Accuracy = 0.627")</f>
        <v>Table 6 Thermal RT ragweed Casselton 8 DAA Accuracy = 0.627</v>
      </c>
      <c r="C148" s="6" t="str">
        <f>IFERROR(__xludf.DUMMYFUNCTION("""COMPUTED_VALUE"""),"Table 6 NDVI SVM ragweed Casselton 8 DAA Accuracy = 0.872 (best); NDVI RT = 0.778; band-combo RT = 0.769; band-combo SVM = 0.767")</f>
        <v>Table 6 NDVI SVM ragweed Casselton 8 DAA Accuracy = 0.872 (best); NDVI RT = 0.778; band-combo RT = 0.769; band-combo SVM = 0.767</v>
      </c>
      <c r="D148" s="6" t="str">
        <f>IFERROR(__xludf.DUMMYFUNCTION("""COMPUTED_VALUE"""),"Resistant and susceptible weed canopies look alike, and UAV thermal temperature is unstable under sun, shade, and weather. NDVI masking plus a 705/740/842 nm composite with pixel ML/RT/SVM classifiers is used instead of TIR. On the same ragweed Casselton "&amp;"8 DAA rasters, NDVI SVM reaches 87.2% versus 62.7% for the best thermal classifier (random trees). Kochia Table 5, amaranth Table 7, and soybean Table 8 were not mixed into this split.")</f>
        <v>Resistant and susceptible weed canopies look alike, and UAV thermal temperature is unstable under sun, shade, and weather. NDVI masking plus a 705/740/842 nm composite with pixel ML/RT/SVM classifiers is used instead of TIR. On the same ragweed Casselton 8 DAA rasters, NDVI SVM reaches 87.2% versus 62.7% for the best thermal classifier (random trees). Kochia Table 5, amaranth Table 7, and soybean Table 8 were not mixed into this split.</v>
      </c>
    </row>
    <row r="149" ht="31.5" customHeight="1">
      <c r="A149" s="5" t="str">
        <f>IFERROR(__xludf.DUMMYFUNCTION("""COMPUTED_VALUE"""),"SCOPUS-000600")</f>
        <v>SCOPUS-000600</v>
      </c>
      <c r="B149" s="6" t="str">
        <f>IFERROR(__xludf.DUMMYFUNCTION("""COMPUTED_VALUE"""),"Table 1 VGG13_bn Test Accuracy = 76.67% (same 172-image Experiment 1 split; not GoogLeNet 10%)")</f>
        <v>Table 1 VGG13_bn Test Accuracy = 76.67% (same 172-image Experiment 1 split; not GoogLeNet 10%)</v>
      </c>
      <c r="C149" s="6" t="str">
        <f>IFERROR(__xludf.DUMMYFUNCTION("""COMPUTED_VALUE"""),"Table 1 Test Accuracy ConvNeXt_large = 90.00 (best); ConvNeXt_base = 86.67; EfficientNet_B1 = 86.66; EfficientNet_B5 = 83.33")</f>
        <v>Table 1 Test Accuracy ConvNeXt_large = 90.00 (best); ConvNeXt_base = 86.67; EfficientNet_B1 = 86.66; EfficientNet_B5 = 83.33</v>
      </c>
      <c r="D149" s="6" t="str">
        <f>IFERROR(__xludf.DUMMYFUNCTION("""COMPUTED_VALUE"""),"Only 172 labelled Douro vineyard photos were collected and several weed species share yellow flowers or leaf shape. After screening PyTorch CNN/transformer heads on that set, ConvNeXt_large raises Table 1 Test Accuracy to 90.0% versus 76.67% for VGG13_bn "&amp;"under the same split. EfficientNet_B1/B5 are the authors’ highlighted CNN variants. Experiment 3 (6,730 web images) and Experiment 4 (26 later field photos, 96.15%) use different data and were not mixed into Tab 7/8.")</f>
        <v>Only 172 labelled Douro vineyard photos were collected and several weed species share yellow flowers or leaf shape. After screening PyTorch CNN/transformer heads on that set, ConvNeXt_large raises Table 1 Test Accuracy to 90.0% versus 76.67% for VGG13_bn under the same split. EfficientNet_B1/B5 are the authors’ highlighted CNN variants. Experiment 3 (6,730 web images) and Experiment 4 (26 later field photos, 96.15%) use different data and were not mixed into Tab 7/8.</v>
      </c>
    </row>
    <row r="150" ht="31.5" customHeight="1">
      <c r="A150" s="5" t="str">
        <f>IFERROR(__xludf.DUMMYFUNCTION("""COMPUTED_VALUE"""),"SCOPUS-000620")</f>
        <v>SCOPUS-000620</v>
      </c>
      <c r="B150" s="6" t="str">
        <f>IFERROR(__xludf.DUMMYFUNCTION("""COMPUTED_VALUE"""),"Table 6 ResNet50 No PT / trained from scratch on TomatoWeeds holdout Accuracy = 0.737")</f>
        <v>Table 6 ResNet50 No PT / trained from scratch on TomatoWeeds holdout Accuracy = 0.737</v>
      </c>
      <c r="C150" s="6" t="str">
        <f>IFERROR(__xludf.DUMMYFUNCTION("""COMPUTED_VALUE"""),"Table 6 ResNet152 PT on Imagenet + finetuned on TomatoWeeds holdout Accuracy = 0.781; ResNet50 Imagenet+DeepWeeds+FT = 0.778; ResNet50 Imagenet+FT = 0.776")</f>
        <v>Table 6 ResNet152 PT on Imagenet + finetuned on TomatoWeeds holdout Accuracy = 0.781; ResNet50 Imagenet+DeepWeeds+FT = 0.778; ResNet50 Imagenet+FT = 0.776</v>
      </c>
      <c r="D150" s="6" t="str">
        <f>IFERROR(__xludf.DUMMYFUNCTION("""COMPUTED_VALUE"""),"TomatoWeeds is a small, imbalanced UAV tile set, DeepWeeds ground photos sit in a different domain from 10 m mosaics, and early Cyperus/Solanum/Portulaca look alike as morphology shifts. ImageNet/DeepWeeds pretraining plus fine-tuning is the same-holdout "&amp;"mitigation; ResNet50 scratch 73.7% is the fair no-PT control (ResNet152 scratch 49.7% failed to converge and was not used). Best printed Accuracy is ResNet152 ImageNet+FT 78.1% versus 73.7%.")</f>
        <v>TomatoWeeds is a small, imbalanced UAV tile set, DeepWeeds ground photos sit in a different domain from 10 m mosaics, and early Cyperus/Solanum/Portulaca look alike as morphology shifts. ImageNet/DeepWeeds pretraining plus fine-tuning is the same-holdout mitigation; ResNet50 scratch 73.7% is the fair no-PT control (ResNet152 scratch 49.7% failed to converge and was not used). Best printed Accuracy is ResNet152 ImageNet+FT 78.1% versus 73.7%.</v>
      </c>
    </row>
    <row r="151" ht="31.5" customHeight="1">
      <c r="A151" s="5" t="str">
        <f>IFERROR(__xludf.DUMMYFUNCTION("""COMPUTED_VALUE"""),"SCOPUS-000623")</f>
        <v>SCOPUS-000623</v>
      </c>
      <c r="B151" s="6" t="str">
        <f>IFERROR(__xludf.DUMMYFUNCTION("""COMPUTED_VALUE"""),"Table 7 Dataset-2 Simple CNN Accuracy = 0.53")</f>
        <v>Table 7 Dataset-2 Simple CNN Accuracy = 0.53</v>
      </c>
      <c r="C151" s="6" t="str">
        <f>IFERROR(__xludf.DUMMYFUNCTION("""COMPUTED_VALUE"""),"Table 7 Dataset-2 VGG16 Accuracy = 0.91; ResNet-50 = 0.80; AlexNet = 0.66")</f>
        <v>Table 7 Dataset-2 VGG16 Accuracy = 0.91; ResNet-50 = 0.80; AlexNet = 0.66</v>
      </c>
      <c r="D151" s="6" t="str">
        <f>IFERROR(__xludf.DUMMYFUNCTION("""COMPUTED_VALUE"""),"Paddy, grasses, sedges and broadleaves share colour in flooded fields with reflections, shadows and class imbalance, and the authors call the set small. ImageNet transfer learning plus YCbCr vegetation extraction is compared on the same Dataset-2 18% test"&amp;" split. Simple CNN (from scratch) 53.0% is the fair no-TL control, not a dummy; VGG16 reaches 91.0% (ResNet-50 80.0%, AlexNet 66.0%).")</f>
        <v>Paddy, grasses, sedges and broadleaves share colour in flooded fields with reflections, shadows and class imbalance, and the authors call the set small. ImageNet transfer learning plus YCbCr vegetation extraction is compared on the same Dataset-2 18% test split. Simple CNN (from scratch) 53.0% is the fair no-TL control, not a dummy; VGG16 reaches 91.0% (ResNet-50 80.0%, AlexNet 66.0%).</v>
      </c>
    </row>
    <row r="152" ht="31.5" customHeight="1">
      <c r="A152" s="5" t="str">
        <f>IFERROR(__xludf.DUMMYFUNCTION("""COMPUTED_VALUE"""),"SCOPUS-000626")</f>
        <v>SCOPUS-000626</v>
      </c>
      <c r="B152" s="6" t="str">
        <f>IFERROR(__xludf.DUMMYFUNCTION("""COMPUTED_VALUE"""),"Table 4 / Table 5 ResNet-50 mean Accuracy = 96.1%")</f>
        <v>Table 4 / Table 5 ResNet-50 mean Accuracy = 96.1%</v>
      </c>
      <c r="C152" s="6" t="str">
        <f>IFERROR(__xludf.DUMMYFUNCTION("""COMPUTED_VALUE"""),"Table 4 / Table 5 ResNet-50-SVM mean Accuracy = 97.6%; VGG16-SVM = 95.9%")</f>
        <v>Table 4 / Table 5 ResNet-50-SVM mean Accuracy = 97.6%; VGG16-SVM = 95.9%</v>
      </c>
      <c r="D152" s="6" t="str">
        <f>IFERROR(__xludf.DUMMYFUNCTION("""COMPUTED_VALUE"""),"Look-alike rangeland weeds under cluttered backgrounds and lighting are hard to separate with softmax CNN heads, and the authors call the set small. Replacing the classifier with SVM on CNN features is the same-split mitigation. Fair control is ResNet-50 "&amp;"96.1%, not VGG16 93.2%. Best printed Accuracy is ResNet-50-SVM 97.6% (VGG16-SVM 95.9%).")</f>
        <v>Look-alike rangeland weeds under cluttered backgrounds and lighting are hard to separate with softmax CNN heads, and the authors call the set small. Replacing the classifier with SVM on CNN features is the same-split mitigation. Fair control is ResNet-50 96.1%, not VGG16 93.2%. Best printed Accuracy is ResNet-50-SVM 97.6% (VGG16-SVM 95.9%).</v>
      </c>
    </row>
    <row r="153" ht="31.5" customHeight="1">
      <c r="A153" s="5" t="str">
        <f>IFERROR(__xludf.DUMMYFUNCTION("""COMPUTED_VALUE"""),"SCOPUS-000628")</f>
        <v>SCOPUS-000628</v>
      </c>
      <c r="B153" s="6" t="str">
        <f>IFERROR(__xludf.DUMMYFUNCTION("""COMPUTED_VALUE"""),"Table 3 test mAPb(@0.5) C1 = 60.7%")</f>
        <v>Table 3 test mAPb(@0.5) C1 = 60.7%</v>
      </c>
      <c r="C153" s="6" t="str">
        <f>IFERROR(__xludf.DUMMYFUNCTION("""COMPUTED_VALUE"""),"Table 3 test mAPb(@0.5) C5 = 63.3% (best); C4 = 61.9%")</f>
        <v>Table 3 test mAPb(@0.5) C5 = 63.3% (best); C4 = 61.9%</v>
      </c>
      <c r="D153" s="6" t="str">
        <f>IFERROR(__xludf.DUMMYFUNCTION("""COMPUTED_VALUE"""),"Polygon-masking high-resolution UAS frames is slow, the labelled set is small (767 images), two-stage segmenters are heavy on edge GPUs, and weeds vary in scale. A YOLO-style single-stage detector with C3/C3x backbone blocks and ProtoNet masks is trained "&amp;"from scratch on five Roboflow augmentation packs. Fair same-architecture control is C1 (geometric DA only, 60.7% box mAP@0.5), not C2 (50.7%, weakest pack). Best eligible-metric model is C5 (63.3%); C4 is the authors’ precision-preferred variant (61.9%). "&amp;"Mask mAPm@0.5 and Jetson conversions were not mixed into Tab7/8.")</f>
        <v>Polygon-masking high-resolution UAS frames is slow, the labelled set is small (767 images), two-stage segmenters are heavy on edge GPUs, and weeds vary in scale. A YOLO-style single-stage detector with C3/C3x backbone blocks and ProtoNet masks is trained from scratch on five Roboflow augmentation packs. Fair same-architecture control is C1 (geometric DA only, 60.7% box mAP@0.5), not C2 (50.7%, weakest pack). Best eligible-metric model is C5 (63.3%); C4 is the authors’ precision-preferred variant (61.9%). Mask mAPm@0.5 and Jetson conversions were not mixed into Tab7/8.</v>
      </c>
    </row>
    <row r="154" ht="31.5" customHeight="1">
      <c r="A154" s="5" t="str">
        <f>IFERROR(__xludf.DUMMYFUNCTION("""COMPUTED_VALUE"""),"SCOPUS-000676")</f>
        <v>SCOPUS-000676</v>
      </c>
      <c r="B154" s="6" t="str">
        <f>IFERROR(__xludf.DUMMYFUNCTION("""COMPUTED_VALUE"""),"Table 4 KNN Accuracy = 0.83 (same 4-class weed test as RF; Decision Tree 0.79 not used as weakest junk)")</f>
        <v>Table 4 KNN Accuracy = 0.83 (same 4-class weed test as RF; Decision Tree 0.79 not used as weakest junk)</v>
      </c>
      <c r="C154" s="6" t="str">
        <f>IFERROR(__xludf.DUMMYFUNCTION("""COMPUTED_VALUE"""),"Table 4 Random Forest Accuracy = 0.88")</f>
        <v>Table 4 Random Forest Accuracy = 0.88</v>
      </c>
      <c r="D154" s="6" t="str">
        <f>IFERROR(__xludf.DUMMYFUNCTION("""COMPUTED_VALUE"""),"Low-resolution, unevenly lit field photos of look-alike weeds at different growth stages are classified after Otsu binarisation. Table 4 Accuracy is 83.0% for KNN versus 88.0% for Random Forest on the same split. YOLOv5 with an ECA-Net attention block is "&amp;"proposed for Detection, but class-wise PR-AUC (Fig. 13 mean 0.78) is not mAP@0.5 and the 92% detection accuracy in the discussion is a cross-paper comparison, not tabulated.")</f>
        <v>Low-resolution, unevenly lit field photos of look-alike weeds at different growth stages are classified after Otsu binarisation. Table 4 Accuracy is 83.0% for KNN versus 88.0% for Random Forest on the same split. YOLOv5 with an ECA-Net attention block is proposed for Detection, but class-wise PR-AUC (Fig. 13 mean 0.78) is not mAP@0.5 and the 92% detection accuracy in the discussion is a cross-paper comparison, not tabulated.</v>
      </c>
    </row>
    <row r="155">
      <c r="A155" s="6" t="str">
        <f>IFERROR(__xludf.DUMMYFUNCTION("""COMPUTED_VALUE"""),"SCOPUS-000753")</f>
        <v>SCOPUS-000753</v>
      </c>
      <c r="B155" s="6" t="str">
        <f>IFERROR(__xludf.DUMMYFUNCTION("""COMPUTED_VALUE"""),"Table 1 UNET_VGG16 MIOU = 0.7805 (same test split; MIOU = average of all class IOUs, k=2)")</f>
        <v>Table 1 UNET_VGG16 MIOU = 0.7805 (same test split; MIOU = average of all class IOUs, k=2)</v>
      </c>
      <c r="C155" s="6" t="str">
        <f>IFERROR(__xludf.DUMMYFUNCTION("""COMPUTED_VALUE"""),"Table 1 SegNet_ResNet-50 MIOU = 0.8288 (best); UNET_ResNet-50 = 0.8274; SegNet_VGG16 = 0.7920")</f>
        <v>Table 1 SegNet_ResNet-50 MIOU = 0.8288 (best); UNET_ResNet-50 = 0.8274; SegNet_VGG16 = 0.7920</v>
      </c>
      <c r="D155" s="6" t="str">
        <f>IFERROR(__xludf.DUMMYFUNCTION("""COMPUTED_VALUE"""),"Canola and weeds share spectra and overlap, pixel labels are costly, and background/crop pixels dominate. Maximum-likelihood background segmentation plus polygon weed labels, then SegNet/U-Net with VGG16 or ResNet-50 encoders, lifts Table 1 class-mean MIO"&amp;"U from 78.05% (UNET_VGG16) to 82.88% (SegNet_ResNet-50) on the same test set. Pixel Accuracy 99.06–99.48% and F1 were not substituted; weed-class IoU 0.57–0.6648 is not mIoU.")</f>
        <v>Canola and weeds share spectra and overlap, pixel labels are costly, and background/crop pixels dominate. Maximum-likelihood background segmentation plus polygon weed labels, then SegNet/U-Net with VGG16 or ResNet-50 encoders, lifts Table 1 class-mean MIOU from 78.05% (UNET_VGG16) to 82.88% (SegNet_ResNet-50) on the same test set. Pixel Accuracy 99.06–99.48% and F1 were not substituted; weed-class IoU 0.57–0.6648 is not mIoU.</v>
      </c>
    </row>
    <row r="156">
      <c r="A156" s="6" t="str">
        <f>IFERROR(__xludf.DUMMYFUNCTION("""COMPUTED_VALUE"""),"WEBSCI-000421")</f>
        <v>WEBSCI-000421</v>
      </c>
      <c r="B156" s="6" t="str">
        <f>IFERROR(__xludf.DUMMYFUNCTION("""COMPUTED_VALUE"""),"Prose under Figure 6 / Figure 5 table text: SGDM lr 0.001 Validation Accuracy = 71.41% (same val split as lr 0.002)")</f>
        <v>Prose under Figure 6 / Figure 5 table text: SGDM lr 0.001 Validation Accuracy = 71.41% (same val split as lr 0.002)</v>
      </c>
      <c r="C156" s="6" t="str">
        <f>IFERROR(__xludf.DUMMYFUNCTION("""COMPUTED_VALUE"""),"Prose under Figure 6 / Figure 5 table text: SGDM lr 0.002 Validation Accuracy = 76.19%; lr 0.003 = 61.90%")</f>
        <v>Prose under Figure 6 / Figure 5 table text: SGDM lr 0.002 Validation Accuracy = 76.19%; lr 0.003 = 61.90%</v>
      </c>
      <c r="D156" s="6" t="str">
        <f>IFERROR(__xludf.DUMMYFUNCTION("""COMPUTED_VALUE"""),"A 3360-image Vidarbha soybean–weed set is small relative to ImageNet, and lighting plus species look-alikes make scratch CNNs unreliable. ImageNet-pretrained AlexNet with rotation/flip/zoom/brightness augmentation is the shared remedy; optimizer choice is"&amp;" not a closed-vocab mitigation. Fair same-experiment control is SGDM lr 0.001 (71.41%), not collapsed RMSprop 14.29% (1/7 classes at every lr) or Adam 28.57%. Best printed Accuracy is SGDM lr 0.002 at 76.19%.")</f>
        <v>A 3360-image Vidarbha soybean–weed set is small relative to ImageNet, and lighting plus species look-alikes make scratch CNNs unreliable. ImageNet-pretrained AlexNet with rotation/flip/zoom/brightness augmentation is the shared remedy; optimizer choice is not a closed-vocab mitigation. Fair same-experiment control is SGDM lr 0.001 (71.41%), not collapsed RMSprop 14.29% (1/7 classes at every lr) or Adam 28.57%. Best printed Accuracy is SGDM lr 0.002 at 76.19%.</v>
      </c>
    </row>
    <row r="157">
      <c r="A157" s="6" t="str">
        <f>IFERROR(__xludf.DUMMYFUNCTION("""COMPUTED_VALUE"""),"WEBSCI-000559")</f>
        <v>WEBSCI-000559</v>
      </c>
      <c r="B157" s="6" t="str">
        <f>IFERROR(__xludf.DUMMYFUNCTION("""COMPUTED_VALUE"""),"Table 2 Our method Without transfer learning Accuracy = 80.00% (same MWFI testing split)")</f>
        <v>Table 2 Our method Without transfer learning Accuracy = 80.00% (same MWFI testing split)</v>
      </c>
      <c r="C157" s="6" t="str">
        <f>IFERROR(__xludf.DUMMYFUNCTION("""COMPUTED_VALUE"""),"Table 2 / Table 1 Our method Two-stage transfer learning Accuracy = 99.18%; ImageNet PT only = 98.57%; Table 1/3 Swin Transformer two-stage (no contrastive) = 97.96%")</f>
        <v>Table 2 / Table 1 Our method Two-stage transfer learning Accuracy = 99.18%; ImageNet PT only = 98.57%; Table 1/3 Swin Transformer two-stage (no contrastive) = 97.96%</v>
      </c>
      <c r="D157" s="6" t="str">
        <f>IFERROR(__xludf.DUMMYFUNCTION("""COMPUTED_VALUE"""),"Maize seedlings and weeds share leaf shape, MWFI has only 1632 labelled field photos, and class counts are uneven. Two-stage ImageNet→Plant Seedlings→MWFI transfer, Swin window attention, contrastive loss, and mosaic/rotation/brightness/noise augmentation"&amp;" are the remedies. Fair same-architecture control is Our method without TL (80.00%), not VGG-16 96.12% (weakest two-stage CNN in Table 1). Best eligible-metric model is Our method two-stage 99.18%.")</f>
        <v>Maize seedlings and weeds share leaf shape, MWFI has only 1632 labelled field photos, and class counts are uneven. Two-stage ImageNet→Plant Seedlings→MWFI transfer, Swin window attention, contrastive loss, and mosaic/rotation/brightness/noise augmentation are the remedies. Fair same-architecture control is Our method without TL (80.00%), not VGG-16 96.12% (weakest two-stage CNN in Table 1). Best eligible-metric model is Our method two-stage 99.18%.</v>
      </c>
    </row>
  </sheetData>
  <conditionalFormatting sqref="A4:D157">
    <cfRule type="expression" dxfId="11" priority="1" stopIfTrue="1">
      <formula>ISEVEN(ROW())</formula>
    </cfRule>
  </conditionalFormatting>
  <conditionalFormatting sqref="A4:D157">
    <cfRule type="expression" dxfId="12" priority="2" stopIfTrue="1">
      <formula>ISODD(ROW())</formula>
    </cfRule>
  </conditionalFormatting>
  <drawing r:id="rId1"/>
</worksheet>
</file>